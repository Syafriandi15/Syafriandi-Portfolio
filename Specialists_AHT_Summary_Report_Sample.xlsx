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FM Q4 Target" sheetId="2" state="visible" r:id="rId4"/>
    <sheet name="Team Member List" sheetId="3" state="visible" r:id="rId5"/>
    <sheet name="W47" sheetId="4" state="visible" r:id="rId6"/>
    <sheet name="W48" sheetId="5" state="visible" r:id="rId7"/>
    <sheet name="W49" sheetId="6" state="visible" r:id="rId8"/>
    <sheet name="W50" sheetId="7" state="visible" r:id="rId9"/>
    <sheet name="W51" sheetId="8" state="visible" r:id="rId10"/>
    <sheet name="W52" sheetId="9" state="visible" r:id="rId11"/>
    <sheet name="W53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<sst xmlns="http://schemas.openxmlformats.org/spreadsheetml/2006/main" count="23397" uniqueCount="2417">
  <si>
    <t xml:space="preserve">Specialist AHT Summary Report — Sample Data</t>
  </si>
  <si>
    <t xml:space="preserve">This is a sanitized sample recreated for portfolio purposes.</t>
  </si>
  <si>
    <t xml:space="preserve">Structure, headcount, and formula logic (VLOOKUP / IF) reflect an actual weekly AHT tracker I owned.</t>
  </si>
  <si>
    <t xml:space="preserve">All names, TL handles, product taxonomy, and metric values are fictional / randomized.</t>
  </si>
  <si>
    <t xml:space="preserve">Quarter</t>
  </si>
  <si>
    <t xml:space="preserve">product_level1_name</t>
  </si>
  <si>
    <t xml:space="preserve">product_level2_name</t>
  </si>
  <si>
    <t xml:space="preserve">delivery_country</t>
  </si>
  <si>
    <t xml:space="preserve">Audit Stage</t>
  </si>
  <si>
    <t xml:space="preserve">Audit Stage (for mapping)</t>
  </si>
  <si>
    <t xml:space="preserve">Template/Ticket_type</t>
  </si>
  <si>
    <t xml:space="preserve">Region</t>
  </si>
  <si>
    <t xml:space="preserve">AHT Targets(mins)</t>
  </si>
  <si>
    <t xml:space="preserve">Helper</t>
  </si>
  <si>
    <t xml:space="preserve">AHT Targets(secs)</t>
  </si>
  <si>
    <t xml:space="preserve">Q4'24</t>
  </si>
  <si>
    <t xml:space="preserve">Appeals</t>
  </si>
  <si>
    <t xml:space="preserve">T0 - Ad Group Rejection Proactive Appeal (Smart Assign)</t>
  </si>
  <si>
    <t xml:space="preserve">T0 - Ad Group Rejection Proactive Appeal Followup (Smart Assign)</t>
  </si>
  <si>
    <t xml:space="preserve">Premium - Ad Group Rejection Proactive Appeal (Smart Assign)</t>
  </si>
  <si>
    <t xml:space="preserve">Premium - Account Suspension Proactive Appeal (Smart Assign)</t>
  </si>
  <si>
    <t xml:space="preserve">R&amp;F Disapproval Inquiry (Smart Assign)</t>
  </si>
  <si>
    <t xml:space="preserve">Account Suspension Appeal (Smart Assign)</t>
  </si>
  <si>
    <t xml:space="preserve">Spark Ad Group Appeal (Smart Assign)</t>
  </si>
  <si>
    <t xml:space="preserve">Ad Group Disapproval Inquiry (Smart Assign)</t>
  </si>
  <si>
    <t xml:space="preserve">Consultation</t>
  </si>
  <si>
    <t xml:space="preserve">Account Disapproval Inquiry (Smart Assign)</t>
  </si>
  <si>
    <t xml:space="preserve">Keywords Disapproval Inquiry (Smart Assign)</t>
  </si>
  <si>
    <t xml:space="preserve">Account Reminder</t>
  </si>
  <si>
    <t xml:space="preserve">Product Catalog Disapproval (Smart assign)</t>
  </si>
  <si>
    <t xml:space="preserve">Closed Loop Product Appeal</t>
  </si>
  <si>
    <t xml:space="preserve">Other Inquiry</t>
  </si>
  <si>
    <t xml:space="preserve">BC Suspension Appeal (Smart Assign)</t>
  </si>
  <si>
    <t xml:space="preserve">Catalog Ads Disapproval Inquiry (Smart Assign)</t>
  </si>
  <si>
    <t xml:space="preserve">Sponsored Content Appeal (Smart Assign)</t>
  </si>
  <si>
    <t xml:space="preserve">Ad Group Disapproval Inquiry (DSA)</t>
  </si>
  <si>
    <t xml:space="preserve">Pro Account Lead Gen Disapproval Inquiry (Smart Assign)</t>
  </si>
  <si>
    <t xml:space="preserve">Pro Account Registration Disapproval Inquiry (Smart Assign)</t>
  </si>
  <si>
    <t xml:space="preserve">Spark BC Appeal (Smart Assign)</t>
  </si>
  <si>
    <t xml:space="preserve">Pro Account Product Disapproval Inquiry (Smart Assign)</t>
  </si>
  <si>
    <t xml:space="preserve">Account Soft Enforcement Appeal</t>
  </si>
  <si>
    <t xml:space="preserve">Qualification Disapproval Inquiry</t>
  </si>
  <si>
    <t xml:space="preserve">IP Infringement Report (Smart Assign)</t>
  </si>
  <si>
    <t xml:space="preserve">Internal Complaint (Smart Assign)</t>
  </si>
  <si>
    <t xml:space="preserve">User Complaint (Smart Assign)</t>
  </si>
  <si>
    <t xml:space="preserve">Protection program</t>
  </si>
  <si>
    <t xml:space="preserve">Allowlist Request Form</t>
  </si>
  <si>
    <t xml:space="preserve">Protection program risk monitoring</t>
  </si>
  <si>
    <t xml:space="preserve">Allowlist Removal Form</t>
  </si>
  <si>
    <t xml:space="preserve">New Allowlist Creation</t>
  </si>
  <si>
    <t xml:space="preserve">Customize Notification of Account</t>
  </si>
  <si>
    <t xml:space="preserve">Advertiser Limit for BC</t>
  </si>
  <si>
    <r>
      <rPr>
        <sz val="10"/>
        <rFont val="Calibri"/>
        <family val="0"/>
        <charset val="1"/>
      </rPr>
      <t xml:space="preserve">(</t>
    </r>
    <r>
      <rPr>
        <sz val="10"/>
        <rFont val="Noto Sans CJK SC"/>
        <family val="2"/>
      </rPr>
      <t xml:space="preserve">空字符串</t>
    </r>
    <r>
      <rPr>
        <sz val="10"/>
        <rFont val="Calibri"/>
        <family val="0"/>
        <charset val="1"/>
      </rPr>
      <t xml:space="preserve">)</t>
    </r>
  </si>
  <si>
    <t xml:space="preserve">["PHILIPPINES"]</t>
  </si>
  <si>
    <t xml:space="preserve">Others</t>
  </si>
  <si>
    <r>
      <rPr>
        <sz val="10"/>
        <rFont val="Calibri"/>
        <family val="0"/>
        <charset val="1"/>
      </rPr>
      <t xml:space="preserve">(</t>
    </r>
    <r>
      <rPr>
        <sz val="10"/>
        <rFont val="Noto Sans CJK SC"/>
        <family val="2"/>
      </rPr>
      <t xml:space="preserve">空字符串</t>
    </r>
    <r>
      <rPr>
        <sz val="10"/>
        <rFont val="Calibri"/>
        <family val="0"/>
        <charset val="1"/>
      </rPr>
      <t xml:space="preserve">)-["PHILIPPINES"]</t>
    </r>
  </si>
  <si>
    <t xml:space="preserve">Bid Ads</t>
  </si>
  <si>
    <t xml:space="preserve">Bid Ad Group</t>
  </si>
  <si>
    <t xml:space="preserve">SG</t>
  </si>
  <si>
    <t xml:space="preserve">Re-review</t>
  </si>
  <si>
    <t xml:space="preserve">Bid Ad Group-SG</t>
  </si>
  <si>
    <t xml:space="preserve">Bid Ecom URL</t>
  </si>
  <si>
    <t xml:space="preserve">CL</t>
  </si>
  <si>
    <t xml:space="preserve">First Review</t>
  </si>
  <si>
    <t xml:space="preserve">Bid Ecom URL-CL</t>
  </si>
  <si>
    <t xml:space="preserve">EE</t>
  </si>
  <si>
    <t xml:space="preserve">Posted Recall</t>
  </si>
  <si>
    <t xml:space="preserve">Recall</t>
  </si>
  <si>
    <t xml:space="preserve">Bid Ad Group-EE</t>
  </si>
  <si>
    <t xml:space="preserve">Bid Link</t>
  </si>
  <si>
    <t xml:space="preserve">BE</t>
  </si>
  <si>
    <t xml:space="preserve">Bid Link-BE</t>
  </si>
  <si>
    <t xml:space="preserve">Bid Image</t>
  </si>
  <si>
    <t xml:space="preserve">IQ</t>
  </si>
  <si>
    <t xml:space="preserve">Bid Image-IQ</t>
  </si>
  <si>
    <t xml:space="preserve">Bid Ecom Ads Group</t>
  </si>
  <si>
    <t xml:space="preserve">LT</t>
  </si>
  <si>
    <t xml:space="preserve">Bid Ecom Ads Group-LT</t>
  </si>
  <si>
    <t xml:space="preserve">Bid Video</t>
  </si>
  <si>
    <t xml:space="preserve">ZA</t>
  </si>
  <si>
    <t xml:space="preserve">Bid Video-ZA</t>
  </si>
  <si>
    <t xml:space="preserve">Bid Text</t>
  </si>
  <si>
    <t xml:space="preserve">KH</t>
  </si>
  <si>
    <t xml:space="preserve">Bid Text-KH</t>
  </si>
  <si>
    <t xml:space="preserve">Bid Ecom Video</t>
  </si>
  <si>
    <t xml:space="preserve">EC</t>
  </si>
  <si>
    <t xml:space="preserve">Bid Ecom Video-EC</t>
  </si>
  <si>
    <t xml:space="preserve">AE</t>
  </si>
  <si>
    <t xml:space="preserve">Bid Ecom Ads Group-AE</t>
  </si>
  <si>
    <t xml:space="preserve">FI</t>
  </si>
  <si>
    <t xml:space="preserve">Bid Link-FI</t>
  </si>
  <si>
    <t xml:space="preserve">HR</t>
  </si>
  <si>
    <t xml:space="preserve">Bid Ad Group-HR</t>
  </si>
  <si>
    <t xml:space="preserve">Bid Audio</t>
  </si>
  <si>
    <t xml:space="preserve">Bid Audio-IQ</t>
  </si>
  <si>
    <t xml:space="preserve">VN</t>
  </si>
  <si>
    <t xml:space="preserve">Bid Ecom Ads Group-VN</t>
  </si>
  <si>
    <t xml:space="preserve">BR</t>
  </si>
  <si>
    <t xml:space="preserve">Bid Text-BR</t>
  </si>
  <si>
    <t xml:space="preserve">Bid Image-EC</t>
  </si>
  <si>
    <t xml:space="preserve">AU</t>
  </si>
  <si>
    <t xml:space="preserve">Bid Ecom Ads Group-AU</t>
  </si>
  <si>
    <t xml:space="preserve">SE</t>
  </si>
  <si>
    <t xml:space="preserve">Bid Video-SE</t>
  </si>
  <si>
    <t xml:space="preserve">IE</t>
  </si>
  <si>
    <t xml:space="preserve">Bid Ad Group-IE</t>
  </si>
  <si>
    <t xml:space="preserve">MY</t>
  </si>
  <si>
    <t xml:space="preserve">Bid Link-MY</t>
  </si>
  <si>
    <t xml:space="preserve">SEA/MENA</t>
  </si>
  <si>
    <t xml:space="preserve">Bid Ad Group-SEA/MENA</t>
  </si>
  <si>
    <t xml:space="preserve">Bid Link-AU</t>
  </si>
  <si>
    <t xml:space="preserve">US</t>
  </si>
  <si>
    <t xml:space="preserve">Bid Ecom Video-US</t>
  </si>
  <si>
    <t xml:space="preserve">NL</t>
  </si>
  <si>
    <t xml:space="preserve">Bid Ecom Ads Group-NL</t>
  </si>
  <si>
    <t xml:space="preserve">AT</t>
  </si>
  <si>
    <t xml:space="preserve">Bid Ad Group-AT</t>
  </si>
  <si>
    <t xml:space="preserve">AR</t>
  </si>
  <si>
    <t xml:space="preserve">Bid Ecom Ads Group-AR</t>
  </si>
  <si>
    <t xml:space="preserve">Bid Pre Approval</t>
  </si>
  <si>
    <t xml:space="preserve">Bid Pre Approval-AU</t>
  </si>
  <si>
    <t xml:space="preserve">KR</t>
  </si>
  <si>
    <t xml:space="preserve">Bid Ecom Ads Group-KR</t>
  </si>
  <si>
    <t xml:space="preserve">Bid Ad Group-AE</t>
  </si>
  <si>
    <t xml:space="preserve">PT</t>
  </si>
  <si>
    <t xml:space="preserve">Bid Ad Group-PT</t>
  </si>
  <si>
    <t xml:space="preserve">MX</t>
  </si>
  <si>
    <t xml:space="preserve">Bid Ecom URL-MX</t>
  </si>
  <si>
    <t xml:space="preserve">BD</t>
  </si>
  <si>
    <t xml:space="preserve">Bid Ad Group-BD</t>
  </si>
  <si>
    <t xml:space="preserve">MA</t>
  </si>
  <si>
    <t xml:space="preserve">Bid Link-MA</t>
  </si>
  <si>
    <t xml:space="preserve">Bid Ecom Ads Group-MY</t>
  </si>
  <si>
    <t xml:space="preserve">Bid Audio-EC</t>
  </si>
  <si>
    <t xml:space="preserve">PR</t>
  </si>
  <si>
    <t xml:space="preserve">Bid Image-PR</t>
  </si>
  <si>
    <t xml:space="preserve">PE</t>
  </si>
  <si>
    <t xml:space="preserve">Bid Audio-PE</t>
  </si>
  <si>
    <t xml:space="preserve">Bid Ecom Ads Group-AT</t>
  </si>
  <si>
    <t xml:space="preserve">EG</t>
  </si>
  <si>
    <t xml:space="preserve">Bid Ad Group-EG</t>
  </si>
  <si>
    <t xml:space="preserve">AZ</t>
  </si>
  <si>
    <t xml:space="preserve">Bid Video-AZ</t>
  </si>
  <si>
    <t xml:space="preserve">Bid Ecom Video-PE</t>
  </si>
  <si>
    <t xml:space="preserve">Bid Ecom Video-AU</t>
  </si>
  <si>
    <t xml:space="preserve">RS</t>
  </si>
  <si>
    <t xml:space="preserve">Bid Ad Group-RS</t>
  </si>
  <si>
    <t xml:space="preserve">Bid Text-US</t>
  </si>
  <si>
    <t xml:space="preserve">Bid Ecom URL-IE</t>
  </si>
  <si>
    <t xml:space="preserve">Bid Image-HR</t>
  </si>
  <si>
    <t xml:space="preserve">DE</t>
  </si>
  <si>
    <t xml:space="preserve">Bid Ecom Video-DE</t>
  </si>
  <si>
    <t xml:space="preserve">CY</t>
  </si>
  <si>
    <t xml:space="preserve">Bid Image-CY</t>
  </si>
  <si>
    <t xml:space="preserve">ES</t>
  </si>
  <si>
    <t xml:space="preserve">Bid Text-ES</t>
  </si>
  <si>
    <t xml:space="preserve">Bid Image-PE</t>
  </si>
  <si>
    <t xml:space="preserve">SA</t>
  </si>
  <si>
    <t xml:space="preserve">Bid Ad Group-SA</t>
  </si>
  <si>
    <t xml:space="preserve">DO</t>
  </si>
  <si>
    <t xml:space="preserve">Bid Ecom URL-DO</t>
  </si>
  <si>
    <t xml:space="preserve">Bid Ecom Ads Group-MX</t>
  </si>
  <si>
    <t xml:space="preserve">JO</t>
  </si>
  <si>
    <t xml:space="preserve">Bid Ecom Ads Group-JO</t>
  </si>
  <si>
    <t xml:space="preserve">CR</t>
  </si>
  <si>
    <t xml:space="preserve">Bid Image-CR</t>
  </si>
  <si>
    <t xml:space="preserve">CZ</t>
  </si>
  <si>
    <t xml:space="preserve">Bid Link-CZ</t>
  </si>
  <si>
    <t xml:space="preserve">KZ</t>
  </si>
  <si>
    <t xml:space="preserve">Bid Link-KZ</t>
  </si>
  <si>
    <t xml:space="preserve">Bid Ecom URL-EE</t>
  </si>
  <si>
    <t xml:space="preserve">KE</t>
  </si>
  <si>
    <t xml:space="preserve">Bid Ecom Ads Group-KE</t>
  </si>
  <si>
    <t xml:space="preserve">Bid Ecom Ads Group-KH</t>
  </si>
  <si>
    <t xml:space="preserve">Bid Text-MX</t>
  </si>
  <si>
    <t xml:space="preserve">Bid Ecom Ads Group-CL</t>
  </si>
  <si>
    <t xml:space="preserve">Bid Ad Group-KH</t>
  </si>
  <si>
    <t xml:space="preserve">Bid Ecom Ads Group-FI</t>
  </si>
  <si>
    <t xml:space="preserve">BO</t>
  </si>
  <si>
    <t xml:space="preserve">Bid Text-BO</t>
  </si>
  <si>
    <t xml:space="preserve">Bid Audio-CY</t>
  </si>
  <si>
    <t xml:space="preserve">LB</t>
  </si>
  <si>
    <t xml:space="preserve">Bid Ecom Ads Group-LB</t>
  </si>
  <si>
    <t xml:space="preserve">Bid Ecom Ads Group-IQ</t>
  </si>
  <si>
    <t xml:space="preserve">Bid Ecom URL-AR</t>
  </si>
  <si>
    <t xml:space="preserve">DK</t>
  </si>
  <si>
    <t xml:space="preserve">Bid Ecom Ads Group-DK</t>
  </si>
  <si>
    <t xml:space="preserve">Bid Audio-US</t>
  </si>
  <si>
    <t xml:space="preserve">Bid Ecom Video-EE</t>
  </si>
  <si>
    <t xml:space="preserve">Bid Ecom Ads Group-BE</t>
  </si>
  <si>
    <t xml:space="preserve">PH</t>
  </si>
  <si>
    <t xml:space="preserve">Bid Ad Group-PH</t>
  </si>
  <si>
    <t xml:space="preserve">GT</t>
  </si>
  <si>
    <t xml:space="preserve">Bid Ad Group-GT</t>
  </si>
  <si>
    <t xml:space="preserve">Bid Ecom URL-CR</t>
  </si>
  <si>
    <t xml:space="preserve">IT</t>
  </si>
  <si>
    <t xml:space="preserve">Bid Ecom Ads Group-IT</t>
  </si>
  <si>
    <t xml:space="preserve">GR</t>
  </si>
  <si>
    <t xml:space="preserve">Bid Pre Approval-GR</t>
  </si>
  <si>
    <t xml:space="preserve">BH</t>
  </si>
  <si>
    <t xml:space="preserve">Bid Video-BH</t>
  </si>
  <si>
    <t xml:space="preserve">Bid Ecom Video-LB</t>
  </si>
  <si>
    <t xml:space="preserve">Bid Text-CZ</t>
  </si>
  <si>
    <t xml:space="preserve">CA</t>
  </si>
  <si>
    <t xml:space="preserve">Bid Ecom Ads Group-CA</t>
  </si>
  <si>
    <t xml:space="preserve">Bid Link-IT</t>
  </si>
  <si>
    <t xml:space="preserve">DZ</t>
  </si>
  <si>
    <t xml:space="preserve">Bid Ad Group-DZ</t>
  </si>
  <si>
    <t xml:space="preserve">CO</t>
  </si>
  <si>
    <t xml:space="preserve">Bid Audio-CO</t>
  </si>
  <si>
    <t xml:space="preserve">PK</t>
  </si>
  <si>
    <t xml:space="preserve">Bid Text-PK</t>
  </si>
  <si>
    <t xml:space="preserve">Bid Video-DZ</t>
  </si>
  <si>
    <t xml:space="preserve">FR</t>
  </si>
  <si>
    <t xml:space="preserve">Bid Audio-FR</t>
  </si>
  <si>
    <t xml:space="preserve">Bid Ecom Ads Group-FR</t>
  </si>
  <si>
    <t xml:space="preserve">PY</t>
  </si>
  <si>
    <t xml:space="preserve">Bid Text-PY</t>
  </si>
  <si>
    <t xml:space="preserve">Bid Image-BO</t>
  </si>
  <si>
    <t xml:space="preserve">Bid Ad Group-AR</t>
  </si>
  <si>
    <t xml:space="preserve">Bid Ad Group-VN</t>
  </si>
  <si>
    <t xml:space="preserve">OM</t>
  </si>
  <si>
    <t xml:space="preserve">Bid Ad Group-OM</t>
  </si>
  <si>
    <t xml:space="preserve">Bid Ecom URL-KH</t>
  </si>
  <si>
    <t xml:space="preserve">Bid Ad Group-MA</t>
  </si>
  <si>
    <t xml:space="preserve">Bid Audio-MY</t>
  </si>
  <si>
    <t xml:space="preserve">Bid Video-OM</t>
  </si>
  <si>
    <t xml:space="preserve">Bid Video-CA</t>
  </si>
  <si>
    <t xml:space="preserve">Bid Ecom Ads Group-BR</t>
  </si>
  <si>
    <t xml:space="preserve">Bid Ad Group-SE</t>
  </si>
  <si>
    <t xml:space="preserve">Bid Ad Group-DO</t>
  </si>
  <si>
    <t xml:space="preserve">IL</t>
  </si>
  <si>
    <t xml:space="preserve">Bid Ecom Ads Group-IL</t>
  </si>
  <si>
    <t xml:space="preserve">Bid Link-ES</t>
  </si>
  <si>
    <t xml:space="preserve">Bid Video-PT</t>
  </si>
  <si>
    <t xml:space="preserve">JP</t>
  </si>
  <si>
    <t xml:space="preserve">Bid Video-JP</t>
  </si>
  <si>
    <t xml:space="preserve">Bid Pre Approval-US</t>
  </si>
  <si>
    <t xml:space="preserve">CH</t>
  </si>
  <si>
    <t xml:space="preserve">Bid Ad Group-CH</t>
  </si>
  <si>
    <t xml:space="preserve">Bid Text-AZ</t>
  </si>
  <si>
    <t xml:space="preserve">Bid Link-DZ</t>
  </si>
  <si>
    <t xml:space="preserve">Bid Ecom Video-DZ</t>
  </si>
  <si>
    <t xml:space="preserve">BY</t>
  </si>
  <si>
    <t xml:space="preserve">Bid Text-BY</t>
  </si>
  <si>
    <t xml:space="preserve">Bid Ecom URL-DE</t>
  </si>
  <si>
    <t xml:space="preserve">LV</t>
  </si>
  <si>
    <t xml:space="preserve">Bid Ad Group-LV</t>
  </si>
  <si>
    <t xml:space="preserve">Bid Video-PH</t>
  </si>
  <si>
    <t xml:space="preserve">Bid Ad Group-BY</t>
  </si>
  <si>
    <t xml:space="preserve">Bid Text-ZA</t>
  </si>
  <si>
    <t xml:space="preserve">RO</t>
  </si>
  <si>
    <t xml:space="preserve">Bid Ad Group-RO</t>
  </si>
  <si>
    <t xml:space="preserve">Bid Pre Approval-ES</t>
  </si>
  <si>
    <t xml:space="preserve">Bid Ecom Video-BE</t>
  </si>
  <si>
    <t xml:space="preserve">NZ</t>
  </si>
  <si>
    <t xml:space="preserve">Bid Ad Group-NZ</t>
  </si>
  <si>
    <t xml:space="preserve">Bid Ecom Ads Group-PT</t>
  </si>
  <si>
    <t xml:space="preserve">Bid Video-KR</t>
  </si>
  <si>
    <t xml:space="preserve">Bid Ecom Ads Group-BY</t>
  </si>
  <si>
    <t xml:space="preserve">Bid Ecom Ads Group-EC</t>
  </si>
  <si>
    <t xml:space="preserve">Bid Ecom Ads Group-EG</t>
  </si>
  <si>
    <t xml:space="preserve">SI</t>
  </si>
  <si>
    <t xml:space="preserve">Bid Image-SI</t>
  </si>
  <si>
    <t xml:space="preserve">Bid Ad Group-US</t>
  </si>
  <si>
    <t xml:space="preserve">NO</t>
  </si>
  <si>
    <t xml:space="preserve">Bid Video-NO</t>
  </si>
  <si>
    <t xml:space="preserve">ID</t>
  </si>
  <si>
    <t xml:space="preserve">Bid Audio-ID</t>
  </si>
  <si>
    <t xml:space="preserve">Bid Ad Group-KZ</t>
  </si>
  <si>
    <t xml:space="preserve">Bid Ecom Ads Group-PK</t>
  </si>
  <si>
    <t xml:space="preserve">KW</t>
  </si>
  <si>
    <t xml:space="preserve">Bid Ad Group-KW</t>
  </si>
  <si>
    <t xml:space="preserve">Bid Ecom Video-MX</t>
  </si>
  <si>
    <t xml:space="preserve">Bid Video-AE</t>
  </si>
  <si>
    <t xml:space="preserve">GB</t>
  </si>
  <si>
    <t xml:space="preserve">Bid Ecom Ads Group-GB</t>
  </si>
  <si>
    <t xml:space="preserve">Bid Ad Group-PK</t>
  </si>
  <si>
    <t xml:space="preserve">Bid Image-CO</t>
  </si>
  <si>
    <t xml:space="preserve">Bid Ad Group-JP</t>
  </si>
  <si>
    <t xml:space="preserve">Bid Ecom URL-FI</t>
  </si>
  <si>
    <t xml:space="preserve">Bid Pre Approval-MY</t>
  </si>
  <si>
    <t xml:space="preserve">Bid Text-LT</t>
  </si>
  <si>
    <t xml:space="preserve">Bid Ecom Ads Group-ES</t>
  </si>
  <si>
    <t xml:space="preserve">TR</t>
  </si>
  <si>
    <t xml:space="preserve">Bid Image-TR</t>
  </si>
  <si>
    <t xml:space="preserve">Bid Ecom Video-CL</t>
  </si>
  <si>
    <t xml:space="preserve">Bid Pre Approval-NZ</t>
  </si>
  <si>
    <t xml:space="preserve">Bid Ecom Ads Group-CH</t>
  </si>
  <si>
    <t xml:space="preserve">LK</t>
  </si>
  <si>
    <t xml:space="preserve">Bid Ad Group-LK</t>
  </si>
  <si>
    <t xml:space="preserve">Bid Ecom Video-IQ</t>
  </si>
  <si>
    <t xml:space="preserve">OTHERS</t>
  </si>
  <si>
    <t xml:space="preserve">Bid Ad Group-OTHERS</t>
  </si>
  <si>
    <t xml:space="preserve">Bid Ad Group-PE</t>
  </si>
  <si>
    <t xml:space="preserve">Bid Video-CH</t>
  </si>
  <si>
    <t xml:space="preserve">Bid Ecom Ads Group-MA</t>
  </si>
  <si>
    <t xml:space="preserve">Bid Ecom Ads Group-PH</t>
  </si>
  <si>
    <t xml:space="preserve">Bid Ecom Video-BO</t>
  </si>
  <si>
    <t xml:space="preserve">QA</t>
  </si>
  <si>
    <t xml:space="preserve">Bid Ad Group-QA</t>
  </si>
  <si>
    <t xml:space="preserve">Bid Image-MY</t>
  </si>
  <si>
    <t xml:space="preserve">Bid Ad Group-CA</t>
  </si>
  <si>
    <t xml:space="preserve">Bid Ecom Ads Group-NZ</t>
  </si>
  <si>
    <t xml:space="preserve">Bid Link-NZ</t>
  </si>
  <si>
    <t xml:space="preserve">Bid Video-KZ</t>
  </si>
  <si>
    <t xml:space="preserve">TH</t>
  </si>
  <si>
    <t xml:space="preserve">Bid Pre Approval-TH</t>
  </si>
  <si>
    <t xml:space="preserve">PL</t>
  </si>
  <si>
    <t xml:space="preserve">Bid Audio-PL</t>
  </si>
  <si>
    <t xml:space="preserve">UY</t>
  </si>
  <si>
    <t xml:space="preserve">Bid Image-UY</t>
  </si>
  <si>
    <t xml:space="preserve">Bid Text-EE</t>
  </si>
  <si>
    <t xml:space="preserve">Bid Ecom Video-SE</t>
  </si>
  <si>
    <t xml:space="preserve">Bid Link-SG</t>
  </si>
  <si>
    <t xml:space="preserve">Bid Text-SG</t>
  </si>
  <si>
    <t xml:space="preserve">Bid Video-ES</t>
  </si>
  <si>
    <t xml:space="preserve">Bid Video-FI</t>
  </si>
  <si>
    <t xml:space="preserve">Bid Ecom Video-OM</t>
  </si>
  <si>
    <t xml:space="preserve">SK</t>
  </si>
  <si>
    <t xml:space="preserve">Bid Ecom Ads Group-SK</t>
  </si>
  <si>
    <t xml:space="preserve">Bid Ecom Ads Group-RO</t>
  </si>
  <si>
    <t xml:space="preserve">Bid Link-TH</t>
  </si>
  <si>
    <t xml:space="preserve">Bid Ad Group-TR</t>
  </si>
  <si>
    <t xml:space="preserve">Bid Ecom URL-EC</t>
  </si>
  <si>
    <t xml:space="preserve">Bid Ad Group-GB</t>
  </si>
  <si>
    <t xml:space="preserve">Bid Video-MA</t>
  </si>
  <si>
    <t xml:space="preserve">Bid Ecom URL-TR</t>
  </si>
  <si>
    <t xml:space="preserve">Bid Text-LB</t>
  </si>
  <si>
    <t xml:space="preserve">Bid Ecom URL-GB</t>
  </si>
  <si>
    <t xml:space="preserve">Bid Ad Group-EC</t>
  </si>
  <si>
    <t xml:space="preserve">Bid Ecom Video-PY</t>
  </si>
  <si>
    <t xml:space="preserve">Bid Ad Group-CR</t>
  </si>
  <si>
    <t xml:space="preserve">Bid Ad Group-ID</t>
  </si>
  <si>
    <t xml:space="preserve">Bid Ecom URL-SE</t>
  </si>
  <si>
    <t xml:space="preserve">Bid Link-IQ</t>
  </si>
  <si>
    <t xml:space="preserve">Bid Ecom Video-KH</t>
  </si>
  <si>
    <t xml:space="preserve">Bid Link-SI</t>
  </si>
  <si>
    <t xml:space="preserve">Bid Ecom Ads Group-SI</t>
  </si>
  <si>
    <t xml:space="preserve">Bid Ecom Ads Group-ID</t>
  </si>
  <si>
    <t xml:space="preserve">Bid Ad Group-MX</t>
  </si>
  <si>
    <t xml:space="preserve">BG</t>
  </si>
  <si>
    <t xml:space="preserve">Bid Image-BG</t>
  </si>
  <si>
    <t xml:space="preserve">Bid Text-BD</t>
  </si>
  <si>
    <t xml:space="preserve">Bid Video-LV</t>
  </si>
  <si>
    <t xml:space="preserve">Bid Link-BY</t>
  </si>
  <si>
    <t xml:space="preserve">Bid Audio-SA</t>
  </si>
  <si>
    <t xml:space="preserve">Bid Image-PL</t>
  </si>
  <si>
    <t xml:space="preserve">Bid Ecom URL-AT</t>
  </si>
  <si>
    <t xml:space="preserve">Bid Image-KH</t>
  </si>
  <si>
    <t xml:space="preserve">Bid Audio-IE</t>
  </si>
  <si>
    <t xml:space="preserve">Bid Ecom Ads Group-UY</t>
  </si>
  <si>
    <t xml:space="preserve">Bid Ecom Ads Group-GR</t>
  </si>
  <si>
    <t xml:space="preserve">Bid Audio-CL</t>
  </si>
  <si>
    <t xml:space="preserve">Bid Ad Group-CO</t>
  </si>
  <si>
    <t xml:space="preserve">Bid Link-ZA</t>
  </si>
  <si>
    <t xml:space="preserve">Bid Ecom Video-RS</t>
  </si>
  <si>
    <t xml:space="preserve">HU</t>
  </si>
  <si>
    <t xml:space="preserve">Bid Video-HU</t>
  </si>
  <si>
    <t xml:space="preserve">Bid Ecom Ads Group-GT</t>
  </si>
  <si>
    <t xml:space="preserve">Bid Link-HR</t>
  </si>
  <si>
    <t xml:space="preserve">Bid Ecom URL-NL</t>
  </si>
  <si>
    <t xml:space="preserve">PA</t>
  </si>
  <si>
    <t xml:space="preserve">Bid Ad Group-PA</t>
  </si>
  <si>
    <t xml:space="preserve">Bid Ad Group-NL</t>
  </si>
  <si>
    <t xml:space="preserve">Bid Text-FI</t>
  </si>
  <si>
    <t xml:space="preserve">Bid Audio-IL</t>
  </si>
  <si>
    <t xml:space="preserve">Bid Ad Group-DK</t>
  </si>
  <si>
    <t xml:space="preserve">Bid Image-US</t>
  </si>
  <si>
    <t xml:space="preserve">Bid Text-CL</t>
  </si>
  <si>
    <t xml:space="preserve">Bid Text-GR</t>
  </si>
  <si>
    <t xml:space="preserve">Bid Ecom Video-ID</t>
  </si>
  <si>
    <t xml:space="preserve">Bid Image-BE</t>
  </si>
  <si>
    <t xml:space="preserve">Bid Ecom Ads Group-BG</t>
  </si>
  <si>
    <t xml:space="preserve">Lead Instant Form</t>
  </si>
  <si>
    <t xml:space="preserve">Lead Instant Form-US</t>
  </si>
  <si>
    <t xml:space="preserve">Bid Pre Approval-CH</t>
  </si>
  <si>
    <t xml:space="preserve">Bid Link-PY</t>
  </si>
  <si>
    <t xml:space="preserve">Bid Ecom Ads Group-EE</t>
  </si>
  <si>
    <t xml:space="preserve">Bid Ecom Ads Group-SA</t>
  </si>
  <si>
    <t xml:space="preserve">Bid Ad Group-BG</t>
  </si>
  <si>
    <t xml:space="preserve">Bid Ecom Ads Group-SG</t>
  </si>
  <si>
    <t xml:space="preserve">Bid Ecom URL-KW</t>
  </si>
  <si>
    <t xml:space="preserve">Bid Ad Group-PR</t>
  </si>
  <si>
    <t xml:space="preserve">Bid Text-IL</t>
  </si>
  <si>
    <t xml:space="preserve">Bid Ecom URL-BY</t>
  </si>
  <si>
    <t xml:space="preserve">Bid Text-IT</t>
  </si>
  <si>
    <t xml:space="preserve">Bid Ecom Video-LT</t>
  </si>
  <si>
    <t xml:space="preserve">Bid Link-PA</t>
  </si>
  <si>
    <t xml:space="preserve">Bid Image-MX</t>
  </si>
  <si>
    <t xml:space="preserve">Bid Ecom Ads Group-JP</t>
  </si>
  <si>
    <t xml:space="preserve">Bid Audio-BG</t>
  </si>
  <si>
    <t xml:space="preserve">Bid Ad Group-CL</t>
  </si>
  <si>
    <t xml:space="preserve">Bid Ecom URL-SA</t>
  </si>
  <si>
    <t xml:space="preserve">Bid Image-DK</t>
  </si>
  <si>
    <t xml:space="preserve">Bid Video-BO</t>
  </si>
  <si>
    <t xml:space="preserve">Bid Image-PY</t>
  </si>
  <si>
    <t xml:space="preserve">Bid Text-RO</t>
  </si>
  <si>
    <t xml:space="preserve">Bid Ecom URL-LK</t>
  </si>
  <si>
    <t xml:space="preserve">Bid Link-RS</t>
  </si>
  <si>
    <t xml:space="preserve">Bid Ecom Ads Group-PA</t>
  </si>
  <si>
    <t xml:space="preserve">Bid Link-GT</t>
  </si>
  <si>
    <t xml:space="preserve">Bid Ad Group-GR</t>
  </si>
  <si>
    <t xml:space="preserve">Bid Ecom URL-MA</t>
  </si>
  <si>
    <t xml:space="preserve">Bid Ad Group-CY</t>
  </si>
  <si>
    <t xml:space="preserve">Bid Ecom URL-FR</t>
  </si>
  <si>
    <t xml:space="preserve">Bid Ecom Video-NZ</t>
  </si>
  <si>
    <t xml:space="preserve">Bid Audio-KW</t>
  </si>
  <si>
    <t xml:space="preserve">Bid Ecom Ads Group-QA</t>
  </si>
  <si>
    <t xml:space="preserve">Bid Pre Approval-PE</t>
  </si>
  <si>
    <t xml:space="preserve">Bid Text-PA</t>
  </si>
  <si>
    <t xml:space="preserve">Bid Ecom URL-DZ</t>
  </si>
  <si>
    <t xml:space="preserve">Bid Text-KW</t>
  </si>
  <si>
    <t xml:space="preserve">Bid Ecom Video-RO</t>
  </si>
  <si>
    <t xml:space="preserve">Bid Image-CA</t>
  </si>
  <si>
    <t xml:space="preserve">NG</t>
  </si>
  <si>
    <t xml:space="preserve">Bid Link-NG</t>
  </si>
  <si>
    <t xml:space="preserve">Bid Link-MX</t>
  </si>
  <si>
    <t xml:space="preserve">Bid Ad Group-NO</t>
  </si>
  <si>
    <t xml:space="preserve">Bid Link-RO</t>
  </si>
  <si>
    <t xml:space="preserve">Bid Ecom Video-JP</t>
  </si>
  <si>
    <t xml:space="preserve">Bid Video-DO</t>
  </si>
  <si>
    <t xml:space="preserve">Bid Ecom Video-MA</t>
  </si>
  <si>
    <t xml:space="preserve">Bid Video-PA</t>
  </si>
  <si>
    <t xml:space="preserve">Bid Ecom URL-SI</t>
  </si>
  <si>
    <t xml:space="preserve">Bid Link-QA</t>
  </si>
  <si>
    <t xml:space="preserve">Bid Audio-SG</t>
  </si>
  <si>
    <t xml:space="preserve">Lead Instant Form-JP</t>
  </si>
  <si>
    <t xml:space="preserve">Bid Audio-TR</t>
  </si>
  <si>
    <t xml:space="preserve">Bid Pre Approval-MX</t>
  </si>
  <si>
    <t xml:space="preserve">Bid Video-NZ</t>
  </si>
  <si>
    <t xml:space="preserve">Bid Ecom URL-IL</t>
  </si>
  <si>
    <t xml:space="preserve">Bid Ad Group-BR</t>
  </si>
  <si>
    <t xml:space="preserve">Bid Ecom Ads Group-CR</t>
  </si>
  <si>
    <t xml:space="preserve">Bid Ecom Ads Group-TH</t>
  </si>
  <si>
    <t xml:space="preserve">Bid Text-RS</t>
  </si>
  <si>
    <t xml:space="preserve">Bid Pre Approval-IT</t>
  </si>
  <si>
    <t xml:space="preserve">Bid Ecom Ads Group-CY</t>
  </si>
  <si>
    <t xml:space="preserve">Bid Video-CZ</t>
  </si>
  <si>
    <t xml:space="preserve">Bid Ecom Ads Group-HR</t>
  </si>
  <si>
    <t xml:space="preserve">Bid Video-AR</t>
  </si>
  <si>
    <t xml:space="preserve">Bid Link-PH</t>
  </si>
  <si>
    <t xml:space="preserve">Bid Ecom Video-PT</t>
  </si>
  <si>
    <t xml:space="preserve">Bid Ad Group-AU</t>
  </si>
  <si>
    <t xml:space="preserve">Bid Image-KW</t>
  </si>
  <si>
    <t xml:space="preserve">Bid Ecom Video-BD</t>
  </si>
  <si>
    <t xml:space="preserve">Bid Link-GR</t>
  </si>
  <si>
    <t xml:space="preserve">Bid Ecom URL-NO</t>
  </si>
  <si>
    <t xml:space="preserve">Bid Image-SK</t>
  </si>
  <si>
    <t xml:space="preserve">Bid Link-AT</t>
  </si>
  <si>
    <t xml:space="preserve">Bid Ecom Video-KW</t>
  </si>
  <si>
    <t xml:space="preserve">Bid Ad Group-DE</t>
  </si>
  <si>
    <t xml:space="preserve">Bid Ad Group-PL</t>
  </si>
  <si>
    <t xml:space="preserve">Bid Text-OM</t>
  </si>
  <si>
    <t xml:space="preserve">Bid Ad Group-NG</t>
  </si>
  <si>
    <t xml:space="preserve">Bid Link-US</t>
  </si>
  <si>
    <t xml:space="preserve">Bid Ad Group-JO</t>
  </si>
  <si>
    <t xml:space="preserve">Bid Ecom URL-ID</t>
  </si>
  <si>
    <t xml:space="preserve">TW</t>
  </si>
  <si>
    <t xml:space="preserve">Bid Ad Group-TW</t>
  </si>
  <si>
    <t xml:space="preserve">Bid Ecom URL-GT</t>
  </si>
  <si>
    <t xml:space="preserve">Bid Ad Group-KE</t>
  </si>
  <si>
    <t xml:space="preserve">Bid Ad Group-BO</t>
  </si>
  <si>
    <t xml:space="preserve">Bid Video-AT</t>
  </si>
  <si>
    <t xml:space="preserve">Bid Pre Approval-EC</t>
  </si>
  <si>
    <t xml:space="preserve">Bid Ecom URL-KE</t>
  </si>
  <si>
    <t xml:space="preserve">Bid Ecom Ads Group-HU</t>
  </si>
  <si>
    <t xml:space="preserve">Bid Link-BD</t>
  </si>
  <si>
    <t xml:space="preserve">Bid Ecom URL-IQ</t>
  </si>
  <si>
    <t xml:space="preserve">Bid Ecom Ads Group-DO</t>
  </si>
  <si>
    <t xml:space="preserve">Bid Audio-EG</t>
  </si>
  <si>
    <t xml:space="preserve">Bid Text-CY</t>
  </si>
  <si>
    <t xml:space="preserve">Bid Ecom URL-UY</t>
  </si>
  <si>
    <t xml:space="preserve">Bid Ecom Ads Group-TR</t>
  </si>
  <si>
    <t xml:space="preserve">Bid Audio-AU</t>
  </si>
  <si>
    <t xml:space="preserve">Bid Ecom Ads Group-LV</t>
  </si>
  <si>
    <t xml:space="preserve">Bid Ad Group-SK</t>
  </si>
  <si>
    <t xml:space="preserve">Bid Ecom Video-HR</t>
  </si>
  <si>
    <t xml:space="preserve">Bid Ecom URL-JP</t>
  </si>
  <si>
    <t xml:space="preserve">Bid Ad Group-IQ</t>
  </si>
  <si>
    <t xml:space="preserve">Bid Ecom Ads Group-AZ</t>
  </si>
  <si>
    <t xml:space="preserve">Bid Image-MA</t>
  </si>
  <si>
    <t xml:space="preserve">Bid Text-TH</t>
  </si>
  <si>
    <t xml:space="preserve">Bid Ad Group-HU</t>
  </si>
  <si>
    <t xml:space="preserve">Bid Ecom URL-GR</t>
  </si>
  <si>
    <t xml:space="preserve">Bid Image-SA</t>
  </si>
  <si>
    <t xml:space="preserve">Bid Link-LB</t>
  </si>
  <si>
    <t xml:space="preserve">Bid Ecom Ads Group-US</t>
  </si>
  <si>
    <t xml:space="preserve">MUL</t>
  </si>
  <si>
    <t xml:space="preserve">Bid Ad Group-MUL</t>
  </si>
  <si>
    <t xml:space="preserve">Bid Ecom Video-UY</t>
  </si>
  <si>
    <t xml:space="preserve">Bid Ecom Ads Group-KW</t>
  </si>
  <si>
    <t xml:space="preserve">Bid Video-PL</t>
  </si>
  <si>
    <t xml:space="preserve">Bid Image-CZ</t>
  </si>
  <si>
    <t xml:space="preserve">Bid Ecom URL-US</t>
  </si>
  <si>
    <t xml:space="preserve">Bid Audio-GR</t>
  </si>
  <si>
    <t xml:space="preserve">Bid Text-KR</t>
  </si>
  <si>
    <t xml:space="preserve">Bid Ad Group-LB</t>
  </si>
  <si>
    <t xml:space="preserve">Bid Ad Group-FR</t>
  </si>
  <si>
    <t xml:space="preserve">Bid Ecom Video-AE</t>
  </si>
  <si>
    <t xml:space="preserve">Bid Ad Group-FI</t>
  </si>
  <si>
    <t xml:space="preserve">Bid Image-AT</t>
  </si>
  <si>
    <t xml:space="preserve">Bid Ecom Video-CZ</t>
  </si>
  <si>
    <t xml:space="preserve">Bid Ad Group-BE</t>
  </si>
  <si>
    <t xml:space="preserve">Bid Ecom Video-SI</t>
  </si>
  <si>
    <t xml:space="preserve">Bid Pre Approval-ID</t>
  </si>
  <si>
    <t xml:space="preserve">Bid Link-BR</t>
  </si>
  <si>
    <t xml:space="preserve">Bid Video-GT</t>
  </si>
  <si>
    <t xml:space="preserve">Bid Ecom Ads Group-SE</t>
  </si>
  <si>
    <t xml:space="preserve">Bid Link-LT</t>
  </si>
  <si>
    <t xml:space="preserve">Bid Ecom Ads Group-BD</t>
  </si>
  <si>
    <t xml:space="preserve">Bid Ad Group-TH</t>
  </si>
  <si>
    <t xml:space="preserve">Bid Text-NO</t>
  </si>
  <si>
    <t xml:space="preserve">Bid Pre Approval-BR</t>
  </si>
  <si>
    <t xml:space="preserve">Bid Text-MY</t>
  </si>
  <si>
    <t xml:space="preserve">Bid Link-ID</t>
  </si>
  <si>
    <t xml:space="preserve">Bid Video-JO</t>
  </si>
  <si>
    <t xml:space="preserve">Bid Ad Group-AZ</t>
  </si>
  <si>
    <t xml:space="preserve">Bid Image-BR</t>
  </si>
  <si>
    <t xml:space="preserve">Bid Ecom URL-OM</t>
  </si>
  <si>
    <t xml:space="preserve">Bid Audio-AT</t>
  </si>
  <si>
    <t xml:space="preserve">Bid Text-BG</t>
  </si>
  <si>
    <t xml:space="preserve">Bid Image-PH</t>
  </si>
  <si>
    <t xml:space="preserve">Bid Ecom Video-CH</t>
  </si>
  <si>
    <t xml:space="preserve">Bid Audio-SE</t>
  </si>
  <si>
    <t xml:space="preserve">Bid Ecom Video-PL</t>
  </si>
  <si>
    <t xml:space="preserve">Bid Ecom URL-IT</t>
  </si>
  <si>
    <t xml:space="preserve">Bid Video-RS</t>
  </si>
  <si>
    <t xml:space="preserve">Bid Pre Approval-DE</t>
  </si>
  <si>
    <t xml:space="preserve">Bid Ecom Video-CR</t>
  </si>
  <si>
    <t xml:space="preserve">Bid Ecom Video-ZA</t>
  </si>
  <si>
    <t xml:space="preserve">Bid Ecom Video-IE</t>
  </si>
  <si>
    <t xml:space="preserve">Bid Video-IQ</t>
  </si>
  <si>
    <t xml:space="preserve">Bid Ecom Video-FI</t>
  </si>
  <si>
    <t xml:space="preserve">Bid Ecom Ads Group-CO</t>
  </si>
  <si>
    <t xml:space="preserve">Bid Video-DE</t>
  </si>
  <si>
    <t xml:space="preserve">Bid Ecom URL-BG</t>
  </si>
  <si>
    <t xml:space="preserve">Bid Ecom Video-IT</t>
  </si>
  <si>
    <t xml:space="preserve">Bid Link-CH</t>
  </si>
  <si>
    <t xml:space="preserve">Bid Link-KR</t>
  </si>
  <si>
    <t xml:space="preserve">Bid Video-TH</t>
  </si>
  <si>
    <t xml:space="preserve">Bid Video-RO</t>
  </si>
  <si>
    <t xml:space="preserve">Bid Link-KH</t>
  </si>
  <si>
    <t xml:space="preserve">Bid Image-OM</t>
  </si>
  <si>
    <t xml:space="preserve">Bid Link-PK</t>
  </si>
  <si>
    <t xml:space="preserve">Bid Ecom Ads Group-DE</t>
  </si>
  <si>
    <t xml:space="preserve">Bid Video-LT</t>
  </si>
  <si>
    <t xml:space="preserve">Bid Ad Group-IL</t>
  </si>
  <si>
    <t xml:space="preserve">Bid Text-BE</t>
  </si>
  <si>
    <t xml:space="preserve">Bid Link-LV</t>
  </si>
  <si>
    <t xml:space="preserve">Bid Image-CH</t>
  </si>
  <si>
    <t xml:space="preserve">Bid Ecom Video-CY</t>
  </si>
  <si>
    <t xml:space="preserve">Bid Ecom Video-SK</t>
  </si>
  <si>
    <t xml:space="preserve">Bid Ecom URL-PA</t>
  </si>
  <si>
    <t xml:space="preserve">Bid Audio-FI</t>
  </si>
  <si>
    <t xml:space="preserve">Bid Ad Group-CZ</t>
  </si>
  <si>
    <t xml:space="preserve">Bid Ecom URL-BE</t>
  </si>
  <si>
    <t xml:space="preserve">Bid Link-DO</t>
  </si>
  <si>
    <t xml:space="preserve">Bid Ecom Ads Group-KZ</t>
  </si>
  <si>
    <t xml:space="preserve">Bid Image-NZ</t>
  </si>
  <si>
    <t xml:space="preserve">Bid Audio-CA</t>
  </si>
  <si>
    <t xml:space="preserve">Bid Ecom URL-DK</t>
  </si>
  <si>
    <t xml:space="preserve">Bid Pre Approval-JP</t>
  </si>
  <si>
    <t xml:space="preserve">Bid Text-DK</t>
  </si>
  <si>
    <t xml:space="preserve">Bid Ad Group-MY</t>
  </si>
  <si>
    <t xml:space="preserve">Bid Ecom Video-BH</t>
  </si>
  <si>
    <t xml:space="preserve">Bid Image-PA</t>
  </si>
  <si>
    <t xml:space="preserve">Bid Ecom Video-FR</t>
  </si>
  <si>
    <t xml:space="preserve">Bid Image-KE</t>
  </si>
  <si>
    <t xml:space="preserve">Bid Audio-KR</t>
  </si>
  <si>
    <t xml:space="preserve">Bid Ecom URL-HU</t>
  </si>
  <si>
    <t xml:space="preserve">Bid Link-TW</t>
  </si>
  <si>
    <t xml:space="preserve">Bid Ad Group-ES</t>
  </si>
  <si>
    <t xml:space="preserve">Bid Audio-NO</t>
  </si>
  <si>
    <t xml:space="preserve">Bid Video-AU</t>
  </si>
  <si>
    <t xml:space="preserve">Bid Image-LB</t>
  </si>
  <si>
    <t xml:space="preserve">Bid Ecom URL-TH</t>
  </si>
  <si>
    <t xml:space="preserve">Bid Audio-PT</t>
  </si>
  <si>
    <t xml:space="preserve">Bid Text-EC</t>
  </si>
  <si>
    <t xml:space="preserve">Bid Audio-OM</t>
  </si>
  <si>
    <t xml:space="preserve">Bid Video-GR</t>
  </si>
  <si>
    <t xml:space="preserve">Bid Link-CA</t>
  </si>
  <si>
    <t xml:space="preserve">Bid Ecom URL-CZ</t>
  </si>
  <si>
    <t xml:space="preserve">Bid Ecom URL-LB</t>
  </si>
  <si>
    <t xml:space="preserve">Bid Image-FI</t>
  </si>
  <si>
    <t xml:space="preserve">Bid Audio-GB</t>
  </si>
  <si>
    <t xml:space="preserve">Bid Text-PH</t>
  </si>
  <si>
    <t xml:space="preserve">Bid Ecom Ads Group-ZA</t>
  </si>
  <si>
    <t xml:space="preserve">Bid Ecom Ads Group-IE</t>
  </si>
  <si>
    <t xml:space="preserve">Bid Text-FR</t>
  </si>
  <si>
    <t xml:space="preserve">Bid Ad Group-KR</t>
  </si>
  <si>
    <t xml:space="preserve">Bid Link-PL</t>
  </si>
  <si>
    <t xml:space="preserve">Bid Ecom Video-GR</t>
  </si>
  <si>
    <t xml:space="preserve">Bid Video-ID</t>
  </si>
  <si>
    <t xml:space="preserve">Bid Image-AR</t>
  </si>
  <si>
    <t xml:space="preserve">Bid Link-AR</t>
  </si>
  <si>
    <t xml:space="preserve">Bid Audio-AE</t>
  </si>
  <si>
    <t xml:space="preserve">Bid Ecom Ads Group-BH</t>
  </si>
  <si>
    <t xml:space="preserve">Bid Ad Group-SI</t>
  </si>
  <si>
    <t xml:space="preserve">Bid Ecom Video-VN</t>
  </si>
  <si>
    <t xml:space="preserve">Bid Ecom Video-CA</t>
  </si>
  <si>
    <t xml:space="preserve">Bid Video-SK</t>
  </si>
  <si>
    <t xml:space="preserve">Bid Pre Approval-PL</t>
  </si>
  <si>
    <t xml:space="preserve">Bid Ad Group-IT</t>
  </si>
  <si>
    <t xml:space="preserve">Bid Ecom Video-IL</t>
  </si>
  <si>
    <t xml:space="preserve">Bid Text-PT</t>
  </si>
  <si>
    <t xml:space="preserve">Bid Audio-LB</t>
  </si>
  <si>
    <t xml:space="preserve">Bid Video-KW</t>
  </si>
  <si>
    <t xml:space="preserve">Bid Image-IT</t>
  </si>
  <si>
    <t xml:space="preserve">Bid Video-TR</t>
  </si>
  <si>
    <t xml:space="preserve">Bid Pre Approval-VN</t>
  </si>
  <si>
    <t xml:space="preserve">Bid Pre Approval-FR</t>
  </si>
  <si>
    <t xml:space="preserve">Bid Image-HU</t>
  </si>
  <si>
    <t xml:space="preserve">Bid Ad Group-BH</t>
  </si>
  <si>
    <t xml:space="preserve">Bid Ad Group-LT</t>
  </si>
  <si>
    <t xml:space="preserve">Bid Ecom Ads Group-RS</t>
  </si>
  <si>
    <t xml:space="preserve">Bid Text-PL</t>
  </si>
  <si>
    <t xml:space="preserve">Bid Text-IE</t>
  </si>
  <si>
    <t xml:space="preserve">Bid Image-VN</t>
  </si>
  <si>
    <t xml:space="preserve">Bid Ecom URL-SG</t>
  </si>
  <si>
    <t xml:space="preserve">Bid Image-AE</t>
  </si>
  <si>
    <t xml:space="preserve">Bid Audio-AR</t>
  </si>
  <si>
    <t xml:space="preserve">Bid Link-KW</t>
  </si>
  <si>
    <t xml:space="preserve">Bid Ecom URL-CH</t>
  </si>
  <si>
    <t xml:space="preserve">Bid Video-SA</t>
  </si>
  <si>
    <t xml:space="preserve">Bid Image-GB</t>
  </si>
  <si>
    <t xml:space="preserve">Bid Image-KZ</t>
  </si>
  <si>
    <t xml:space="preserve">Bid Ecom Ads Group-OM</t>
  </si>
  <si>
    <t xml:space="preserve">Bid Video-CL</t>
  </si>
  <si>
    <t xml:space="preserve">Bid Ecom Video-PH</t>
  </si>
  <si>
    <t xml:space="preserve">Bid Link-KE</t>
  </si>
  <si>
    <t xml:space="preserve">Bid Text-CA</t>
  </si>
  <si>
    <t xml:space="preserve">Bid Link-EC</t>
  </si>
  <si>
    <t xml:space="preserve">Bid Ecom Ads Group-PL</t>
  </si>
  <si>
    <t xml:space="preserve">Bid Image-GT</t>
  </si>
  <si>
    <t xml:space="preserve">Bid Text-BH</t>
  </si>
  <si>
    <t xml:space="preserve">Bid Ecom Video-PR</t>
  </si>
  <si>
    <t xml:space="preserve">Bid Audio-PK</t>
  </si>
  <si>
    <t xml:space="preserve">Bid Link-SE</t>
  </si>
  <si>
    <t xml:space="preserve">Bid Ecom URL-LV</t>
  </si>
  <si>
    <t xml:space="preserve">Bid Video-BR</t>
  </si>
  <si>
    <t xml:space="preserve">Bid Ecom Video-GT</t>
  </si>
  <si>
    <t xml:space="preserve">Bid Video-PY</t>
  </si>
  <si>
    <t xml:space="preserve">Bid Video-DK</t>
  </si>
  <si>
    <t xml:space="preserve">Bid Ecom Video-NL</t>
  </si>
  <si>
    <t xml:space="preserve">Bid Text-JP</t>
  </si>
  <si>
    <t xml:space="preserve">Bid Audio-DE</t>
  </si>
  <si>
    <t xml:space="preserve">Bid Ecom URL-KR</t>
  </si>
  <si>
    <t xml:space="preserve">Bid Ecom Video-MY</t>
  </si>
  <si>
    <t xml:space="preserve">Bid Text-LV</t>
  </si>
  <si>
    <t xml:space="preserve">Bid Audio-NL</t>
  </si>
  <si>
    <t xml:space="preserve">Bid Audio-TH</t>
  </si>
  <si>
    <t xml:space="preserve">Bid Ecom URL-NZ</t>
  </si>
  <si>
    <t xml:space="preserve">Bid Audio-KZ</t>
  </si>
  <si>
    <t xml:space="preserve">Bid Link-HU</t>
  </si>
  <si>
    <t xml:space="preserve">Bid Text-CR</t>
  </si>
  <si>
    <t xml:space="preserve">Bid Ecom URL-ES</t>
  </si>
  <si>
    <t xml:space="preserve">Bid Image-JO</t>
  </si>
  <si>
    <t xml:space="preserve">Bid Image-PK</t>
  </si>
  <si>
    <t xml:space="preserve">Bid Ecom Video-DK</t>
  </si>
  <si>
    <t xml:space="preserve">Bid Video-BY</t>
  </si>
  <si>
    <t xml:space="preserve">Bid Ecom Ads Group-NO</t>
  </si>
  <si>
    <t xml:space="preserve">Bid Image-EG</t>
  </si>
  <si>
    <t xml:space="preserve">Bid Pre Approval-GB</t>
  </si>
  <si>
    <t xml:space="preserve">Bid Ad Group-ZA</t>
  </si>
  <si>
    <t xml:space="preserve">Bid Ad Group-UY</t>
  </si>
  <si>
    <t xml:space="preserve">Bid Ecom Ads Group-BO</t>
  </si>
  <si>
    <t xml:space="preserve">Bid Video-BE</t>
  </si>
  <si>
    <t xml:space="preserve">Bid Ecom Video-BG</t>
  </si>
  <si>
    <t xml:space="preserve">Bid Image-LT</t>
  </si>
  <si>
    <t xml:space="preserve">Bid Ecom URL-BO</t>
  </si>
  <si>
    <t xml:space="preserve">Bid Image-NL</t>
  </si>
  <si>
    <t xml:space="preserve">Bid Text-DE</t>
  </si>
  <si>
    <t xml:space="preserve">Bid Image-TH</t>
  </si>
  <si>
    <t xml:space="preserve">Bid Ecom URL-TW</t>
  </si>
  <si>
    <t xml:space="preserve">Bid Image-RO</t>
  </si>
  <si>
    <t xml:space="preserve">Bid Ecom Video-PK</t>
  </si>
  <si>
    <t xml:space="preserve">Bid Image-LK</t>
  </si>
  <si>
    <t xml:space="preserve">Bid Ecom URL-AE</t>
  </si>
  <si>
    <t xml:space="preserve">Bid Audio-CH</t>
  </si>
  <si>
    <t xml:space="preserve">Bid Link-DE</t>
  </si>
  <si>
    <t xml:space="preserve">Bid Link-NO</t>
  </si>
  <si>
    <t xml:space="preserve">Bid Image-TW</t>
  </si>
  <si>
    <t xml:space="preserve">Bid Image-DZ</t>
  </si>
  <si>
    <t xml:space="preserve">Bid Image-KR</t>
  </si>
  <si>
    <t xml:space="preserve">Bid Ecom Ads Group-PE</t>
  </si>
  <si>
    <t xml:space="preserve">Bid Video-SI</t>
  </si>
  <si>
    <t xml:space="preserve">Bid Audio-QA</t>
  </si>
  <si>
    <t xml:space="preserve">Bid Ecom Ads Group-TW</t>
  </si>
  <si>
    <t xml:space="preserve">Bid Image-PT</t>
  </si>
  <si>
    <t xml:space="preserve">Bid Video-EC</t>
  </si>
  <si>
    <t xml:space="preserve">Bid Text-HU</t>
  </si>
  <si>
    <t xml:space="preserve">Bid Link-CR</t>
  </si>
  <si>
    <t xml:space="preserve">Bid Ecom Video-SA</t>
  </si>
  <si>
    <t xml:space="preserve">Bid Image-JP</t>
  </si>
  <si>
    <t xml:space="preserve">Bid Ecom Video-KZ</t>
  </si>
  <si>
    <t xml:space="preserve">Bid Audio-ZA</t>
  </si>
  <si>
    <t xml:space="preserve">Bid Ecom URL-BH</t>
  </si>
  <si>
    <t xml:space="preserve">Bid Ecom Video-TW</t>
  </si>
  <si>
    <t xml:space="preserve">Bid Ecom Video-EG</t>
  </si>
  <si>
    <t xml:space="preserve">Bid Video-CO</t>
  </si>
  <si>
    <t xml:space="preserve">Bid Ecom Video-AT</t>
  </si>
  <si>
    <t xml:space="preserve">Bid Audio-PH</t>
  </si>
  <si>
    <t xml:space="preserve">Bid Ecom URL-RS</t>
  </si>
  <si>
    <t xml:space="preserve">Bid Video-FR</t>
  </si>
  <si>
    <t xml:space="preserve">Bid Link-SA</t>
  </si>
  <si>
    <t xml:space="preserve">Bid Text-SE</t>
  </si>
  <si>
    <t xml:space="preserve">Bid Pre Approval-CA</t>
  </si>
  <si>
    <t xml:space="preserve">Bid Ecom Video-GB</t>
  </si>
  <si>
    <t xml:space="preserve">Bid Audio-TW</t>
  </si>
  <si>
    <t xml:space="preserve">Bid Text-KE</t>
  </si>
  <si>
    <t xml:space="preserve">Bid Audio-JP</t>
  </si>
  <si>
    <t xml:space="preserve">Bid Pre Approval-SA</t>
  </si>
  <si>
    <t xml:space="preserve">Bid Image-ES</t>
  </si>
  <si>
    <t xml:space="preserve">Bid Link-EG</t>
  </si>
  <si>
    <t xml:space="preserve">Bid Ecom Video-NO</t>
  </si>
  <si>
    <t xml:space="preserve">Bid Video-IL</t>
  </si>
  <si>
    <t xml:space="preserve">Bid Pre Approval-CO</t>
  </si>
  <si>
    <t xml:space="preserve">Bid Link-CO</t>
  </si>
  <si>
    <t xml:space="preserve">Bid Text-VN</t>
  </si>
  <si>
    <t xml:space="preserve">Bid Image-EE</t>
  </si>
  <si>
    <t xml:space="preserve">Bid Link-IE</t>
  </si>
  <si>
    <t xml:space="preserve">Bid Ecom URL-HR</t>
  </si>
  <si>
    <t xml:space="preserve">Bid Pre Approval-AE</t>
  </si>
  <si>
    <t xml:space="preserve">Bid Video-PR</t>
  </si>
  <si>
    <t xml:space="preserve">Bid Ecom URL-VN</t>
  </si>
  <si>
    <t xml:space="preserve">Bid Link-PT</t>
  </si>
  <si>
    <t xml:space="preserve">Bid Video-HR</t>
  </si>
  <si>
    <t xml:space="preserve">Bid Video-KH</t>
  </si>
  <si>
    <t xml:space="preserve">Bid Ecom Ads Group-CZ</t>
  </si>
  <si>
    <t xml:space="preserve">Bid Link-FR</t>
  </si>
  <si>
    <t xml:space="preserve">Bid Text-AR</t>
  </si>
  <si>
    <t xml:space="preserve">Bid Video-US</t>
  </si>
  <si>
    <t xml:space="preserve">USCA</t>
  </si>
  <si>
    <t xml:space="preserve">Bid Ad Group-USCA</t>
  </si>
  <si>
    <t xml:space="preserve">Bid Ecom Ads Group-NG</t>
  </si>
  <si>
    <t xml:space="preserve">Bid Ecom Video-KE</t>
  </si>
  <si>
    <t xml:space="preserve">SD</t>
  </si>
  <si>
    <t xml:space="preserve">Bid Ad Group-SD</t>
  </si>
  <si>
    <t xml:space="preserve">Bid Text-GT</t>
  </si>
  <si>
    <t xml:space="preserve">Bid Video-CR</t>
  </si>
  <si>
    <t xml:space="preserve">Bid Ecom URL-AZ</t>
  </si>
  <si>
    <t xml:space="preserve">Bid Ecom Video-SG</t>
  </si>
  <si>
    <t xml:space="preserve">Bid Video-PE</t>
  </si>
  <si>
    <t xml:space="preserve">Bid Ecom URL-PK</t>
  </si>
  <si>
    <t xml:space="preserve">Bid Audio-AZ</t>
  </si>
  <si>
    <t xml:space="preserve">Bid Link-LK</t>
  </si>
  <si>
    <t xml:space="preserve">Bid Audio-HU</t>
  </si>
  <si>
    <t xml:space="preserve">Bid Ecom Ads Group-DZ</t>
  </si>
  <si>
    <t xml:space="preserve">Bid Link-DK</t>
  </si>
  <si>
    <t xml:space="preserve">Bid Video-MX</t>
  </si>
  <si>
    <t xml:space="preserve">Bid Pre Approval-CL</t>
  </si>
  <si>
    <t xml:space="preserve">Bid Video-TW</t>
  </si>
  <si>
    <t xml:space="preserve">Bid Ecom URL-CY</t>
  </si>
  <si>
    <t xml:space="preserve">Bid Link-CL</t>
  </si>
  <si>
    <t xml:space="preserve">Bid Video-LK</t>
  </si>
  <si>
    <t xml:space="preserve">Bid Ecom URL-LT</t>
  </si>
  <si>
    <t xml:space="preserve">Bid Ecom Video-CO</t>
  </si>
  <si>
    <t xml:space="preserve">Bid Link-UY</t>
  </si>
  <si>
    <t xml:space="preserve">Bid Text-CH</t>
  </si>
  <si>
    <t xml:space="preserve">Bid Image-FR</t>
  </si>
  <si>
    <t xml:space="preserve">Bid Text-IQ</t>
  </si>
  <si>
    <t xml:space="preserve">Bid Pre Approval-UY</t>
  </si>
  <si>
    <t xml:space="preserve">Bid Ecom Video-LK</t>
  </si>
  <si>
    <t xml:space="preserve">Bid Video-QA</t>
  </si>
  <si>
    <t xml:space="preserve">Bid Pre Approval-SG</t>
  </si>
  <si>
    <t xml:space="preserve">Bid Video-KE</t>
  </si>
  <si>
    <t xml:space="preserve">Bid Ad Group-PY</t>
  </si>
  <si>
    <t xml:space="preserve">Bid Image-IL</t>
  </si>
  <si>
    <t xml:space="preserve">Bid Video-EE</t>
  </si>
  <si>
    <t xml:space="preserve">Bid Link-NL</t>
  </si>
  <si>
    <t xml:space="preserve">Bid Link-PR</t>
  </si>
  <si>
    <t xml:space="preserve">Bid Ecom URL-PE</t>
  </si>
  <si>
    <t xml:space="preserve">Bid Audio-DK</t>
  </si>
  <si>
    <t xml:space="preserve">Bid Audio-MX</t>
  </si>
  <si>
    <t xml:space="preserve">Bid Video-VN</t>
  </si>
  <si>
    <t xml:space="preserve">Bid Text-DZ</t>
  </si>
  <si>
    <t xml:space="preserve">Bid Text-AT</t>
  </si>
  <si>
    <t xml:space="preserve">Bid Text-JO</t>
  </si>
  <si>
    <t xml:space="preserve">Bid Text-PE</t>
  </si>
  <si>
    <t xml:space="preserve">Bid Audio-KH</t>
  </si>
  <si>
    <t xml:space="preserve">Bid Video-LB</t>
  </si>
  <si>
    <t xml:space="preserve">Bid Link-BO</t>
  </si>
  <si>
    <t xml:space="preserve">Bid Link-PE</t>
  </si>
  <si>
    <t xml:space="preserve">Bid Link-JO</t>
  </si>
  <si>
    <t xml:space="preserve">Bid Link-IL</t>
  </si>
  <si>
    <t xml:space="preserve">Bid Ecom Video-AZ</t>
  </si>
  <si>
    <t xml:space="preserve">Bid Image-ID</t>
  </si>
  <si>
    <t xml:space="preserve">Bid Text-KZ</t>
  </si>
  <si>
    <t xml:space="preserve">Bid Audio-CZ</t>
  </si>
  <si>
    <t xml:space="preserve">Bid Video-SG</t>
  </si>
  <si>
    <t xml:space="preserve">Bid Image-GR</t>
  </si>
  <si>
    <t xml:space="preserve">Bid Ecom Video-ES</t>
  </si>
  <si>
    <t xml:space="preserve">Bid Text-HR</t>
  </si>
  <si>
    <t xml:space="preserve">Bid Image-AU</t>
  </si>
  <si>
    <t xml:space="preserve">Bid Ecom URL-AU</t>
  </si>
  <si>
    <t xml:space="preserve">Bid Ecom URL-JO</t>
  </si>
  <si>
    <t xml:space="preserve">Bid Text-PR</t>
  </si>
  <si>
    <t xml:space="preserve">Bid Text-NL</t>
  </si>
  <si>
    <t xml:space="preserve">Bid Video-GB</t>
  </si>
  <si>
    <t xml:space="preserve">Bid Ecom URL-CA</t>
  </si>
  <si>
    <t xml:space="preserve">Bid Ecom URL-ZA</t>
  </si>
  <si>
    <t xml:space="preserve">Bid Video-IT</t>
  </si>
  <si>
    <t xml:space="preserve">Bid Text-SI</t>
  </si>
  <si>
    <t xml:space="preserve">Bid Ecom URL-MY</t>
  </si>
  <si>
    <t xml:space="preserve">Bid Text-MA</t>
  </si>
  <si>
    <t xml:space="preserve">Bid Link-EE</t>
  </si>
  <si>
    <t xml:space="preserve">Bid Image-IE</t>
  </si>
  <si>
    <t xml:space="preserve">Bid Ecom URL-KZ</t>
  </si>
  <si>
    <t xml:space="preserve">Bid Video-NG</t>
  </si>
  <si>
    <t xml:space="preserve">Bid Ecom Video-DO</t>
  </si>
  <si>
    <t xml:space="preserve">Bid Image-CL</t>
  </si>
  <si>
    <t xml:space="preserve">Bid Ecom URL-RO</t>
  </si>
  <si>
    <t xml:space="preserve">Bid Text-NZ</t>
  </si>
  <si>
    <t xml:space="preserve">Bid Ecom Video-KR</t>
  </si>
  <si>
    <t xml:space="preserve">Bid Ecom Video-BY</t>
  </si>
  <si>
    <t xml:space="preserve">Bid Audio-BE</t>
  </si>
  <si>
    <t xml:space="preserve">Bid Text-UY</t>
  </si>
  <si>
    <t xml:space="preserve">Bid Text-AU</t>
  </si>
  <si>
    <t xml:space="preserve">Bid Video-PK</t>
  </si>
  <si>
    <t xml:space="preserve">Bid Image-BY</t>
  </si>
  <si>
    <t xml:space="preserve">Bid Link-AZ</t>
  </si>
  <si>
    <t xml:space="preserve">Bid Ecom URL-BR</t>
  </si>
  <si>
    <t xml:space="preserve">Bid Video-NL</t>
  </si>
  <si>
    <t xml:space="preserve">Bid Audio-BR</t>
  </si>
  <si>
    <t xml:space="preserve">Bid Video-EG</t>
  </si>
  <si>
    <t xml:space="preserve">Bid Ecom URL-PH</t>
  </si>
  <si>
    <t xml:space="preserve">Bid Ecom URL-CO</t>
  </si>
  <si>
    <t xml:space="preserve">Bid Text-LK</t>
  </si>
  <si>
    <t xml:space="preserve">Bid Image-SG</t>
  </si>
  <si>
    <t xml:space="preserve">Bid Audio-IT</t>
  </si>
  <si>
    <t xml:space="preserve">Bid Image-DO</t>
  </si>
  <si>
    <t xml:space="preserve">Bid Image-BH</t>
  </si>
  <si>
    <t xml:space="preserve">Bid Audio-NZ</t>
  </si>
  <si>
    <t xml:space="preserve">Bid Video-BD</t>
  </si>
  <si>
    <t xml:space="preserve">Bid Ecom URL-PY</t>
  </si>
  <si>
    <t xml:space="preserve">Bid Text-CO</t>
  </si>
  <si>
    <t xml:space="preserve">Bid Ecom URL-PL</t>
  </si>
  <si>
    <t xml:space="preserve">Bid Pre Approval-PH</t>
  </si>
  <si>
    <t xml:space="preserve">Bid Ecom Video-HU</t>
  </si>
  <si>
    <t xml:space="preserve">Bid Link-VN</t>
  </si>
  <si>
    <t xml:space="preserve">Bid Link-SK</t>
  </si>
  <si>
    <t xml:space="preserve">Bid Text-AE</t>
  </si>
  <si>
    <t xml:space="preserve">Bid Audio-BH</t>
  </si>
  <si>
    <t xml:space="preserve">Bid Video-IE</t>
  </si>
  <si>
    <t xml:space="preserve">Bid Text-EG</t>
  </si>
  <si>
    <t xml:space="preserve">Bid Audio-JO</t>
  </si>
  <si>
    <t xml:space="preserve">Bid Text-SA</t>
  </si>
  <si>
    <t xml:space="preserve">Bid Audio-LT</t>
  </si>
  <si>
    <t xml:space="preserve">Bid Link-TR</t>
  </si>
  <si>
    <t xml:space="preserve">Bid Audio-RO</t>
  </si>
  <si>
    <t xml:space="preserve">Bid Pre Approval-TR</t>
  </si>
  <si>
    <t xml:space="preserve">Bid Image-RS</t>
  </si>
  <si>
    <t xml:space="preserve">Bid Ecom URL-SK</t>
  </si>
  <si>
    <t xml:space="preserve">Bid Ecom Video-JO</t>
  </si>
  <si>
    <t xml:space="preserve">MENA</t>
  </si>
  <si>
    <t xml:space="preserve">Bid Ad Group-MENA</t>
  </si>
  <si>
    <t xml:space="preserve">Bid Link-GB</t>
  </si>
  <si>
    <t xml:space="preserve">Bid Image-DE</t>
  </si>
  <si>
    <t xml:space="preserve">Bid Audio-MA</t>
  </si>
  <si>
    <t xml:space="preserve">Bid Link-BG</t>
  </si>
  <si>
    <t xml:space="preserve">Bid Image-ZA</t>
  </si>
  <si>
    <t xml:space="preserve">Bid Text-ID</t>
  </si>
  <si>
    <t xml:space="preserve">Bid Ecom URL-PT</t>
  </si>
  <si>
    <t xml:space="preserve">Bid Text-GB</t>
  </si>
  <si>
    <t xml:space="preserve">Bid Ecom URL-EG</t>
  </si>
  <si>
    <t xml:space="preserve">Bid Image-NO</t>
  </si>
  <si>
    <t xml:space="preserve">Bid Pre Approval-KR</t>
  </si>
  <si>
    <t xml:space="preserve">Bid Audio-KE</t>
  </si>
  <si>
    <t xml:space="preserve">Bid Audio-ES</t>
  </si>
  <si>
    <t xml:space="preserve">Bid Ecom Video-LV</t>
  </si>
  <si>
    <t xml:space="preserve">Bid Ecom Video-BR</t>
  </si>
  <si>
    <t xml:space="preserve">Bid Link-JP</t>
  </si>
  <si>
    <t xml:space="preserve">Bid Video-MY</t>
  </si>
  <si>
    <t xml:space="preserve">Bid Image-SE</t>
  </si>
  <si>
    <t xml:space="preserve">Bid Text-TR</t>
  </si>
  <si>
    <t xml:space="preserve">Bid Link-CY</t>
  </si>
  <si>
    <t xml:space="preserve">Bid Video-UY</t>
  </si>
  <si>
    <t xml:space="preserve">Bid Image-QA</t>
  </si>
  <si>
    <t xml:space="preserve">Bid Link-OM</t>
  </si>
  <si>
    <t xml:space="preserve">Bid Link-BH</t>
  </si>
  <si>
    <t xml:space="preserve">Bid Image-LV</t>
  </si>
  <si>
    <t xml:space="preserve">Bid Link-AE</t>
  </si>
  <si>
    <t xml:space="preserve">Bid Text-SK</t>
  </si>
  <si>
    <t xml:space="preserve">Bid Video-BG</t>
  </si>
  <si>
    <t xml:space="preserve">Bid Ecom Video-QA</t>
  </si>
  <si>
    <t xml:space="preserve">Bid Text-QA</t>
  </si>
  <si>
    <t xml:space="preserve">Bid Ecom Ads Group-PR</t>
  </si>
  <si>
    <t xml:space="preserve">Bid Video-CY</t>
  </si>
  <si>
    <t xml:space="preserve">Bid Ecom Video-AR</t>
  </si>
  <si>
    <t xml:space="preserve">Bid Ecom Video-PA</t>
  </si>
  <si>
    <t xml:space="preserve">Bid Ecom Video-TR</t>
  </si>
  <si>
    <t xml:space="preserve">Bid Ecom URL-QA</t>
  </si>
  <si>
    <t xml:space="preserve">Bid Ecom Video-TH</t>
  </si>
  <si>
    <t xml:space="preserve">Bid Text-TW</t>
  </si>
  <si>
    <t xml:space="preserve">Bid Text-DO</t>
  </si>
  <si>
    <t xml:space="preserve">Bid Ecom URL-BD</t>
  </si>
  <si>
    <t xml:space="preserve">Bid Pre Approval-DK</t>
  </si>
  <si>
    <t xml:space="preserve">Bid Audio-VN</t>
  </si>
  <si>
    <t xml:space="preserve">Sponsored Content</t>
  </si>
  <si>
    <t xml:space="preserve">Sponsored Content Community Video</t>
  </si>
  <si>
    <t xml:space="preserve">LU</t>
  </si>
  <si>
    <t xml:space="preserve">Sponsored Content Community Video-LU</t>
  </si>
  <si>
    <t xml:space="preserve">Sponsored Content Community Video-IQ</t>
  </si>
  <si>
    <t xml:space="preserve">Sponsored Content Community Video-DE</t>
  </si>
  <si>
    <t xml:space="preserve">Sponsored Content Community Video-SA</t>
  </si>
  <si>
    <t xml:space="preserve">Sponsored Content Community Video-PH</t>
  </si>
  <si>
    <t xml:space="preserve">Sponsored Content Community Video-OM</t>
  </si>
  <si>
    <t xml:space="preserve">Sponsored Content Community Video-SE</t>
  </si>
  <si>
    <t xml:space="preserve">Sponsored Content Community Video-BE</t>
  </si>
  <si>
    <t xml:space="preserve">Sponsored Content Community Video-PL</t>
  </si>
  <si>
    <t xml:space="preserve">Sponsored Content Community Video-SG</t>
  </si>
  <si>
    <t xml:space="preserve">Sponsored Content Community Video-CO</t>
  </si>
  <si>
    <t xml:space="preserve">Sponsored Content Community Video-JO</t>
  </si>
  <si>
    <t xml:space="preserve">Sponsored Content Community Video-NZ</t>
  </si>
  <si>
    <t xml:space="preserve">Sponsored Content Community Video-PE</t>
  </si>
  <si>
    <t xml:space="preserve">Sponsored Content Community Video-TR</t>
  </si>
  <si>
    <t xml:space="preserve">Sponsored Content Community Video-PK</t>
  </si>
  <si>
    <t xml:space="preserve">Sponsored Content Community Video-CH</t>
  </si>
  <si>
    <t xml:space="preserve">Sponsored Content Community Video-QA</t>
  </si>
  <si>
    <t xml:space="preserve">Sponsored Content Community Video-CZ</t>
  </si>
  <si>
    <t xml:space="preserve">Sponsored Content Community Video-LT</t>
  </si>
  <si>
    <t xml:space="preserve">Sponsored Content Community Video-CY</t>
  </si>
  <si>
    <t xml:space="preserve">Sponsored Content Community Video-EG</t>
  </si>
  <si>
    <t xml:space="preserve">Sponsored Content Community Video-CA</t>
  </si>
  <si>
    <t xml:space="preserve">Sponsored Content Community Video-KZ</t>
  </si>
  <si>
    <t xml:space="preserve">Sponsored Content Community Video-JP</t>
  </si>
  <si>
    <t xml:space="preserve">Sponsored Content Community Video-NO</t>
  </si>
  <si>
    <t xml:space="preserve">Sponsored Content Community Video-BY</t>
  </si>
  <si>
    <t xml:space="preserve">Sponsored Content Community Video-TW</t>
  </si>
  <si>
    <t xml:space="preserve">Sponsored Content Community Video-IE</t>
  </si>
  <si>
    <t xml:space="preserve">Sponsored Content Community Video-AT</t>
  </si>
  <si>
    <t xml:space="preserve">Sponsored Content Community Video-GB</t>
  </si>
  <si>
    <t xml:space="preserve">Sponsored Content Community Video-ES</t>
  </si>
  <si>
    <t xml:space="preserve">Sponsored Content Community Video-MA</t>
  </si>
  <si>
    <t xml:space="preserve">Sponsored Content Community Video-PT</t>
  </si>
  <si>
    <t xml:space="preserve">Sponsored Content Community Video-LB</t>
  </si>
  <si>
    <t xml:space="preserve">UA</t>
  </si>
  <si>
    <t xml:space="preserve">Sponsored Content Community Video-UA</t>
  </si>
  <si>
    <t xml:space="preserve">Sponsored Content Community Video-AU</t>
  </si>
  <si>
    <t xml:space="preserve">Sponsored Content Community Video-IL</t>
  </si>
  <si>
    <t xml:space="preserve">Sponsored Content Community Video-IT</t>
  </si>
  <si>
    <t xml:space="preserve">Sponsored Content Community Video-MY</t>
  </si>
  <si>
    <t xml:space="preserve">Sponsored Content Community Video-KW</t>
  </si>
  <si>
    <t xml:space="preserve">Sponsored Content Community Video-RO</t>
  </si>
  <si>
    <t xml:space="preserve">Sponsored Content Community Video-ZA</t>
  </si>
  <si>
    <t xml:space="preserve">Sponsored Content Community Video-MX</t>
  </si>
  <si>
    <t xml:space="preserve">Sponsored Content Community Video-NL</t>
  </si>
  <si>
    <t xml:space="preserve">Sponsored Content Community Video-BR</t>
  </si>
  <si>
    <t xml:space="preserve">Sponsored Content Community Video-VN</t>
  </si>
  <si>
    <t xml:space="preserve">Sponsored Content Community Video-HR</t>
  </si>
  <si>
    <t xml:space="preserve">Sponsored Content Community Video-FR</t>
  </si>
  <si>
    <t xml:space="preserve">Sponsored Content Community Video-HU</t>
  </si>
  <si>
    <t xml:space="preserve">RU</t>
  </si>
  <si>
    <t xml:space="preserve">Sponsored Content Community Video-RU</t>
  </si>
  <si>
    <t xml:space="preserve">Sponsored Content Community Video-TH</t>
  </si>
  <si>
    <t xml:space="preserve">Sponsored Content Community Video-ID</t>
  </si>
  <si>
    <t xml:space="preserve">Sponsored Content Community Video-CL</t>
  </si>
  <si>
    <t xml:space="preserve">Sponsored Content Community Video-AR</t>
  </si>
  <si>
    <t xml:space="preserve">Sponsored Content Community Video-EE</t>
  </si>
  <si>
    <t xml:space="preserve">Sponsored Content Community Video-KH</t>
  </si>
  <si>
    <t xml:space="preserve">Sponsored Content Community Video-BH</t>
  </si>
  <si>
    <t xml:space="preserve">Sponsored Content Community Video-AE</t>
  </si>
  <si>
    <t xml:space="preserve">Sponsored Content Community Video-GR</t>
  </si>
  <si>
    <t xml:space="preserve">Sponsored Content Community Video-BG</t>
  </si>
  <si>
    <t xml:space="preserve">Sponsored Content Community Video-US</t>
  </si>
  <si>
    <t xml:space="preserve">IS</t>
  </si>
  <si>
    <t xml:space="preserve">Sponsored Content Community Video-IS</t>
  </si>
  <si>
    <t xml:space="preserve">Sponsored Content Community Video-KR</t>
  </si>
  <si>
    <t xml:space="preserve">Sponsored Content Community Video-DK</t>
  </si>
  <si>
    <t xml:space="preserve">Sponsored Content Community Video-FI</t>
  </si>
  <si>
    <t xml:space="preserve">UZ</t>
  </si>
  <si>
    <t xml:space="preserve">Sponsored Content Community Video-UZ</t>
  </si>
  <si>
    <t xml:space="preserve">Feature Ads</t>
  </si>
  <si>
    <t xml:space="preserve">Highlight View</t>
  </si>
  <si>
    <t xml:space="preserve">Highlight View-IQ</t>
  </si>
  <si>
    <t xml:space="preserve">Highlight View-FI</t>
  </si>
  <si>
    <t xml:space="preserve">Community Interaction Livestream</t>
  </si>
  <si>
    <t xml:space="preserve">Community Interaction Livestream-TH</t>
  </si>
  <si>
    <t xml:space="preserve">Booking Ads Pre Approval</t>
  </si>
  <si>
    <t xml:space="preserve">Booking Ads Pre Approval-SG</t>
  </si>
  <si>
    <t xml:space="preserve">Community Interaction Livestream-PH</t>
  </si>
  <si>
    <t xml:space="preserve">Booking Ads Pre Approval-RO</t>
  </si>
  <si>
    <t xml:space="preserve">Booking Ads Pre Approval-GT</t>
  </si>
  <si>
    <t xml:space="preserve">Booking Ads Pre Approval-KZ</t>
  </si>
  <si>
    <t xml:space="preserve">R&amp;F Ads</t>
  </si>
  <si>
    <t xml:space="preserve">R&amp;F Ads-AE</t>
  </si>
  <si>
    <t xml:space="preserve">Highlight View-JP</t>
  </si>
  <si>
    <t xml:space="preserve">Booking Ads Pre Approval-SE</t>
  </si>
  <si>
    <t xml:space="preserve">Media Ads</t>
  </si>
  <si>
    <t xml:space="preserve">Media Ads-JP</t>
  </si>
  <si>
    <t xml:space="preserve">Highlight View-CL</t>
  </si>
  <si>
    <t xml:space="preserve">Highlight View-AU</t>
  </si>
  <si>
    <t xml:space="preserve">Booking Ads Pre Approval-GB</t>
  </si>
  <si>
    <t xml:space="preserve">Booking Ads Pre Approval-NZ</t>
  </si>
  <si>
    <t xml:space="preserve">Booking Ads Pre Approval-PA</t>
  </si>
  <si>
    <t xml:space="preserve">Media Ads-SG</t>
  </si>
  <si>
    <t xml:space="preserve">Highlight View-MA</t>
  </si>
  <si>
    <t xml:space="preserve">Community Interaction Livestream-KR</t>
  </si>
  <si>
    <t xml:space="preserve">Highlight View-CR</t>
  </si>
  <si>
    <t xml:space="preserve">Booking Ads Pre Approval-DO</t>
  </si>
  <si>
    <t xml:space="preserve">Media Ads-NZ</t>
  </si>
  <si>
    <t xml:space="preserve">R&amp;F Ads-SG</t>
  </si>
  <si>
    <t xml:space="preserve">Booking Ads Pre Approval-AR</t>
  </si>
  <si>
    <t xml:space="preserve">Community Interaction Livestream-TR</t>
  </si>
  <si>
    <t xml:space="preserve">Highlight View-PH</t>
  </si>
  <si>
    <t xml:space="preserve">Booking Ads Pre Approval-PK</t>
  </si>
  <si>
    <t xml:space="preserve">Media Ads-VN</t>
  </si>
  <si>
    <t xml:space="preserve">Booking Ads Pre Approval-TH</t>
  </si>
  <si>
    <t xml:space="preserve">Media Ads-PK</t>
  </si>
  <si>
    <t xml:space="preserve">Booking Ads Pre Approval-NL</t>
  </si>
  <si>
    <t xml:space="preserve">Highlight View-TR</t>
  </si>
  <si>
    <t xml:space="preserve">Booking Ads Pre Approval-DE</t>
  </si>
  <si>
    <t xml:space="preserve">Highlight View-GB</t>
  </si>
  <si>
    <t xml:space="preserve">Highlight View-SE</t>
  </si>
  <si>
    <t xml:space="preserve">Booking Ads Pre Approval-CO</t>
  </si>
  <si>
    <t xml:space="preserve">Media Ads-CL</t>
  </si>
  <si>
    <t xml:space="preserve">Booking Ads Pre Approval-MA</t>
  </si>
  <si>
    <t xml:space="preserve">Highlight View-MX</t>
  </si>
  <si>
    <t xml:space="preserve">Highlight View-MY</t>
  </si>
  <si>
    <t xml:space="preserve">Booking Ads Pre Approval-UY</t>
  </si>
  <si>
    <t xml:space="preserve">R&amp;F Ads-JP</t>
  </si>
  <si>
    <t xml:space="preserve">Highlight View-KZ</t>
  </si>
  <si>
    <t xml:space="preserve">Booking Ads Pre Approval-CH</t>
  </si>
  <si>
    <t xml:space="preserve">Media Ads-CO</t>
  </si>
  <si>
    <t xml:space="preserve">Highlight View-IT</t>
  </si>
  <si>
    <t xml:space="preserve">Highlight View-AE</t>
  </si>
  <si>
    <t xml:space="preserve">Community Interaction Livestream-JP</t>
  </si>
  <si>
    <t xml:space="preserve">Highlight View-EG</t>
  </si>
  <si>
    <t xml:space="preserve">Booking Ads Pre Approval-PH</t>
  </si>
  <si>
    <t xml:space="preserve">Booking Ads Pre Approval-QA</t>
  </si>
  <si>
    <t xml:space="preserve">R&amp;F Ads-TW</t>
  </si>
  <si>
    <t xml:space="preserve">Highlight View-BD</t>
  </si>
  <si>
    <t xml:space="preserve">R&amp;F Ads-AU</t>
  </si>
  <si>
    <t xml:space="preserve">Community Interaction Livestream-BR</t>
  </si>
  <si>
    <t xml:space="preserve">Highlight View-DE</t>
  </si>
  <si>
    <t xml:space="preserve">R&amp;F Ads-ID</t>
  </si>
  <si>
    <t xml:space="preserve">Booking Ads Pre Approval-MX</t>
  </si>
  <si>
    <t xml:space="preserve">Highlight View-KH</t>
  </si>
  <si>
    <t xml:space="preserve">Booking Ads Pre Approval-TW</t>
  </si>
  <si>
    <t xml:space="preserve">Booking Ads Pre Approval-NO</t>
  </si>
  <si>
    <t xml:space="preserve">Media Ads-SA</t>
  </si>
  <si>
    <t xml:space="preserve">Highlight View-BY</t>
  </si>
  <si>
    <t xml:space="preserve">R&amp;F Ads-PL</t>
  </si>
  <si>
    <t xml:space="preserve">Highlight View-AT</t>
  </si>
  <si>
    <t xml:space="preserve">R&amp;F Ads-IL</t>
  </si>
  <si>
    <t xml:space="preserve">Highlight View-IE</t>
  </si>
  <si>
    <t xml:space="preserve">Community Interaction Livestream-VN</t>
  </si>
  <si>
    <t xml:space="preserve">Highlight View-SG</t>
  </si>
  <si>
    <t xml:space="preserve">Community Interaction Livestream-ID</t>
  </si>
  <si>
    <t xml:space="preserve">Highlight View-NL</t>
  </si>
  <si>
    <t xml:space="preserve">R&amp;F Ads-CO</t>
  </si>
  <si>
    <t xml:space="preserve">R&amp;F Ads-TH</t>
  </si>
  <si>
    <t xml:space="preserve">Booking Ads Pre Approval-VN</t>
  </si>
  <si>
    <t xml:space="preserve">Booking Ads Pre Approval-TR</t>
  </si>
  <si>
    <t xml:space="preserve">Highlight View-SA</t>
  </si>
  <si>
    <t xml:space="preserve">R&amp;F Ads-TR</t>
  </si>
  <si>
    <t xml:space="preserve">Booking Ads Pre Approval-MY</t>
  </si>
  <si>
    <t xml:space="preserve">Booking Ads Pre Approval-FR</t>
  </si>
  <si>
    <t xml:space="preserve">Media Ads-US</t>
  </si>
  <si>
    <t xml:space="preserve">Community Interaction Livestream-MX</t>
  </si>
  <si>
    <t xml:space="preserve">Booking Ads Pre Approval-ID</t>
  </si>
  <si>
    <t xml:space="preserve">Highlight View-DK</t>
  </si>
  <si>
    <t xml:space="preserve">R&amp;F Ads-PE</t>
  </si>
  <si>
    <t xml:space="preserve">R&amp;F Ads-US</t>
  </si>
  <si>
    <t xml:space="preserve">Community Interaction Livestream-MY</t>
  </si>
  <si>
    <t xml:space="preserve">Highlight View-PA</t>
  </si>
  <si>
    <t xml:space="preserve">Highlight View-TW</t>
  </si>
  <si>
    <t xml:space="preserve">Highlight View-ES</t>
  </si>
  <si>
    <t xml:space="preserve">Highlight View-GR</t>
  </si>
  <si>
    <t xml:space="preserve">Media Ads-IT</t>
  </si>
  <si>
    <t xml:space="preserve">R&amp;F Ads-RO</t>
  </si>
  <si>
    <t xml:space="preserve">R&amp;F Ads-ES</t>
  </si>
  <si>
    <t xml:space="preserve">Booking Ads Pre Approval-CR</t>
  </si>
  <si>
    <t xml:space="preserve">Booking Ads Pre Approval-IL</t>
  </si>
  <si>
    <t xml:space="preserve">Highlight View-CH</t>
  </si>
  <si>
    <t xml:space="preserve">Media Ads-PE</t>
  </si>
  <si>
    <t xml:space="preserve">Media Ads-AU</t>
  </si>
  <si>
    <t xml:space="preserve">Highlight View-VN</t>
  </si>
  <si>
    <t xml:space="preserve">Booking Ads Pre Approval-CZ</t>
  </si>
  <si>
    <t xml:space="preserve">Media Ads-MX</t>
  </si>
  <si>
    <t xml:space="preserve">R&amp;F Ads-BY</t>
  </si>
  <si>
    <t xml:space="preserve">Highlight View-CZ</t>
  </si>
  <si>
    <t xml:space="preserve">R&amp;F Ads-GB</t>
  </si>
  <si>
    <t xml:space="preserve">Media Ads-KW</t>
  </si>
  <si>
    <t xml:space="preserve">Highlight View-FR</t>
  </si>
  <si>
    <t xml:space="preserve">Highlight View-BE</t>
  </si>
  <si>
    <t xml:space="preserve">Highlight View-CO</t>
  </si>
  <si>
    <t xml:space="preserve">Booking Ads Pre Approval-GR</t>
  </si>
  <si>
    <t xml:space="preserve">Booking Ads Pre Approval-PL</t>
  </si>
  <si>
    <t xml:space="preserve">Booking Ads Pre Approval-CL</t>
  </si>
  <si>
    <t xml:space="preserve">Booking Ads Pre Approval-AT</t>
  </si>
  <si>
    <t xml:space="preserve">Booking Ads Pre Approval-SA</t>
  </si>
  <si>
    <t xml:space="preserve">Highlight View-NO</t>
  </si>
  <si>
    <t xml:space="preserve">Booking Ads Pre Approval-BR</t>
  </si>
  <si>
    <t xml:space="preserve">Highlight View-UY</t>
  </si>
  <si>
    <t xml:space="preserve">Highlight View-ZA</t>
  </si>
  <si>
    <t xml:space="preserve">Highlight View-CA</t>
  </si>
  <si>
    <t xml:space="preserve">Media Ads-CA</t>
  </si>
  <si>
    <t xml:space="preserve">Booking Ads Pre Approval-IT</t>
  </si>
  <si>
    <t xml:space="preserve">Highlight View-ID</t>
  </si>
  <si>
    <t xml:space="preserve">R&amp;F Ads-VN</t>
  </si>
  <si>
    <t xml:space="preserve">Highlight View-BR</t>
  </si>
  <si>
    <t xml:space="preserve">Highlight View-LU</t>
  </si>
  <si>
    <t xml:space="preserve">Highlight View-RO</t>
  </si>
  <si>
    <t xml:space="preserve">Highlight View-OM</t>
  </si>
  <si>
    <t xml:space="preserve">Media Ads-PH</t>
  </si>
  <si>
    <t xml:space="preserve">Highlight View-US</t>
  </si>
  <si>
    <t xml:space="preserve">Booking Ads Pre Approval-FI</t>
  </si>
  <si>
    <t xml:space="preserve">Booking Ads Pre Approval-ES</t>
  </si>
  <si>
    <t xml:space="preserve">Media Ads-GB</t>
  </si>
  <si>
    <t xml:space="preserve">Booking Ads Pre Approval-ZA</t>
  </si>
  <si>
    <t xml:space="preserve">R&amp;F Ads-NZ</t>
  </si>
  <si>
    <t xml:space="preserve">Booking Ads Pre Approval-JP</t>
  </si>
  <si>
    <t xml:space="preserve">Media Ads-TR</t>
  </si>
  <si>
    <t xml:space="preserve">Highlight View-AR</t>
  </si>
  <si>
    <t xml:space="preserve">Highlight View-KW</t>
  </si>
  <si>
    <t xml:space="preserve">Highlight View-PE</t>
  </si>
  <si>
    <t xml:space="preserve">Booking Ads Pre Approval-PE</t>
  </si>
  <si>
    <t xml:space="preserve">Highlight View-QA</t>
  </si>
  <si>
    <t xml:space="preserve">Highlight View-PK</t>
  </si>
  <si>
    <t xml:space="preserve">Booking Ads Pre Approval-KH</t>
  </si>
  <si>
    <t xml:space="preserve">Booking Ads Pre Approval-US</t>
  </si>
  <si>
    <t xml:space="preserve">Highlight View-PL</t>
  </si>
  <si>
    <t xml:space="preserve">Highlight View-IL</t>
  </si>
  <si>
    <t xml:space="preserve">Booking Ads Pre Approval-KW</t>
  </si>
  <si>
    <t xml:space="preserve">Highlight View-TH</t>
  </si>
  <si>
    <t xml:space="preserve">Highlight View-HU</t>
  </si>
  <si>
    <t xml:space="preserve">Booking Ads Pre Approval-AU</t>
  </si>
  <si>
    <t xml:space="preserve">R&amp;F Ads-MX</t>
  </si>
  <si>
    <t xml:space="preserve">Highlight View-KR</t>
  </si>
  <si>
    <t xml:space="preserve">Highlight View-NZ</t>
  </si>
  <si>
    <t xml:space="preserve">Media Ads-CZ</t>
  </si>
  <si>
    <t xml:space="preserve">Highlight View-GT</t>
  </si>
  <si>
    <t xml:space="preserve">R&amp;F Ads-DE</t>
  </si>
  <si>
    <t xml:space="preserve">Media Ads-AE</t>
  </si>
  <si>
    <t xml:space="preserve">Pro Account</t>
  </si>
  <si>
    <t xml:space="preserve">BA Ecomm Community Video</t>
  </si>
  <si>
    <t xml:space="preserve">BA Ecomm Community Video-IT</t>
  </si>
  <si>
    <t xml:space="preserve">Pro Account ROI2 Video</t>
  </si>
  <si>
    <t xml:space="preserve">Pro Account ROI2 Video-AR</t>
  </si>
  <si>
    <t xml:space="preserve">Pro Account 3P Lead Gen Anchor</t>
  </si>
  <si>
    <t xml:space="preserve">Pro Account 3P Lead Gen Anchor-AR</t>
  </si>
  <si>
    <t xml:space="preserve">BA Ecomm Community Video-AE</t>
  </si>
  <si>
    <t xml:space="preserve">BA Ecomm Community Video-CA</t>
  </si>
  <si>
    <t xml:space="preserve">BA Ecomm Community Video-DE</t>
  </si>
  <si>
    <t xml:space="preserve">Pro Account 3P Lead Gen Anchor-TR</t>
  </si>
  <si>
    <t xml:space="preserve">Pro Account ROI2 Video-TR</t>
  </si>
  <si>
    <t xml:space="preserve">Pro Account Product</t>
  </si>
  <si>
    <t xml:space="preserve">Pro Account Product-MX</t>
  </si>
  <si>
    <t xml:space="preserve">Pro Account App Download Anchor</t>
  </si>
  <si>
    <t xml:space="preserve">Pro Account App Download Anchor-SG</t>
  </si>
  <si>
    <t xml:space="preserve">Pro Account Product-EC</t>
  </si>
  <si>
    <t xml:space="preserve">Pro Account Web Conversion Anchor</t>
  </si>
  <si>
    <t xml:space="preserve">Pro Account Web Conversion Anchor-PH</t>
  </si>
  <si>
    <t xml:space="preserve">BA Ecomm Community Video-PK</t>
  </si>
  <si>
    <t xml:space="preserve">Pro Account ROI2 Video-DE</t>
  </si>
  <si>
    <t xml:space="preserve">Pro Account Product-FR</t>
  </si>
  <si>
    <t xml:space="preserve">Pro Account App Download Anchor-PL</t>
  </si>
  <si>
    <t xml:space="preserve">Pro Account ROI2 Video-PH</t>
  </si>
  <si>
    <t xml:space="preserve">Pro Account ROI2 Video-BR</t>
  </si>
  <si>
    <t xml:space="preserve">Pro Account ROI2 Video-KR</t>
  </si>
  <si>
    <t xml:space="preserve">BA Ecomm Community Video-GB</t>
  </si>
  <si>
    <t xml:space="preserve">Pro Account App Download Anchor-VN</t>
  </si>
  <si>
    <t xml:space="preserve">Pro Account 3P Lead Gen Anchor-KW</t>
  </si>
  <si>
    <t xml:space="preserve">BA Ecomm Community Video-KR</t>
  </si>
  <si>
    <t xml:space="preserve">Pro Account App Download Anchor-SE</t>
  </si>
  <si>
    <t xml:space="preserve">Pro Account Product-KH</t>
  </si>
  <si>
    <t xml:space="preserve">Pro Account Product-BE</t>
  </si>
  <si>
    <t xml:space="preserve">Pro Account ROI2 Video-NL</t>
  </si>
  <si>
    <t xml:space="preserve">Pro Account App Download Anchor-GB</t>
  </si>
  <si>
    <t xml:space="preserve">Pro Account 3P Lead Gen Anchor-PE</t>
  </si>
  <si>
    <t xml:space="preserve">Pro Account Product-PE</t>
  </si>
  <si>
    <t xml:space="preserve">BA Ecomm Community Video-NZ</t>
  </si>
  <si>
    <t xml:space="preserve">Pro Account ROI2 Video-GB</t>
  </si>
  <si>
    <t xml:space="preserve">Pro Account Product-GR</t>
  </si>
  <si>
    <t xml:space="preserve">BA Ecomm Community Video-NL</t>
  </si>
  <si>
    <t xml:space="preserve">BA Ecomm Community Video-RO</t>
  </si>
  <si>
    <t xml:space="preserve">Pro Account 3P Lead Gen Anchor-MX</t>
  </si>
  <si>
    <t xml:space="preserve">Pro Account ROI2 Video-ID</t>
  </si>
  <si>
    <t xml:space="preserve">Pro Account ROI2 Video-MX</t>
  </si>
  <si>
    <t xml:space="preserve">Pro Account App Download Anchor-AT</t>
  </si>
  <si>
    <t xml:space="preserve">Pro Account Product-BD</t>
  </si>
  <si>
    <t xml:space="preserve">Pro Account Web Conversion Anchor-JP</t>
  </si>
  <si>
    <t xml:space="preserve">Pro Account App Download Anchor-JP</t>
  </si>
  <si>
    <t xml:space="preserve">Pro Account App Download Anchor-US</t>
  </si>
  <si>
    <t xml:space="preserve">Pro Account App Download Anchor-FR</t>
  </si>
  <si>
    <t xml:space="preserve">BA Ecomm Community Video-FR</t>
  </si>
  <si>
    <t xml:space="preserve">Pro Account ROI2 Video-ES</t>
  </si>
  <si>
    <t xml:space="preserve">Pro Account 3P Lead Gen Anchor-MY</t>
  </si>
  <si>
    <t xml:space="preserve">Pro Account 3P Lead Gen Anchor-PH</t>
  </si>
  <si>
    <t xml:space="preserve">BA Ecomm Community Video-IL</t>
  </si>
  <si>
    <t xml:space="preserve">Pro Account 3P Lead Gen Anchor-TH</t>
  </si>
  <si>
    <t xml:space="preserve">Pro Account Product-BR</t>
  </si>
  <si>
    <t xml:space="preserve">BA Ecomm Community Video-ES</t>
  </si>
  <si>
    <t xml:space="preserve">Pro Account ROI2 Video-SE</t>
  </si>
  <si>
    <t xml:space="preserve">BA Ecomm Community Video-SE</t>
  </si>
  <si>
    <t xml:space="preserve">Pro Account Product-PL</t>
  </si>
  <si>
    <t xml:space="preserve">Pro Account 3P Lead Gen Anchor-PL</t>
  </si>
  <si>
    <t xml:space="preserve">Pro Account ROI2 Video-RO</t>
  </si>
  <si>
    <t xml:space="preserve">Pro Account ROI2 Video-US</t>
  </si>
  <si>
    <t xml:space="preserve">Pro Account Web Conversion Anchor-SG</t>
  </si>
  <si>
    <t xml:space="preserve">Pro Account App Download Anchor-ES</t>
  </si>
  <si>
    <t xml:space="preserve">Pro Account ROI2 Video-MY</t>
  </si>
  <si>
    <t xml:space="preserve">BA Ecomm Community Video-JP</t>
  </si>
  <si>
    <t xml:space="preserve">Pro Account 3P Lead Gen Anchor-SE</t>
  </si>
  <si>
    <t xml:space="preserve">BA Ecomm Community Video-PE</t>
  </si>
  <si>
    <t xml:space="preserve">Pro Account App Download Anchor-KR</t>
  </si>
  <si>
    <t xml:space="preserve">Pro Account ROI2 Video-JP</t>
  </si>
  <si>
    <t xml:space="preserve">Pro Account 3P Lead Gen Anchor-JP</t>
  </si>
  <si>
    <t xml:space="preserve">Pro Account ROI2 Video-TH</t>
  </si>
  <si>
    <t xml:space="preserve">Pro Account Product-AU</t>
  </si>
  <si>
    <t xml:space="preserve">Pro Account 3P Lead Gen Anchor-AU</t>
  </si>
  <si>
    <t xml:space="preserve">Pro Account 3P Lead Gen Anchor-CA</t>
  </si>
  <si>
    <t xml:space="preserve">Pro Account App Download Anchor-PH</t>
  </si>
  <si>
    <t xml:space="preserve">Pro Account 3P Lead Gen Anchor-ID</t>
  </si>
  <si>
    <t xml:space="preserve">Pro Account ROI2 Video-AU</t>
  </si>
  <si>
    <t xml:space="preserve">Pro Account App Download Anchor-NL</t>
  </si>
  <si>
    <t xml:space="preserve">Pro Account 3P Lead Gen Anchor-JO</t>
  </si>
  <si>
    <t xml:space="preserve">Pro Account ROI2 Video-CO</t>
  </si>
  <si>
    <t xml:space="preserve">BA Ecomm Community Video-GR</t>
  </si>
  <si>
    <t xml:space="preserve">Pro Account ROI2 Video-TW</t>
  </si>
  <si>
    <t xml:space="preserve">Pro Account ROI2 Video-VN</t>
  </si>
  <si>
    <t xml:space="preserve">Pro Account 3P Lead Gen Anchor-ES</t>
  </si>
  <si>
    <t xml:space="preserve">BA Ecomm Community Video-CO</t>
  </si>
  <si>
    <t xml:space="preserve">Pro Account Web Conversion Anchor-MX</t>
  </si>
  <si>
    <t xml:space="preserve">Pro Account Product-PK</t>
  </si>
  <si>
    <t xml:space="preserve">Pro Account App Download Anchor-BE</t>
  </si>
  <si>
    <t xml:space="preserve">Pro Account Web Conversion Anchor-DE</t>
  </si>
  <si>
    <t xml:space="preserve">Pro Account 3P Lead Gen Anchor-NZ</t>
  </si>
  <si>
    <t xml:space="preserve">Pro Account 3P Lead Gen Anchor-KR</t>
  </si>
  <si>
    <t xml:space="preserve">Pro Account Product-NL</t>
  </si>
  <si>
    <t xml:space="preserve">Pro Account Web Conversion Anchor-TW</t>
  </si>
  <si>
    <t xml:space="preserve">BA Ecomm Community Video-TR</t>
  </si>
  <si>
    <t xml:space="preserve">Pro Account Web Conversion Anchor-US</t>
  </si>
  <si>
    <t xml:space="preserve">BA Ecomm Community Video-MX</t>
  </si>
  <si>
    <t xml:space="preserve">Pro Account 3P Lead Gen Anchor-IL</t>
  </si>
  <si>
    <t xml:space="preserve">Pro Account Product-NZ</t>
  </si>
  <si>
    <t xml:space="preserve">Pro Account Product-FI</t>
  </si>
  <si>
    <t xml:space="preserve">Pro Account 3P Lead Gen Anchor-SG</t>
  </si>
  <si>
    <t xml:space="preserve">Pro Account 3P Lead Gen Anchor-SA</t>
  </si>
  <si>
    <t xml:space="preserve">Pro Account App Download Anchor-ID</t>
  </si>
  <si>
    <t xml:space="preserve">Pro Account Product-CA</t>
  </si>
  <si>
    <t xml:space="preserve">Pro Account 3P Lead Gen Anchor-FR</t>
  </si>
  <si>
    <t xml:space="preserve">Pro Account Web Conversion Anchor-ID</t>
  </si>
  <si>
    <t xml:space="preserve">Pro Account ROI2 Video-SA</t>
  </si>
  <si>
    <t xml:space="preserve">Pro Account 3P Lead Gen Anchor-CO</t>
  </si>
  <si>
    <t xml:space="preserve">Pro Account Product-AE</t>
  </si>
  <si>
    <t xml:space="preserve">Pro Account Product-IT</t>
  </si>
  <si>
    <t xml:space="preserve">Pro Account 3P Lead Gen Anchor-BE</t>
  </si>
  <si>
    <t xml:space="preserve">Pro Account App Download Anchor-CA</t>
  </si>
  <si>
    <t xml:space="preserve">Pro Account 3P Lead Gen Anchor-PK</t>
  </si>
  <si>
    <t xml:space="preserve">BA Ecomm Community Video-AT</t>
  </si>
  <si>
    <t xml:space="preserve">Pro Account App Download Anchor-BR</t>
  </si>
  <si>
    <t xml:space="preserve">Pro Account Web Conversion Anchor-CA</t>
  </si>
  <si>
    <t xml:space="preserve">BA Ecomm Community Video-BR</t>
  </si>
  <si>
    <t xml:space="preserve">Pro Account 3P Lead Gen Anchor-VN</t>
  </si>
  <si>
    <t xml:space="preserve">BA Ecomm Community Video-BE</t>
  </si>
  <si>
    <t xml:space="preserve">Pro Account Product-ZA</t>
  </si>
  <si>
    <t xml:space="preserve">Pro Account Web Conversion Anchor-GB</t>
  </si>
  <si>
    <t xml:space="preserve">Pro Account Product-JP</t>
  </si>
  <si>
    <t xml:space="preserve">Pro Account App Download Anchor-IT</t>
  </si>
  <si>
    <t xml:space="preserve">Pro Account Product-KR</t>
  </si>
  <si>
    <t xml:space="preserve">Pro Account App Download Anchor-RO</t>
  </si>
  <si>
    <t xml:space="preserve">Pro Account Product-SE</t>
  </si>
  <si>
    <t xml:space="preserve">Pro Account 3P Lead Gen Anchor-AE</t>
  </si>
  <si>
    <t xml:space="preserve">Pro Account 3P Lead Gen Anchor-IT</t>
  </si>
  <si>
    <t xml:space="preserve">Pro Account ROI2 Video-IT</t>
  </si>
  <si>
    <t xml:space="preserve">Pro Account Product-IL</t>
  </si>
  <si>
    <t xml:space="preserve">Pro Account 3P Lead Gen Anchor-NL</t>
  </si>
  <si>
    <t xml:space="preserve">Pro Account 3P Lead Gen Anchor-GB</t>
  </si>
  <si>
    <t xml:space="preserve">Pro Account Product-DK</t>
  </si>
  <si>
    <t xml:space="preserve">Pro Account 3P Lead Gen Anchor-DE</t>
  </si>
  <si>
    <t xml:space="preserve">Pro Account Product-CO</t>
  </si>
  <si>
    <t xml:space="preserve">Pro Account 3P Lead Gen Anchor-KH</t>
  </si>
  <si>
    <t xml:space="preserve">Pro Account Web Conversion Anchor-MY</t>
  </si>
  <si>
    <t xml:space="preserve">Pro Account Product-CL</t>
  </si>
  <si>
    <t xml:space="preserve">Pro Account 3P Lead Gen Anchor-BR</t>
  </si>
  <si>
    <t xml:space="preserve">Pro Account Product-AT</t>
  </si>
  <si>
    <t xml:space="preserve">Pro Account App Download Anchor-GR</t>
  </si>
  <si>
    <t xml:space="preserve">Pro Account App Download Anchor-TR</t>
  </si>
  <si>
    <t xml:space="preserve">Pro Account 3P Lead Gen Anchor-US</t>
  </si>
  <si>
    <t xml:space="preserve">Pro Account 3P Lead Gen Anchor-FI</t>
  </si>
  <si>
    <t xml:space="preserve">Pro Account App Download Anchor-AE</t>
  </si>
  <si>
    <t xml:space="preserve">Pro Account Product-TR</t>
  </si>
  <si>
    <t xml:space="preserve">Pro Account Product-CZ</t>
  </si>
  <si>
    <t xml:space="preserve">Pro Account 3P Lead Gen Anchor-TW</t>
  </si>
  <si>
    <t xml:space="preserve">Pro Account Product-MA</t>
  </si>
  <si>
    <t xml:space="preserve">Pro Account App Download Anchor-TH</t>
  </si>
  <si>
    <t xml:space="preserve">Pro Account Product-RO</t>
  </si>
  <si>
    <t xml:space="preserve">Pro Account Web Conversion Anchor-KR</t>
  </si>
  <si>
    <t xml:space="preserve">Pro Account Product-DE</t>
  </si>
  <si>
    <t xml:space="preserve">Pro Account ROI2 Video-PL</t>
  </si>
  <si>
    <t xml:space="preserve">Pro Account Product-AR</t>
  </si>
  <si>
    <t xml:space="preserve">Pro Account ROI2 Video-FR</t>
  </si>
  <si>
    <t xml:space="preserve">BA Ecomm Community Video-US</t>
  </si>
  <si>
    <t xml:space="preserve">Pro Account Web Conversion Anchor-AU</t>
  </si>
  <si>
    <t xml:space="preserve">Pro Account Web Conversion Anchor-BR</t>
  </si>
  <si>
    <t xml:space="preserve">Pro Account Product-HU</t>
  </si>
  <si>
    <t xml:space="preserve">Pro Account Web Conversion Anchor-VN</t>
  </si>
  <si>
    <t xml:space="preserve">BA Ecomm Community Video-AU</t>
  </si>
  <si>
    <t xml:space="preserve">Pro Account App Download Anchor-MY</t>
  </si>
  <si>
    <t xml:space="preserve">BA Ecomm Community Video-PL</t>
  </si>
  <si>
    <t xml:space="preserve">Pro Account 3P Lead Gen Anchor-DK</t>
  </si>
  <si>
    <t xml:space="preserve">Pro Account App Download Anchor-DE</t>
  </si>
  <si>
    <t xml:space="preserve">Pro Account Product-CH</t>
  </si>
  <si>
    <t xml:space="preserve">Pro Account Product-ES</t>
  </si>
  <si>
    <t xml:space="preserve">Pro Account Web Conversion Anchor-TH</t>
  </si>
  <si>
    <t xml:space="preserve">Pro Account ROI2 Video-AE</t>
  </si>
  <si>
    <t xml:space="preserve">CFC</t>
  </si>
  <si>
    <t xml:space="preserve">Video Safety Task</t>
  </si>
  <si>
    <t xml:space="preserve">Video Safety Task-ID</t>
  </si>
  <si>
    <t xml:space="preserve">CFC Requirement Task</t>
  </si>
  <si>
    <t xml:space="preserve">CFC Requirement Task-GB</t>
  </si>
  <si>
    <t xml:space="preserve">Adv Requirement Task</t>
  </si>
  <si>
    <t xml:space="preserve">Adv Requirement Task-TH</t>
  </si>
  <si>
    <t xml:space="preserve">CFC Requirement Task-ID</t>
  </si>
  <si>
    <t xml:space="preserve">Adv Requirement Task-VN</t>
  </si>
  <si>
    <t xml:space="preserve">Video Safety Task-DE</t>
  </si>
  <si>
    <t xml:space="preserve">Adv Requirement Task-US</t>
  </si>
  <si>
    <t xml:space="preserve">Video Safety Task-BR</t>
  </si>
  <si>
    <t xml:space="preserve">CFC Requirement Task-JP</t>
  </si>
  <si>
    <t xml:space="preserve">Adv Requirement Task-ID</t>
  </si>
  <si>
    <t xml:space="preserve">Adv Requirement Task-GB</t>
  </si>
  <si>
    <t xml:space="preserve">Video Safety Task-MX</t>
  </si>
  <si>
    <t xml:space="preserve">Adv Requirement Task-DE</t>
  </si>
  <si>
    <t xml:space="preserve">Adv Requirement Task-KR</t>
  </si>
  <si>
    <t xml:space="preserve">CFC Requirement Task-TH</t>
  </si>
  <si>
    <t xml:space="preserve">Adv Requirement Task-SA</t>
  </si>
  <si>
    <t xml:space="preserve">CFC Requirement Task-SA</t>
  </si>
  <si>
    <t xml:space="preserve">CFC Requirement Task-DE</t>
  </si>
  <si>
    <t xml:space="preserve">CFC Requirement Task-KR</t>
  </si>
  <si>
    <t xml:space="preserve">Video Safety Task-JP</t>
  </si>
  <si>
    <t xml:space="preserve">CFC Requirement Task-BR</t>
  </si>
  <si>
    <t xml:space="preserve">Video Safety Task-US</t>
  </si>
  <si>
    <t xml:space="preserve">Adv Requirement Task-BR</t>
  </si>
  <si>
    <t xml:space="preserve">Video Safety Task-GB</t>
  </si>
  <si>
    <t xml:space="preserve">Video Safety Task-VN</t>
  </si>
  <si>
    <t xml:space="preserve">Adv Requirement Task-MX</t>
  </si>
  <si>
    <t xml:space="preserve">Video Safety Task-KR</t>
  </si>
  <si>
    <t xml:space="preserve">Video Safety Task-SA</t>
  </si>
  <si>
    <t xml:space="preserve">CFC Requirement Task-MX</t>
  </si>
  <si>
    <t xml:space="preserve">CFC Requirement Task-VN</t>
  </si>
  <si>
    <t xml:space="preserve">Video Safety Task-TH</t>
  </si>
  <si>
    <t xml:space="preserve">Adv Requirement Task-JP</t>
  </si>
  <si>
    <t xml:space="preserve">CFC Requirement Task-US</t>
  </si>
  <si>
    <t xml:space="preserve">Editorial Ads</t>
  </si>
  <si>
    <t xml:space="preserve">FX Studio</t>
  </si>
  <si>
    <t xml:space="preserve">FX Studio-TH</t>
  </si>
  <si>
    <t xml:space="preserve">FX Studio-BR</t>
  </si>
  <si>
    <t xml:space="preserve">FX Studio-VN</t>
  </si>
  <si>
    <t xml:space="preserve">FX Studio-MX</t>
  </si>
  <si>
    <t xml:space="preserve">FX Studio-US</t>
  </si>
  <si>
    <t xml:space="preserve">FX Studio-CA</t>
  </si>
  <si>
    <t xml:space="preserve">FX Studio-PH</t>
  </si>
  <si>
    <t xml:space="preserve">FX Studio-NZ</t>
  </si>
  <si>
    <t xml:space="preserve">Creative Hub</t>
  </si>
  <si>
    <t xml:space="preserve">Creative Hub Video Safety</t>
  </si>
  <si>
    <t xml:space="preserve">Creative Hub Video Safety-DE</t>
  </si>
  <si>
    <t xml:space="preserve">Creative Hub Web Anchor</t>
  </si>
  <si>
    <t xml:space="preserve">Creative Hub Web Anchor-AE</t>
  </si>
  <si>
    <t xml:space="preserve">Creative Hub Campaign</t>
  </si>
  <si>
    <t xml:space="preserve">Creative Hub Campaign-JP</t>
  </si>
  <si>
    <t xml:space="preserve">Creative Hub Video Safety-US</t>
  </si>
  <si>
    <t xml:space="preserve">Creative Hub Campaign-US</t>
  </si>
  <si>
    <t xml:space="preserve">Creative Hub App Download Anchor</t>
  </si>
  <si>
    <t xml:space="preserve">Creative Hub App Download Anchor-ES</t>
  </si>
  <si>
    <t xml:space="preserve">Creative Hub Web Anchor-SG</t>
  </si>
  <si>
    <t xml:space="preserve">Creative Hub Community Video</t>
  </si>
  <si>
    <t xml:space="preserve">Creative Hub Community Video-PH</t>
  </si>
  <si>
    <t xml:space="preserve">Creative Hub App Download Anchor-ID</t>
  </si>
  <si>
    <t xml:space="preserve">Creative Hub Video Safety-ID</t>
  </si>
  <si>
    <t xml:space="preserve">Creative Hub Web Anchor-KR</t>
  </si>
  <si>
    <t xml:space="preserve">Creative Hub Campaign-SA</t>
  </si>
  <si>
    <t xml:space="preserve">Creative Hub App Download Anchor-TW</t>
  </si>
  <si>
    <t xml:space="preserve">Creative Hub Video Safety-MX</t>
  </si>
  <si>
    <t xml:space="preserve">Creative Hub Campaign-GB</t>
  </si>
  <si>
    <t xml:space="preserve">Creative Hub Campaign-MX</t>
  </si>
  <si>
    <t xml:space="preserve">Creative Hub App Download Anchor-SG</t>
  </si>
  <si>
    <t xml:space="preserve">Creative Hub Web Anchor-CA</t>
  </si>
  <si>
    <t xml:space="preserve">Creative Hub App Download Anchor-IT</t>
  </si>
  <si>
    <t xml:space="preserve">Creative Hub App Download Anchor-MY</t>
  </si>
  <si>
    <t xml:space="preserve">Creative Hub Web Anchor-ID</t>
  </si>
  <si>
    <t xml:space="preserve">Creative Hub App Download Anchor-DE</t>
  </si>
  <si>
    <t xml:space="preserve">Creative Hub Video Safety-BR</t>
  </si>
  <si>
    <t xml:space="preserve">Creative Hub Web Anchor-US</t>
  </si>
  <si>
    <t xml:space="preserve">Creative Hub Community Video-CO</t>
  </si>
  <si>
    <t xml:space="preserve">Creative Hub Web Anchor-BR</t>
  </si>
  <si>
    <t xml:space="preserve">Creative Hub App Download Anchor-KR</t>
  </si>
  <si>
    <t xml:space="preserve">Creative Hub App Download Anchor-GB</t>
  </si>
  <si>
    <t xml:space="preserve">Creative Hub Video Safety-JP</t>
  </si>
  <si>
    <t xml:space="preserve">Creative Hub App Download Anchor-US</t>
  </si>
  <si>
    <t xml:space="preserve">Creative Hub App Download Anchor-FR</t>
  </si>
  <si>
    <t xml:space="preserve">Creative Hub App Download Anchor-JP</t>
  </si>
  <si>
    <t xml:space="preserve">Creative Hub Video Safety-SA</t>
  </si>
  <si>
    <t xml:space="preserve">Creative Hub Campaign-ES</t>
  </si>
  <si>
    <t xml:space="preserve">Creative Hub Web Anchor-GB</t>
  </si>
  <si>
    <t xml:space="preserve">Creative Hub Video Safety-GB</t>
  </si>
  <si>
    <t xml:space="preserve">Creative Hub Campaign-IT</t>
  </si>
  <si>
    <t xml:space="preserve">Creative Hub Community Video-US</t>
  </si>
  <si>
    <t xml:space="preserve">Creative Hub App Download Anchor-PH</t>
  </si>
  <si>
    <t xml:space="preserve">Creative Hub Web Anchor-DE</t>
  </si>
  <si>
    <t xml:space="preserve">Creative Hub Community Video-MY</t>
  </si>
  <si>
    <t xml:space="preserve">Creative Hub Video Safety-CO</t>
  </si>
  <si>
    <t xml:space="preserve">Creative Hub App Download Anchor-TH</t>
  </si>
  <si>
    <t xml:space="preserve">Creative Hub Community Video-ES</t>
  </si>
  <si>
    <t xml:space="preserve">Creative Hub Campaign-ID</t>
  </si>
  <si>
    <t xml:space="preserve">Creative Hub App Download Anchor-CA</t>
  </si>
  <si>
    <t xml:space="preserve">Creative Hub Video Safety-ES</t>
  </si>
  <si>
    <t xml:space="preserve">Creative Hub Web Anchor-TW</t>
  </si>
  <si>
    <t xml:space="preserve">Creative Hub App Download Anchor-BR</t>
  </si>
  <si>
    <t xml:space="preserve">Creative Hub Web Anchor-ES</t>
  </si>
  <si>
    <t xml:space="preserve">Creative Hub Web Anchor-SA</t>
  </si>
  <si>
    <t xml:space="preserve">HK</t>
  </si>
  <si>
    <t xml:space="preserve">Creative Hub App Download Anchor-HK</t>
  </si>
  <si>
    <t xml:space="preserve">Creative Hub Web Anchor-PH</t>
  </si>
  <si>
    <t xml:space="preserve">Creative Hub Campaign-FR</t>
  </si>
  <si>
    <t xml:space="preserve">Creative Hub Campaign-CA</t>
  </si>
  <si>
    <t xml:space="preserve">Creative Hub Video Safety-MY</t>
  </si>
  <si>
    <t xml:space="preserve">Creative Hub Video Safety-PH</t>
  </si>
  <si>
    <t xml:space="preserve">Creative Hub Community Video-ID</t>
  </si>
  <si>
    <t xml:space="preserve">Creative Hub App Download Anchor-SA</t>
  </si>
  <si>
    <t xml:space="preserve">Creative Hub App Download Anchor-AE</t>
  </si>
  <si>
    <t xml:space="preserve">Creative Hub Campaign-DE</t>
  </si>
  <si>
    <t xml:space="preserve">IBK</t>
  </si>
  <si>
    <t xml:space="preserve">Behavior Keyword Safety</t>
  </si>
  <si>
    <t xml:space="preserve">Behavior Keyword Safety-US</t>
  </si>
  <si>
    <t xml:space="preserve">Interest Keyword Safety</t>
  </si>
  <si>
    <t xml:space="preserve">Interest Keyword Safety-US</t>
  </si>
  <si>
    <t xml:space="preserve">Stream Ads</t>
  </si>
  <si>
    <t xml:space="preserve">GLOBAL</t>
  </si>
  <si>
    <t xml:space="preserve">Stream Ads-GLOBAL</t>
  </si>
  <si>
    <t xml:space="preserve">Quest</t>
  </si>
  <si>
    <t xml:space="preserve">Quest Adv Requirement</t>
  </si>
  <si>
    <t xml:space="preserve">Quest Adv Requirement-AU</t>
  </si>
  <si>
    <t xml:space="preserve">Quest Adv Requirement-AE</t>
  </si>
  <si>
    <t xml:space="preserve">Quest Adv Campaign</t>
  </si>
  <si>
    <t xml:space="preserve">Quest Adv Campaign-DE</t>
  </si>
  <si>
    <t xml:space="preserve">Quest Adv Video</t>
  </si>
  <si>
    <t xml:space="preserve">Quest Adv Video-DE</t>
  </si>
  <si>
    <t xml:space="preserve">HTC Adv Campaign</t>
  </si>
  <si>
    <t xml:space="preserve">HTC Adv Campaign-TH</t>
  </si>
  <si>
    <t xml:space="preserve">Quest Video Safety</t>
  </si>
  <si>
    <t xml:space="preserve">Quest Video Safety-FR</t>
  </si>
  <si>
    <t xml:space="preserve">Quest Adv Campaign-GB</t>
  </si>
  <si>
    <t xml:space="preserve">HTC Adv Campaign-MY</t>
  </si>
  <si>
    <t xml:space="preserve">Quest Adv Video-IT</t>
  </si>
  <si>
    <t xml:space="preserve">Quest Adv Video-GB</t>
  </si>
  <si>
    <t xml:space="preserve">Quest Adv Requirement-ID</t>
  </si>
  <si>
    <t xml:space="preserve">Quest Adv Requirement-TR</t>
  </si>
  <si>
    <t xml:space="preserve">Quest Adv Requirement-IT</t>
  </si>
  <si>
    <t xml:space="preserve">Quest Adv Campaign-CA</t>
  </si>
  <si>
    <t xml:space="preserve">Quest Adv Video-TH</t>
  </si>
  <si>
    <t xml:space="preserve">Quest Adv Requirement-MX</t>
  </si>
  <si>
    <t xml:space="preserve">Quest Adv Campaign-JP</t>
  </si>
  <si>
    <t xml:space="preserve">Quest Adv Requirement-ES</t>
  </si>
  <si>
    <t xml:space="preserve">Quest Video Safety-ES</t>
  </si>
  <si>
    <t xml:space="preserve">Quest Video Safety-TH</t>
  </si>
  <si>
    <t xml:space="preserve">HTC Adv Video</t>
  </si>
  <si>
    <t xml:space="preserve">HTC Adv Video-BR</t>
  </si>
  <si>
    <t xml:space="preserve">Quest Video Safety-SA</t>
  </si>
  <si>
    <t xml:space="preserve">Quest Adv Requirement-BR</t>
  </si>
  <si>
    <t xml:space="preserve">Quest Adv Video-ES</t>
  </si>
  <si>
    <t xml:space="preserve">Quest Adv Video-US</t>
  </si>
  <si>
    <t xml:space="preserve">Quest Adv Campaign-FR</t>
  </si>
  <si>
    <t xml:space="preserve">Quest Adv Campaign-TH</t>
  </si>
  <si>
    <t xml:space="preserve">Quest Adv Video-VN</t>
  </si>
  <si>
    <t xml:space="preserve">Quest Adv Video-CA</t>
  </si>
  <si>
    <t xml:space="preserve">Quest Adv Requirement-PH</t>
  </si>
  <si>
    <t xml:space="preserve">Quest Adv Requirement-TH</t>
  </si>
  <si>
    <t xml:space="preserve">HTC Adv Video-MX</t>
  </si>
  <si>
    <t xml:space="preserve">Quest Video Safety-VN</t>
  </si>
  <si>
    <t xml:space="preserve">HTC Adv Campaign-VN</t>
  </si>
  <si>
    <t xml:space="preserve">Quest Adv Campaign-ID</t>
  </si>
  <si>
    <t xml:space="preserve">Quest Video Safety-DE</t>
  </si>
  <si>
    <t xml:space="preserve">HTC Adv Campaign-BR</t>
  </si>
  <si>
    <t xml:space="preserve">Quest Adv Video-PH</t>
  </si>
  <si>
    <t xml:space="preserve">Quest Adv Campaign-US</t>
  </si>
  <si>
    <t xml:space="preserve">Quest Adv Campaign-MY</t>
  </si>
  <si>
    <t xml:space="preserve">Quest Adv Video-FR</t>
  </si>
  <si>
    <t xml:space="preserve">Quest Adv Video-MY</t>
  </si>
  <si>
    <t xml:space="preserve">HTC Adv Campaign-ES</t>
  </si>
  <si>
    <t xml:space="preserve">Quest Video Safety-IT</t>
  </si>
  <si>
    <t xml:space="preserve">HTC Adv Campaign-IT</t>
  </si>
  <si>
    <t xml:space="preserve">Quest Adv Campaign-IT</t>
  </si>
  <si>
    <t xml:space="preserve">Quest Adv Video-BR</t>
  </si>
  <si>
    <t xml:space="preserve">Quest Adv Campaign-PH</t>
  </si>
  <si>
    <t xml:space="preserve">HTC Adv Campaign-ID</t>
  </si>
  <si>
    <t xml:space="preserve">HTC Adv Video-FR</t>
  </si>
  <si>
    <t xml:space="preserve">Quest Adv Video-MX</t>
  </si>
  <si>
    <t xml:space="preserve">Quest Adv Campaign-VN</t>
  </si>
  <si>
    <t xml:space="preserve">Quest Adv Video-ID</t>
  </si>
  <si>
    <t xml:space="preserve">Quest Adv Requirement-JP</t>
  </si>
  <si>
    <t xml:space="preserve">HTC Adv Campaign-JP</t>
  </si>
  <si>
    <t xml:space="preserve">HTC Adv Campaign-PH</t>
  </si>
  <si>
    <t xml:space="preserve">Quest Adv Requirement-FR</t>
  </si>
  <si>
    <t xml:space="preserve">HTC Adv Campaign-DE</t>
  </si>
  <si>
    <t xml:space="preserve">Quest Adv Campaign-ES</t>
  </si>
  <si>
    <t xml:space="preserve">BE Adv Campaign</t>
  </si>
  <si>
    <t xml:space="preserve">BE Adv Campaign-VN</t>
  </si>
  <si>
    <t xml:space="preserve">HTC Adv Campaign-FR</t>
  </si>
  <si>
    <t xml:space="preserve">Quest Video Safety-BR</t>
  </si>
  <si>
    <t xml:space="preserve">BE Adv Video</t>
  </si>
  <si>
    <t xml:space="preserve">BE Adv Video-PH</t>
  </si>
  <si>
    <t xml:space="preserve">HTC Adv Video-SA</t>
  </si>
  <si>
    <t xml:space="preserve">HTC Adv Campaign-CA</t>
  </si>
  <si>
    <t xml:space="preserve">Quest Adv Requirement-MY</t>
  </si>
  <si>
    <t xml:space="preserve">Quest Video Safety-ID</t>
  </si>
  <si>
    <t xml:space="preserve">Quest Adv Campaign-MX</t>
  </si>
  <si>
    <t xml:space="preserve">Quest Adv Requirement-DE</t>
  </si>
  <si>
    <t xml:space="preserve">Quest Adv Requirement-SA</t>
  </si>
  <si>
    <t xml:space="preserve">BE Adv Campaign-PH</t>
  </si>
  <si>
    <t xml:space="preserve">Quest Adv Requirement-US</t>
  </si>
  <si>
    <t xml:space="preserve">Quest Adv Requirement-GB</t>
  </si>
  <si>
    <t xml:space="preserve">Quest Adv Video-JP</t>
  </si>
  <si>
    <t xml:space="preserve">HTC Adv Campaign-US</t>
  </si>
  <si>
    <t xml:space="preserve">Quest Adv Requirement-VN</t>
  </si>
  <si>
    <t xml:space="preserve">Quest Video Safety-AE</t>
  </si>
  <si>
    <t xml:space="preserve">HTC Adv Campaign-MX</t>
  </si>
  <si>
    <t xml:space="preserve">Quest Adv Campaign-BR</t>
  </si>
  <si>
    <t xml:space="preserve">HTC Adv Campaign-GB</t>
  </si>
  <si>
    <t xml:space="preserve">Quest Video Safety-GB</t>
  </si>
  <si>
    <t xml:space="preserve">Quest Video Safety-MY</t>
  </si>
  <si>
    <t xml:space="preserve">Quest Adv Video-SA</t>
  </si>
  <si>
    <t xml:space="preserve">Quest Video Safety-PH</t>
  </si>
  <si>
    <t xml:space="preserve">HTC Adv Video-PH</t>
  </si>
  <si>
    <t xml:space="preserve">Boost</t>
  </si>
  <si>
    <t xml:space="preserve">Boost Carousel</t>
  </si>
  <si>
    <t xml:space="preserve">Boost Carousel-RS</t>
  </si>
  <si>
    <t xml:space="preserve">Boost Livestream</t>
  </si>
  <si>
    <t xml:space="preserve">Boost Livestream-SA</t>
  </si>
  <si>
    <t xml:space="preserve">Boost Livestream-CA</t>
  </si>
  <si>
    <t xml:space="preserve">Boost Livestream-EG</t>
  </si>
  <si>
    <t xml:space="preserve">Boost Carousel-PH</t>
  </si>
  <si>
    <t xml:space="preserve">Boost Carousel-SK</t>
  </si>
  <si>
    <t xml:space="preserve">Boost Video</t>
  </si>
  <si>
    <t xml:space="preserve">Boost Video-HU</t>
  </si>
  <si>
    <t xml:space="preserve">LA</t>
  </si>
  <si>
    <t xml:space="preserve">Boost Video-LA</t>
  </si>
  <si>
    <t xml:space="preserve">Boost Video-AE</t>
  </si>
  <si>
    <t xml:space="preserve">Boost Carousel-GT</t>
  </si>
  <si>
    <t xml:space="preserve">Boost Carousel-AR</t>
  </si>
  <si>
    <t xml:space="preserve">Boost Livestream-DZ</t>
  </si>
  <si>
    <t xml:space="preserve">Boost Carousel-SG</t>
  </si>
  <si>
    <t xml:space="preserve">Boost Video-RS</t>
  </si>
  <si>
    <t xml:space="preserve">Boost Livestream-VN</t>
  </si>
  <si>
    <t xml:space="preserve">Boost Carousel-NZ</t>
  </si>
  <si>
    <t xml:space="preserve">HN</t>
  </si>
  <si>
    <t xml:space="preserve">Boost Video-HN</t>
  </si>
  <si>
    <t xml:space="preserve">Boost Video-EG</t>
  </si>
  <si>
    <t xml:space="preserve">LY</t>
  </si>
  <si>
    <t xml:space="preserve">Boost Livestream-LY</t>
  </si>
  <si>
    <t xml:space="preserve">Boost Video-QA</t>
  </si>
  <si>
    <t xml:space="preserve">Boost Video-ES</t>
  </si>
  <si>
    <t xml:space="preserve">Boost Video-IQ</t>
  </si>
  <si>
    <t xml:space="preserve">Boost Livestream-CL</t>
  </si>
  <si>
    <t xml:space="preserve">Boost Video-PL</t>
  </si>
  <si>
    <t xml:space="preserve">Boost Carousel-CY</t>
  </si>
  <si>
    <t xml:space="preserve">Boost Carousel-KH</t>
  </si>
  <si>
    <t xml:space="preserve">Boost Carousel-GR</t>
  </si>
  <si>
    <t xml:space="preserve">Boost Carousel-AT</t>
  </si>
  <si>
    <t xml:space="preserve">Boost Carousel-RO</t>
  </si>
  <si>
    <t xml:space="preserve">Boost Livestream-PL</t>
  </si>
  <si>
    <t xml:space="preserve">Boost Carousel-BY</t>
  </si>
  <si>
    <t xml:space="preserve">Boost Carousel-EG</t>
  </si>
  <si>
    <t xml:space="preserve">Boost Livestream-CO</t>
  </si>
  <si>
    <t xml:space="preserve">Boost Carousel-SA</t>
  </si>
  <si>
    <t xml:space="preserve">Boost Carousel-OM</t>
  </si>
  <si>
    <t xml:space="preserve">NI</t>
  </si>
  <si>
    <t xml:space="preserve">Boost Video-NI</t>
  </si>
  <si>
    <t xml:space="preserve">Boost Video-BG</t>
  </si>
  <si>
    <t xml:space="preserve">Boost Carousel-IQ</t>
  </si>
  <si>
    <t xml:space="preserve">Boost Livestream-AU</t>
  </si>
  <si>
    <t xml:space="preserve">Boost Video-IT</t>
  </si>
  <si>
    <t xml:space="preserve">Boost Carousel-VN</t>
  </si>
  <si>
    <t xml:space="preserve">Boost Carousel-PA</t>
  </si>
  <si>
    <t xml:space="preserve">Boost Livestream-PT</t>
  </si>
  <si>
    <t xml:space="preserve">Boost Carousel-KZ</t>
  </si>
  <si>
    <t xml:space="preserve">Boost Video-DO</t>
  </si>
  <si>
    <t xml:space="preserve">Boost Carousel-BR</t>
  </si>
  <si>
    <t xml:space="preserve">ET</t>
  </si>
  <si>
    <t xml:space="preserve">Boost Video-ET</t>
  </si>
  <si>
    <t xml:space="preserve">Boost Livestream-RO</t>
  </si>
  <si>
    <t xml:space="preserve">Boost Carousel-BE</t>
  </si>
  <si>
    <t xml:space="preserve">Boost Livestream-US</t>
  </si>
  <si>
    <t xml:space="preserve">Boost Carousel-FI</t>
  </si>
  <si>
    <t xml:space="preserve">Boost Livestream-LB</t>
  </si>
  <si>
    <t xml:space="preserve">Boost Livestream-IL</t>
  </si>
  <si>
    <t xml:space="preserve">Boost Video-NL</t>
  </si>
  <si>
    <t xml:space="preserve">SV</t>
  </si>
  <si>
    <t xml:space="preserve">Boost Video-SV</t>
  </si>
  <si>
    <t xml:space="preserve">Boost Carousel-PY</t>
  </si>
  <si>
    <t xml:space="preserve">Boost Carousel-KR</t>
  </si>
  <si>
    <t xml:space="preserve">BN</t>
  </si>
  <si>
    <t xml:space="preserve">Boost Video-BN</t>
  </si>
  <si>
    <t xml:space="preserve">Boost Livestream-GT</t>
  </si>
  <si>
    <t xml:space="preserve">Boost Livestream-PE</t>
  </si>
  <si>
    <t xml:space="preserve">Boost Video-DK</t>
  </si>
  <si>
    <t xml:space="preserve">Boost Video-LV</t>
  </si>
  <si>
    <t xml:space="preserve">Boost Video-PE</t>
  </si>
  <si>
    <t xml:space="preserve">Boost Video-DZ</t>
  </si>
  <si>
    <t xml:space="preserve">Boost Livestream-BO</t>
  </si>
  <si>
    <t xml:space="preserve">Boost Video-EE</t>
  </si>
  <si>
    <t xml:space="preserve">Boost Carousel-NL</t>
  </si>
  <si>
    <t xml:space="preserve">Boost Livestream-MY</t>
  </si>
  <si>
    <t xml:space="preserve">Boost Video-AZ</t>
  </si>
  <si>
    <t xml:space="preserve">Boost Video-KR</t>
  </si>
  <si>
    <t xml:space="preserve">Boost Video-CZ</t>
  </si>
  <si>
    <t xml:space="preserve">Boost Video-TH</t>
  </si>
  <si>
    <t xml:space="preserve">Boost Video-CO</t>
  </si>
  <si>
    <t xml:space="preserve">Boost Video-BO</t>
  </si>
  <si>
    <t xml:space="preserve">Boost Livestream-NL</t>
  </si>
  <si>
    <t xml:space="preserve">Boost Video-MA</t>
  </si>
  <si>
    <t xml:space="preserve">Boost Carousel-MA</t>
  </si>
  <si>
    <t xml:space="preserve">Boost Carousel-DZ</t>
  </si>
  <si>
    <t xml:space="preserve">Boost Carousel-TH</t>
  </si>
  <si>
    <t xml:space="preserve">Boost Video-GB</t>
  </si>
  <si>
    <t xml:space="preserve">Boost Livestream-PH</t>
  </si>
  <si>
    <t xml:space="preserve">Boost Carousel-LK</t>
  </si>
  <si>
    <t xml:space="preserve">Boost Carousel-BN</t>
  </si>
  <si>
    <t xml:space="preserve">Boost Video-ID</t>
  </si>
  <si>
    <t xml:space="preserve">Boost Video-AR</t>
  </si>
  <si>
    <t xml:space="preserve">TZ</t>
  </si>
  <si>
    <t xml:space="preserve">Boost Livestream-TZ</t>
  </si>
  <si>
    <t xml:space="preserve">Boost Carousel-IT</t>
  </si>
  <si>
    <t xml:space="preserve">SN</t>
  </si>
  <si>
    <t xml:space="preserve">Boost Carousel-SN</t>
  </si>
  <si>
    <t xml:space="preserve">Boost Video-SA</t>
  </si>
  <si>
    <t xml:space="preserve">Boost Video-KE</t>
  </si>
  <si>
    <t xml:space="preserve">Boost Video-PK</t>
  </si>
  <si>
    <t xml:space="preserve">Boost Video-KH</t>
  </si>
  <si>
    <t xml:space="preserve">Boost Carousel-ID</t>
  </si>
  <si>
    <t xml:space="preserve">Boost Video-FR</t>
  </si>
  <si>
    <t xml:space="preserve">Boost Video-ZA</t>
  </si>
  <si>
    <t xml:space="preserve">Boost Video-UY</t>
  </si>
  <si>
    <t xml:space="preserve">Boost Carousel-UY</t>
  </si>
  <si>
    <t xml:space="preserve">Boost Video-NZ</t>
  </si>
  <si>
    <t xml:space="preserve">Boost Video-TR</t>
  </si>
  <si>
    <t xml:space="preserve">Boost Video-BH</t>
  </si>
  <si>
    <t xml:space="preserve">Boost Carousel-AU</t>
  </si>
  <si>
    <t xml:space="preserve">Boost Livestream-KR</t>
  </si>
  <si>
    <t xml:space="preserve">Boost Carousel-SE</t>
  </si>
  <si>
    <t xml:space="preserve">Boost Video-GR</t>
  </si>
  <si>
    <t xml:space="preserve">Boost Video-LB</t>
  </si>
  <si>
    <t xml:space="preserve">Boost Livestream-PA</t>
  </si>
  <si>
    <t xml:space="preserve">Boost Carousel-KW</t>
  </si>
  <si>
    <t xml:space="preserve">Boost Video-NO</t>
  </si>
  <si>
    <t xml:space="preserve">Boost Livestream-CZ</t>
  </si>
  <si>
    <t xml:space="preserve">Boost Carousel-BO</t>
  </si>
  <si>
    <t xml:space="preserve">Boost Carousel-PT</t>
  </si>
  <si>
    <t xml:space="preserve">Boost Video-IE</t>
  </si>
  <si>
    <t xml:space="preserve">Boost Video-DE</t>
  </si>
  <si>
    <t xml:space="preserve">ML</t>
  </si>
  <si>
    <t xml:space="preserve">Boost Video-ML</t>
  </si>
  <si>
    <t xml:space="preserve">Boost Livestream-SG</t>
  </si>
  <si>
    <t xml:space="preserve">Boost Livestream-TR</t>
  </si>
  <si>
    <t xml:space="preserve">Boost Video-TZ</t>
  </si>
  <si>
    <t xml:space="preserve">Boost Video-EC</t>
  </si>
  <si>
    <t xml:space="preserve">Boost Carousel-TR</t>
  </si>
  <si>
    <t xml:space="preserve">Boost Video-BR</t>
  </si>
  <si>
    <t xml:space="preserve">Boost Carousel-CL</t>
  </si>
  <si>
    <t xml:space="preserve">AM</t>
  </si>
  <si>
    <t xml:space="preserve">Boost Carousel-AM</t>
  </si>
  <si>
    <t xml:space="preserve">Boost Livestream-HU</t>
  </si>
  <si>
    <t xml:space="preserve">Boost Video-BY</t>
  </si>
  <si>
    <t xml:space="preserve">Boost Video-OM</t>
  </si>
  <si>
    <t xml:space="preserve">Boost Carousel-HU</t>
  </si>
  <si>
    <t xml:space="preserve">Boost Video-CY</t>
  </si>
  <si>
    <t xml:space="preserve">Boost Livestream-IT</t>
  </si>
  <si>
    <t xml:space="preserve">Boost Carousel-CH</t>
  </si>
  <si>
    <t xml:space="preserve">Boost Video-LK</t>
  </si>
  <si>
    <t xml:space="preserve">Boost Livestream-BE</t>
  </si>
  <si>
    <t xml:space="preserve">Boost Carousel-CA</t>
  </si>
  <si>
    <t xml:space="preserve">AL</t>
  </si>
  <si>
    <t xml:space="preserve">Boost Video-AL</t>
  </si>
  <si>
    <t xml:space="preserve">Boost Video-PA</t>
  </si>
  <si>
    <t xml:space="preserve">Boost Livestream-ZA</t>
  </si>
  <si>
    <t xml:space="preserve">Boost Video-PT</t>
  </si>
  <si>
    <t xml:space="preserve">Boost Video-GT</t>
  </si>
  <si>
    <t xml:space="preserve">Boost Video-SK</t>
  </si>
  <si>
    <t xml:space="preserve">Boost Carousel-LV</t>
  </si>
  <si>
    <t xml:space="preserve">Boost Livestream-TH</t>
  </si>
  <si>
    <t xml:space="preserve">Boost Video-US</t>
  </si>
  <si>
    <t xml:space="preserve">Boost Carousel-JP</t>
  </si>
  <si>
    <t xml:space="preserve">Boost Video-AU</t>
  </si>
  <si>
    <t xml:space="preserve">Boost Video-JP</t>
  </si>
  <si>
    <t xml:space="preserve">Boost Livestream-QA</t>
  </si>
  <si>
    <t xml:space="preserve">Boost Video-CA</t>
  </si>
  <si>
    <t xml:space="preserve">Boost Carousel-LU</t>
  </si>
  <si>
    <t xml:space="preserve">Boost Carousel-QA</t>
  </si>
  <si>
    <t xml:space="preserve">Boost Video-SG</t>
  </si>
  <si>
    <t xml:space="preserve">Boost Livestream-KZ</t>
  </si>
  <si>
    <t xml:space="preserve">Boost Carousel-CR</t>
  </si>
  <si>
    <t xml:space="preserve">Boost Livestream-ES</t>
  </si>
  <si>
    <t xml:space="preserve">Boost Carousel-DE</t>
  </si>
  <si>
    <t xml:space="preserve">SR</t>
  </si>
  <si>
    <t xml:space="preserve">Boost Carousel-SR</t>
  </si>
  <si>
    <t xml:space="preserve">Boost Video-KZ</t>
  </si>
  <si>
    <t xml:space="preserve">Boost Video-RO</t>
  </si>
  <si>
    <t xml:space="preserve">MV</t>
  </si>
  <si>
    <t xml:space="preserve">Boost Video-MV</t>
  </si>
  <si>
    <t xml:space="preserve">Boost Livestream-DO</t>
  </si>
  <si>
    <t xml:space="preserve">Boost Video-KW</t>
  </si>
  <si>
    <t xml:space="preserve">Boost Livestream-AZ</t>
  </si>
  <si>
    <t xml:space="preserve">Boost Carousel-LB</t>
  </si>
  <si>
    <t xml:space="preserve">Boost Video-CL</t>
  </si>
  <si>
    <t xml:space="preserve">Boost Livestream-BR</t>
  </si>
  <si>
    <t xml:space="preserve">Boost Video-IL</t>
  </si>
  <si>
    <t xml:space="preserve">Boost Carousel-BG</t>
  </si>
  <si>
    <t xml:space="preserve">Boost Video-BE</t>
  </si>
  <si>
    <t xml:space="preserve">Boost Carousel-DO</t>
  </si>
  <si>
    <t xml:space="preserve">Boost Livestream-BY</t>
  </si>
  <si>
    <t xml:space="preserve">Boost Livestream-EC</t>
  </si>
  <si>
    <t xml:space="preserve">Boost Livestream-SE</t>
  </si>
  <si>
    <t xml:space="preserve">Boost Carousel-ES</t>
  </si>
  <si>
    <t xml:space="preserve">Boost Carousel-US</t>
  </si>
  <si>
    <t xml:space="preserve">Boost Livestream-KW</t>
  </si>
  <si>
    <t xml:space="preserve">JM</t>
  </si>
  <si>
    <t xml:space="preserve">Boost Carousel-JM</t>
  </si>
  <si>
    <t xml:space="preserve">Boost Carousel-DK</t>
  </si>
  <si>
    <t xml:space="preserve">Boost Carousel-AE</t>
  </si>
  <si>
    <t xml:space="preserve">Boost Livestream-DE</t>
  </si>
  <si>
    <t xml:space="preserve">Boost Carousel-MX</t>
  </si>
  <si>
    <t xml:space="preserve">Boost Carousel-IE</t>
  </si>
  <si>
    <t xml:space="preserve">Boost Livestream-ID</t>
  </si>
  <si>
    <t xml:space="preserve">Boost Carousel-IL</t>
  </si>
  <si>
    <t xml:space="preserve">Boost Carousel-PE</t>
  </si>
  <si>
    <t xml:space="preserve">Boost Carousel-NO</t>
  </si>
  <si>
    <t xml:space="preserve">Boost Carousel-AL</t>
  </si>
  <si>
    <t xml:space="preserve">Boost Video-VN</t>
  </si>
  <si>
    <t xml:space="preserve">Boost Carousel-MY</t>
  </si>
  <si>
    <t xml:space="preserve">Boost Video-JO</t>
  </si>
  <si>
    <t xml:space="preserve">Boost Carousel-GB</t>
  </si>
  <si>
    <t xml:space="preserve">Boost Livestream-MA</t>
  </si>
  <si>
    <t xml:space="preserve">Boost Carousel-SV</t>
  </si>
  <si>
    <t xml:space="preserve">Boost Video-SI</t>
  </si>
  <si>
    <t xml:space="preserve">Boost Video-SE</t>
  </si>
  <si>
    <t xml:space="preserve">Boost Carousel-LY</t>
  </si>
  <si>
    <t xml:space="preserve">Boost Livestream-FR</t>
  </si>
  <si>
    <t xml:space="preserve">XK</t>
  </si>
  <si>
    <t xml:space="preserve">Boost Video-XK</t>
  </si>
  <si>
    <t xml:space="preserve">Boost Livestream-JP</t>
  </si>
  <si>
    <t xml:space="preserve">Boost Video-BD</t>
  </si>
  <si>
    <t xml:space="preserve">Boost Video-MX</t>
  </si>
  <si>
    <t xml:space="preserve">MM</t>
  </si>
  <si>
    <t xml:space="preserve">Boost Video-MM</t>
  </si>
  <si>
    <t xml:space="preserve">Boost Carousel-NI</t>
  </si>
  <si>
    <t xml:space="preserve">Boost Livestream-CR</t>
  </si>
  <si>
    <t xml:space="preserve">Boost Carousel-XK</t>
  </si>
  <si>
    <t xml:space="preserve">Boost Carousel-PL</t>
  </si>
  <si>
    <t xml:space="preserve">Boost Carousel-EC</t>
  </si>
  <si>
    <t xml:space="preserve">Boost Video-NG</t>
  </si>
  <si>
    <t xml:space="preserve">Boost Video-FI</t>
  </si>
  <si>
    <t xml:space="preserve">Boost Video-AT</t>
  </si>
  <si>
    <t xml:space="preserve">TT</t>
  </si>
  <si>
    <t xml:space="preserve">Boost Carousel-TT</t>
  </si>
  <si>
    <t xml:space="preserve">Boost Carousel-SI</t>
  </si>
  <si>
    <t xml:space="preserve">Boost Video-AM</t>
  </si>
  <si>
    <t xml:space="preserve">Boost Livestream-GB</t>
  </si>
  <si>
    <t xml:space="preserve">Boost Carousel-BD</t>
  </si>
  <si>
    <t xml:space="preserve">Boost Livestream-NG</t>
  </si>
  <si>
    <t xml:space="preserve">Boost Carousel-HN</t>
  </si>
  <si>
    <t xml:space="preserve">MK</t>
  </si>
  <si>
    <t xml:space="preserve">Boost Carousel-MK</t>
  </si>
  <si>
    <t xml:space="preserve">Boost Carousel-FR</t>
  </si>
  <si>
    <t xml:space="preserve">Boost Carousel-JO</t>
  </si>
  <si>
    <t xml:space="preserve">Boost Livestream-IQ</t>
  </si>
  <si>
    <t xml:space="preserve">Boost Video-CR</t>
  </si>
  <si>
    <t xml:space="preserve">Boost Carousel-CO</t>
  </si>
  <si>
    <t xml:space="preserve">Boost Carousel-AZ</t>
  </si>
  <si>
    <t xml:space="preserve">Boost Video-LY</t>
  </si>
  <si>
    <t xml:space="preserve">Boost Video-CH</t>
  </si>
  <si>
    <t xml:space="preserve">Boost Video-SN</t>
  </si>
  <si>
    <t xml:space="preserve">Boost Carousel-PK</t>
  </si>
  <si>
    <t xml:space="preserve">Boost Livestream-MX</t>
  </si>
  <si>
    <t xml:space="preserve">Boost Carousel-MV</t>
  </si>
  <si>
    <t xml:space="preserve">Boost Carousel-ZA</t>
  </si>
  <si>
    <t xml:space="preserve">Boost Video-LU</t>
  </si>
  <si>
    <t xml:space="preserve">Boost Livestream-AE</t>
  </si>
  <si>
    <t xml:space="preserve">Boost Livestream-GR</t>
  </si>
  <si>
    <t xml:space="preserve">Boost Video-PH</t>
  </si>
  <si>
    <t xml:space="preserve">Boost Livestream-SV</t>
  </si>
  <si>
    <t xml:space="preserve">KG</t>
  </si>
  <si>
    <t xml:space="preserve">Boost Video-KG</t>
  </si>
  <si>
    <t xml:space="preserve">Boost Livestream-JO</t>
  </si>
  <si>
    <t xml:space="preserve">Boost Livestream-KE</t>
  </si>
  <si>
    <t xml:space="preserve">Boost Carousel-CZ</t>
  </si>
  <si>
    <t xml:space="preserve">Boost Livestream-AR</t>
  </si>
  <si>
    <t xml:space="preserve">TJ</t>
  </si>
  <si>
    <t xml:space="preserve">Boost Carousel-TJ</t>
  </si>
  <si>
    <t xml:space="preserve">Boost Carousel-KE</t>
  </si>
  <si>
    <t xml:space="preserve">Boost Carousel-BH</t>
  </si>
  <si>
    <t xml:space="preserve">Boost Carousel-ML</t>
  </si>
  <si>
    <t xml:space="preserve">Boost Video-PY</t>
  </si>
  <si>
    <t xml:space="preserve">Boost Video-MY</t>
  </si>
  <si>
    <t xml:space="preserve">Boost Livestream-UY</t>
  </si>
  <si>
    <t xml:space="preserve">Boost Carousel-KG</t>
  </si>
  <si>
    <t xml:space="preserve">Boost Livestream-RS</t>
  </si>
  <si>
    <t xml:space="preserve">Boost Carousel-NG</t>
  </si>
  <si>
    <t xml:space="preserve">Boost Livestream-HN</t>
  </si>
  <si>
    <t xml:space="preserve">Boost Livestream-PY</t>
  </si>
  <si>
    <t xml:space="preserve">MN</t>
  </si>
  <si>
    <t xml:space="preserve">Boost Carousel-MN</t>
  </si>
  <si>
    <t xml:space="preserve">Boost Carousel-ET</t>
  </si>
  <si>
    <t xml:space="preserve">R&amp;F</t>
  </si>
  <si>
    <t xml:space="preserve">R&amp;F Ads-IT</t>
  </si>
  <si>
    <t xml:space="preserve">R&amp;F Ads-BE</t>
  </si>
  <si>
    <t xml:space="preserve">R&amp;F Ads-CL</t>
  </si>
  <si>
    <t xml:space="preserve">R&amp;F Ads-FR</t>
  </si>
  <si>
    <t xml:space="preserve">R&amp;F Ads-SA</t>
  </si>
  <si>
    <t xml:space="preserve">R&amp;F Ads-GR</t>
  </si>
  <si>
    <t xml:space="preserve">R&amp;F Ads-KZ</t>
  </si>
  <si>
    <t xml:space="preserve">R&amp;F Ads-PT</t>
  </si>
  <si>
    <t xml:space="preserve">R&amp;F Ads-BR</t>
  </si>
  <si>
    <t xml:space="preserve">R&amp;F Ads-CH</t>
  </si>
  <si>
    <t xml:space="preserve">R&amp;F Ads-CA</t>
  </si>
  <si>
    <t xml:space="preserve">R&amp;F Ads-MY</t>
  </si>
  <si>
    <t xml:space="preserve">R&amp;F Ads-KR</t>
  </si>
  <si>
    <t xml:space="preserve">Search Ads</t>
  </si>
  <si>
    <t xml:space="preserve">Search Ads Keyword</t>
  </si>
  <si>
    <t xml:space="preserve">Search Ads Keyword-GB</t>
  </si>
  <si>
    <t xml:space="preserve">Search Ads Keyword-US</t>
  </si>
  <si>
    <t xml:space="preserve">Search Ads Keyword-PH</t>
  </si>
  <si>
    <t xml:space="preserve">Search Ads Keyword-CA</t>
  </si>
  <si>
    <t xml:space="preserve">Search Ads Keyword-TH</t>
  </si>
  <si>
    <t xml:space="preserve">Search Ads Keyword-ID</t>
  </si>
  <si>
    <t xml:space="preserve">Search Ads Keyword-MY</t>
  </si>
  <si>
    <t xml:space="preserve">Search Ads Keyword-VN</t>
  </si>
  <si>
    <t xml:space="preserve">Catalog Ads</t>
  </si>
  <si>
    <t xml:space="preserve">Dynamic Catalog WholeProd</t>
  </si>
  <si>
    <t xml:space="preserve">Dynamic Catalog WholeProd-SA</t>
  </si>
  <si>
    <t xml:space="preserve">Catalog Ads Livestream</t>
  </si>
  <si>
    <t xml:space="preserve">Catalog Ads Livestream-ID</t>
  </si>
  <si>
    <t xml:space="preserve">Catalog Ads Livestream-TH</t>
  </si>
  <si>
    <t xml:space="preserve">Dynamic Catalog Video Package</t>
  </si>
  <si>
    <t xml:space="preserve">Dynamic Catalog Video Package-VN</t>
  </si>
  <si>
    <t xml:space="preserve">Dynamic Catalog Video Package-NL</t>
  </si>
  <si>
    <t xml:space="preserve">Dynamic Catalog Video Package-KZ</t>
  </si>
  <si>
    <t xml:space="preserve">Closed Loop Product</t>
  </si>
  <si>
    <t xml:space="preserve">Closed Loop Product-TH</t>
  </si>
  <si>
    <t xml:space="preserve">Dynamic Catalog WholeProd-CL</t>
  </si>
  <si>
    <t xml:space="preserve">Dynamic Catalog Video Package-GB</t>
  </si>
  <si>
    <t xml:space="preserve">Dynamic Catalog WholeProd-MX</t>
  </si>
  <si>
    <t xml:space="preserve">Catalog Ads Livestream-JP</t>
  </si>
  <si>
    <t xml:space="preserve">Dynamic Catalog WholeProd-DK</t>
  </si>
  <si>
    <t xml:space="preserve">Catalog Ads Livestream-US</t>
  </si>
  <si>
    <t xml:space="preserve">Dynamic Catalog WholeProd-ZA</t>
  </si>
  <si>
    <t xml:space="preserve">Dynamic Catalog WholeProd-FR</t>
  </si>
  <si>
    <t xml:space="preserve">Dynamic Catalog WholeProd-IL</t>
  </si>
  <si>
    <t xml:space="preserve">Dynamic Catalog WholeProd-AU</t>
  </si>
  <si>
    <t xml:space="preserve">Dynamic Catalog WholeProd-PT</t>
  </si>
  <si>
    <t xml:space="preserve">Dynamic Catalog WholeProd-US</t>
  </si>
  <si>
    <t xml:space="preserve">Dynamic Catalog WholeProd-GB</t>
  </si>
  <si>
    <t xml:space="preserve">Dynamic Catalog Video Package-TR</t>
  </si>
  <si>
    <t xml:space="preserve">Dynamic Catalog Video Package-TH</t>
  </si>
  <si>
    <t xml:space="preserve">Dynamic Catalog WholeProd-KR</t>
  </si>
  <si>
    <t xml:space="preserve">Dynamic Catalog Video Package-SG</t>
  </si>
  <si>
    <t xml:space="preserve">Catalog Ads Livestream-SG</t>
  </si>
  <si>
    <t xml:space="preserve">Dynamic Catalog WholeProd-VN</t>
  </si>
  <si>
    <t xml:space="preserve">Closed Loop Product-SG</t>
  </si>
  <si>
    <t xml:space="preserve">Closed Loop Product-MY</t>
  </si>
  <si>
    <t xml:space="preserve">Dynamic Catalog WholeProd-AE</t>
  </si>
  <si>
    <t xml:space="preserve">Closed Loop Product-VN</t>
  </si>
  <si>
    <t xml:space="preserve">Dynamic Catalog Video Package-AE</t>
  </si>
  <si>
    <t xml:space="preserve">Dynamic Catalog WholeProd-FI</t>
  </si>
  <si>
    <t xml:space="preserve">Dynamic Catalog WholeProd-CO</t>
  </si>
  <si>
    <t xml:space="preserve">Catalog Ads Livestream-MY</t>
  </si>
  <si>
    <t xml:space="preserve">Dynamic Catalog Video Package-BR</t>
  </si>
  <si>
    <t xml:space="preserve">Dynamic Catalog WholeProd-PL</t>
  </si>
  <si>
    <t xml:space="preserve">Dynamic Catalog WholeProd-TH</t>
  </si>
  <si>
    <t xml:space="preserve">Dynamic Catalog Video Package-MY</t>
  </si>
  <si>
    <t xml:space="preserve">Dynamic Catalog WholeProd-JP</t>
  </si>
  <si>
    <t xml:space="preserve">Dynamic Catalog WholeProd-TR</t>
  </si>
  <si>
    <t xml:space="preserve">Dynamic Catalog WholeProd-PK</t>
  </si>
  <si>
    <t xml:space="preserve">Dynamic Catalog WholeProd-NO</t>
  </si>
  <si>
    <t xml:space="preserve">Closed Loop Product-US</t>
  </si>
  <si>
    <t xml:space="preserve">Dynamic Catalog WholeProd-BR</t>
  </si>
  <si>
    <t xml:space="preserve">Dynamic Catalog WholeProd-RO</t>
  </si>
  <si>
    <t xml:space="preserve">Dynamic Catalog Video Package-HU</t>
  </si>
  <si>
    <t xml:space="preserve">Dynamic Catalog WholeProd-ID</t>
  </si>
  <si>
    <t xml:space="preserve">Dynamic Catalog Video Package-GR</t>
  </si>
  <si>
    <t xml:space="preserve">Dynamic Catalog Video Package-KR</t>
  </si>
  <si>
    <t xml:space="preserve">Dynamic Catalog WholeProd-ES</t>
  </si>
  <si>
    <t xml:space="preserve">Closed Loop Product-GB</t>
  </si>
  <si>
    <t xml:space="preserve">Closed Loop Product-SA</t>
  </si>
  <si>
    <t xml:space="preserve">Dynamic Catalog Video Package-PL</t>
  </si>
  <si>
    <t xml:space="preserve">Dynamic Catalog Video Package-ZA</t>
  </si>
  <si>
    <t xml:space="preserve">Dynamic Catalog WholeProd-IT</t>
  </si>
  <si>
    <t xml:space="preserve">Dynamic Catalog Video Package-ES</t>
  </si>
  <si>
    <t xml:space="preserve">Dynamic Catalog Video Package-KW</t>
  </si>
  <si>
    <t xml:space="preserve">Dynamic Catalog Video Package-SE</t>
  </si>
  <si>
    <t xml:space="preserve">Dynamic Catalog WholeProd-DE</t>
  </si>
  <si>
    <t xml:space="preserve">Dynamic Catalog Video Package-RO</t>
  </si>
  <si>
    <t xml:space="preserve">Dynamic Catalog Video Package-MX</t>
  </si>
  <si>
    <t xml:space="preserve">Catalog Ads Livestream-VN</t>
  </si>
  <si>
    <t xml:space="preserve">Dynamic Catalog WholeProd-NL</t>
  </si>
  <si>
    <t xml:space="preserve">Dynamic Catalog WholeProd-AR</t>
  </si>
  <si>
    <t xml:space="preserve">Dynamic Catalog Video Package-AU</t>
  </si>
  <si>
    <t xml:space="preserve">Dynamic Catalog WholeProd-NZ</t>
  </si>
  <si>
    <t xml:space="preserve">Dynamic Catalog WholeProd-CA</t>
  </si>
  <si>
    <t xml:space="preserve">Dynamic Catalog Video Package-ID</t>
  </si>
  <si>
    <t xml:space="preserve">Dynamic Catalog WholeProd-AT</t>
  </si>
  <si>
    <t xml:space="preserve">Dynamic Catalog Video Package-CL</t>
  </si>
  <si>
    <t xml:space="preserve">Dynamic Catalog Video Package-US</t>
  </si>
  <si>
    <t xml:space="preserve">Catalog Ads Livestream-PH</t>
  </si>
  <si>
    <t xml:space="preserve">Dynamic Catalog Video Package-AR</t>
  </si>
  <si>
    <t xml:space="preserve">Dynamic Catalog WholeProd-MY</t>
  </si>
  <si>
    <t xml:space="preserve">Catalog Ads Livestream-TW</t>
  </si>
  <si>
    <t xml:space="preserve">Dynamic Catalog Video Package-SA</t>
  </si>
  <si>
    <t xml:space="preserve">Dynamic Catalog Video Package-EG</t>
  </si>
  <si>
    <t xml:space="preserve">Dynamic Catalog WholeProd-BE</t>
  </si>
  <si>
    <t xml:space="preserve">Dynamic Catalog WholeProd-EC</t>
  </si>
  <si>
    <t xml:space="preserve">Closed Loop Product-ES</t>
  </si>
  <si>
    <t xml:space="preserve">Dynamic Catalog Video Package-FR</t>
  </si>
  <si>
    <t xml:space="preserve">Dynamic Catalog Video Package-CA</t>
  </si>
  <si>
    <t xml:space="preserve">Catalog Ads Livestream-GB</t>
  </si>
  <si>
    <t xml:space="preserve">Dynamic Catalog Video Package-CZ</t>
  </si>
  <si>
    <t xml:space="preserve">Closed Loop Product-ID</t>
  </si>
  <si>
    <t xml:space="preserve">Dynamic Catalog Video Package-IT</t>
  </si>
  <si>
    <t xml:space="preserve">Closed Loop Product-PH</t>
  </si>
  <si>
    <t xml:space="preserve">Dynamic Catalog WholeProd-SE</t>
  </si>
  <si>
    <t xml:space="preserve">Dynamic Catalog Video Package-DE</t>
  </si>
  <si>
    <t xml:space="preserve">Dynamic Catalog WholeProd-PE</t>
  </si>
  <si>
    <t xml:space="preserve">Catalog Ads Livestream-ES</t>
  </si>
  <si>
    <t xml:space="preserve">Dynamic Catalog WholeProd-PH</t>
  </si>
  <si>
    <t xml:space="preserve">Dynamic Catalog WholeProd-GR</t>
  </si>
  <si>
    <t xml:space="preserve">TCM</t>
  </si>
  <si>
    <t xml:space="preserve">TCM Community Video</t>
  </si>
  <si>
    <t xml:space="preserve">TCM Community Video-TH</t>
  </si>
  <si>
    <t xml:space="preserve">Game Vertical Anchor</t>
  </si>
  <si>
    <t xml:space="preserve">Game Vertical Anchor-BE</t>
  </si>
  <si>
    <t xml:space="preserve">Game Vertical Anchor-TH</t>
  </si>
  <si>
    <t xml:space="preserve">Game Vertical Anchor-SG</t>
  </si>
  <si>
    <t xml:space="preserve">Game Vertical Anchor-UY</t>
  </si>
  <si>
    <t xml:space="preserve">Game Vertical Anchor-IT</t>
  </si>
  <si>
    <t xml:space="preserve">TCM Community Video-ID</t>
  </si>
  <si>
    <t xml:space="preserve">TCM Community Video-AE</t>
  </si>
  <si>
    <t xml:space="preserve">Game Vertical Anchor-JO</t>
  </si>
  <si>
    <t xml:space="preserve">Game Vertical Anchor-IL</t>
  </si>
  <si>
    <t xml:space="preserve">Game Vertical Anchor-RO</t>
  </si>
  <si>
    <t xml:space="preserve">Game Vertical Anchor-MA</t>
  </si>
  <si>
    <t xml:space="preserve">Game Vertical Anchor-CL</t>
  </si>
  <si>
    <t xml:space="preserve">Game Vertical Anchor-LT</t>
  </si>
  <si>
    <t xml:space="preserve">Game Vertical Anchor-MY</t>
  </si>
  <si>
    <t xml:space="preserve">TCM Community Video-US</t>
  </si>
  <si>
    <t xml:space="preserve">TCM Community Video-GB</t>
  </si>
  <si>
    <t xml:space="preserve">TCM Community Video-CA</t>
  </si>
  <si>
    <t xml:space="preserve">Game Vertical Anchor-CZ</t>
  </si>
  <si>
    <t xml:space="preserve">Game Vertical Anchor-TW</t>
  </si>
  <si>
    <t xml:space="preserve">Game Vertical Anchor-LU</t>
  </si>
  <si>
    <t xml:space="preserve">TCM Community Video-AU</t>
  </si>
  <si>
    <t xml:space="preserve">TCM Community Video-BR</t>
  </si>
  <si>
    <t xml:space="preserve">Game Vertical Anchor-AT</t>
  </si>
  <si>
    <t xml:space="preserve">TCM Community Video-TR</t>
  </si>
  <si>
    <t xml:space="preserve">Game Vertical Anchor-PE</t>
  </si>
  <si>
    <t xml:space="preserve">TCM Community Video-ES</t>
  </si>
  <si>
    <t xml:space="preserve">TCM Community Video-DE</t>
  </si>
  <si>
    <t xml:space="preserve">Game Vertical Anchor-US</t>
  </si>
  <si>
    <t xml:space="preserve">TCM Community Video-MY</t>
  </si>
  <si>
    <t xml:space="preserve">Game Vertical Anchor-IQ</t>
  </si>
  <si>
    <t xml:space="preserve">Game Vertical Anchor-EE</t>
  </si>
  <si>
    <t xml:space="preserve">TCM Community Video-TW</t>
  </si>
  <si>
    <t xml:space="preserve">TCM Community Video-VN</t>
  </si>
  <si>
    <t xml:space="preserve">Game Vertical Anchor-KR</t>
  </si>
  <si>
    <t xml:space="preserve">Game Vertical Anchor-KH</t>
  </si>
  <si>
    <t xml:space="preserve">Game Vertical Anchor-ZA</t>
  </si>
  <si>
    <t xml:space="preserve">Game Vertical Anchor-CH</t>
  </si>
  <si>
    <t xml:space="preserve">Game Vertical Anchor-AR</t>
  </si>
  <si>
    <t xml:space="preserve">Game Vertical Anchor-CA</t>
  </si>
  <si>
    <t xml:space="preserve">Game Vertical Anchor-BH</t>
  </si>
  <si>
    <t xml:space="preserve">TCM Community Video-EG</t>
  </si>
  <si>
    <t xml:space="preserve">TCM Community Video-PH</t>
  </si>
  <si>
    <t xml:space="preserve">Game Vertical Anchor-SK</t>
  </si>
  <si>
    <t xml:space="preserve">Game Vertical Anchor-FR</t>
  </si>
  <si>
    <t xml:space="preserve">Game Vertical Anchor-VN</t>
  </si>
  <si>
    <t xml:space="preserve">Game Vertical Anchor-QA</t>
  </si>
  <si>
    <t xml:space="preserve">TCM Community Video-SG</t>
  </si>
  <si>
    <t xml:space="preserve">Game Vertical Anchor-EC</t>
  </si>
  <si>
    <t xml:space="preserve">Game Vertical Anchor-BG</t>
  </si>
  <si>
    <t xml:space="preserve">Game Vertical Anchor-GB</t>
  </si>
  <si>
    <t xml:space="preserve">Game Vertical Anchor-ID</t>
  </si>
  <si>
    <t xml:space="preserve">Game Vertical Anchor-DE</t>
  </si>
  <si>
    <t xml:space="preserve">Game Vertical Anchor-EG</t>
  </si>
  <si>
    <t xml:space="preserve">Game Vertical Anchor-OM</t>
  </si>
  <si>
    <t xml:space="preserve">TCM Community Video-JP</t>
  </si>
  <si>
    <t xml:space="preserve">Game Vertical Anchor-KW</t>
  </si>
  <si>
    <t xml:space="preserve">Game Vertical Anchor-CO</t>
  </si>
  <si>
    <t xml:space="preserve">Game Vertical Anchor-AE</t>
  </si>
  <si>
    <t xml:space="preserve">TCM Community Video-FR</t>
  </si>
  <si>
    <t xml:space="preserve">Game Vertical Anchor-DK</t>
  </si>
  <si>
    <t xml:space="preserve">Game Vertical Anchor-NZ</t>
  </si>
  <si>
    <t xml:space="preserve">Game Vertical Anchor-AU</t>
  </si>
  <si>
    <t xml:space="preserve">Game Vertical Anchor-HR</t>
  </si>
  <si>
    <t xml:space="preserve">Game Vertical Anchor-NL</t>
  </si>
  <si>
    <t xml:space="preserve">Game Vertical Anchor-GR</t>
  </si>
  <si>
    <t xml:space="preserve">TCM Community Video-IT</t>
  </si>
  <si>
    <t xml:space="preserve">Game Vertical Anchor-MX</t>
  </si>
  <si>
    <t xml:space="preserve">Game Vertical Anchor-LB</t>
  </si>
  <si>
    <t xml:space="preserve">Game Vertical Anchor-ES</t>
  </si>
  <si>
    <t xml:space="preserve">Game Vertical Anchor-BR</t>
  </si>
  <si>
    <t xml:space="preserve">TCM Community Video-SA</t>
  </si>
  <si>
    <t xml:space="preserve">Game Vertical Anchor-PK</t>
  </si>
  <si>
    <t xml:space="preserve">Game Vertical Anchor-PH</t>
  </si>
  <si>
    <t xml:space="preserve">Game Vertical Anchor-TR</t>
  </si>
  <si>
    <t xml:space="preserve">Game Vertical Anchor-SE</t>
  </si>
  <si>
    <t xml:space="preserve">Game Vertical Anchor-SA</t>
  </si>
  <si>
    <t xml:space="preserve">Game Vertical Anchor-JP</t>
  </si>
  <si>
    <t xml:space="preserve">Game Vertical Anchor-LV</t>
  </si>
  <si>
    <t xml:space="preserve">Game Vertical Anchor-PL</t>
  </si>
  <si>
    <t xml:space="preserve">Trial Install</t>
  </si>
  <si>
    <t xml:space="preserve">Trial Install IOS App</t>
  </si>
  <si>
    <t xml:space="preserve">Trial Install IOS App-US</t>
  </si>
  <si>
    <t xml:space="preserve">Trial Install Android App</t>
  </si>
  <si>
    <t xml:space="preserve">Trial Install Android App-US</t>
  </si>
  <si>
    <t xml:space="preserve">Trial Install Android App-BR</t>
  </si>
  <si>
    <t xml:space="preserve">Trial Install Android App-ID</t>
  </si>
  <si>
    <t xml:space="preserve">Trial Install Android App-VN</t>
  </si>
  <si>
    <t xml:space="preserve">Trial Install Android App-MX</t>
  </si>
  <si>
    <t xml:space="preserve">Trial Install Android App-CA</t>
  </si>
  <si>
    <t xml:space="preserve">Creator Gen</t>
  </si>
  <si>
    <t xml:space="preserve">Creator Gen Text EP Requirement</t>
  </si>
  <si>
    <t xml:space="preserve">Creator Gen Text EP Requirement-ID</t>
  </si>
  <si>
    <t xml:space="preserve">Creator Gen Text Tiktok Requirement</t>
  </si>
  <si>
    <t xml:space="preserve">Creator Gen Text Tiktok Requirement-AE</t>
  </si>
  <si>
    <t xml:space="preserve">Creator Gen Image Tiktok Requirement</t>
  </si>
  <si>
    <t xml:space="preserve">Creator Gen Image Tiktok Requirement-US</t>
  </si>
  <si>
    <t xml:space="preserve">Creator Gen Video Tiktok Requirement</t>
  </si>
  <si>
    <t xml:space="preserve">Creator Gen Video Tiktok Requirement-KR</t>
  </si>
  <si>
    <t xml:space="preserve">Creator Gen Image Safety</t>
  </si>
  <si>
    <t xml:space="preserve">Creator Gen Image Safety-NL</t>
  </si>
  <si>
    <t xml:space="preserve">Creator Gen Video Safety</t>
  </si>
  <si>
    <t xml:space="preserve">Creator Gen Video Safety-MY</t>
  </si>
  <si>
    <t xml:space="preserve">Creator Gen Image Safety-FR</t>
  </si>
  <si>
    <t xml:space="preserve">Creator Gen Text Tiktok Requirement-KW</t>
  </si>
  <si>
    <t xml:space="preserve">Creator Gen Image EP Requirement</t>
  </si>
  <si>
    <t xml:space="preserve">Creator Gen Image EP Requirement-TH</t>
  </si>
  <si>
    <t xml:space="preserve">Creator Gen Text EP Requirement-AU</t>
  </si>
  <si>
    <t xml:space="preserve">Creator Gen Video EP Requirement</t>
  </si>
  <si>
    <t xml:space="preserve">Creator Gen Video EP Requirement-NZ</t>
  </si>
  <si>
    <t xml:space="preserve">Creator Gen Image Safety-MX</t>
  </si>
  <si>
    <t xml:space="preserve">Creator Gen Text Safety</t>
  </si>
  <si>
    <t xml:space="preserve">Creator Gen Text Safety-EG</t>
  </si>
  <si>
    <t xml:space="preserve">Creator Gen Video Tiktok Requirement-US</t>
  </si>
  <si>
    <t xml:space="preserve">Creator Gen Image Tiktok Requirement-BE</t>
  </si>
  <si>
    <t xml:space="preserve">Creator Gen Video Tiktok Requirement-CL</t>
  </si>
  <si>
    <t xml:space="preserve">Creator Gen Video Tiktok Requirement-MX</t>
  </si>
  <si>
    <t xml:space="preserve">Creator Gen Video Safety-DE</t>
  </si>
  <si>
    <t xml:space="preserve">Creator Gen Image Safety-ES</t>
  </si>
  <si>
    <t xml:space="preserve">Creator Gen Text Safety-JP</t>
  </si>
  <si>
    <t xml:space="preserve">Creator Gen Video Tiktok Requirement-AU</t>
  </si>
  <si>
    <t xml:space="preserve">Creator Gen Text Safety-OM</t>
  </si>
  <si>
    <t xml:space="preserve">Creator Gen Text Safety-NZ</t>
  </si>
  <si>
    <t xml:space="preserve">Creator Gen Video Safety-FR</t>
  </si>
  <si>
    <t xml:space="preserve">Creator Gen Video Safety-CA</t>
  </si>
  <si>
    <t xml:space="preserve">Creator Gen Video Safety-AU</t>
  </si>
  <si>
    <t xml:space="preserve">Creator Gen Text Safety-GB</t>
  </si>
  <si>
    <t xml:space="preserve">Creator Gen Video Safety-EG</t>
  </si>
  <si>
    <t xml:space="preserve">Creator Gen Text Tiktok Requirement-MA</t>
  </si>
  <si>
    <t xml:space="preserve">Creator Gen Text Safety-PH</t>
  </si>
  <si>
    <t xml:space="preserve">Creator Gen Video EP Requirement-SG</t>
  </si>
  <si>
    <t xml:space="preserve">Creator Gen Image Tiktok Requirement-AU</t>
  </si>
  <si>
    <t xml:space="preserve">Creator Gen Video Tiktok Requirement-IT</t>
  </si>
  <si>
    <t xml:space="preserve">Creator Gen Video Safety-NL</t>
  </si>
  <si>
    <t xml:space="preserve">Creator Gen Text EP Requirement-IE</t>
  </si>
  <si>
    <t xml:space="preserve">Creator Gen Text Tiktok Requirement-OM</t>
  </si>
  <si>
    <t xml:space="preserve">Creator Gen Text Safety-BR</t>
  </si>
  <si>
    <t xml:space="preserve">Creator Gen Text Tiktok Requirement-SA</t>
  </si>
  <si>
    <t xml:space="preserve">Creator Gen Text Tiktok Requirement-NZ</t>
  </si>
  <si>
    <t xml:space="preserve">Creator Gen Text Safety-QA</t>
  </si>
  <si>
    <t xml:space="preserve">Creator Gen Text Safety-SA</t>
  </si>
  <si>
    <t xml:space="preserve">Creator Gen Image Tiktok Requirement-FR</t>
  </si>
  <si>
    <t xml:space="preserve">Creator Gen Text Tiktok Requirement-ZA</t>
  </si>
  <si>
    <t xml:space="preserve">Creator Gen Text Safety-CL</t>
  </si>
  <si>
    <t xml:space="preserve">Creator Gen Image Safety-BR</t>
  </si>
  <si>
    <t xml:space="preserve">Creator Gen Image Safety-CA</t>
  </si>
  <si>
    <t xml:space="preserve">Creator Gen Video Tiktok Requirement-ZA</t>
  </si>
  <si>
    <t xml:space="preserve">Creator Gen Video Tiktok Requirement-GB</t>
  </si>
  <si>
    <t xml:space="preserve">Creator Gen Video Safety-KW</t>
  </si>
  <si>
    <t xml:space="preserve">Creator Gen Image Tiktok Requirement-ES</t>
  </si>
  <si>
    <t xml:space="preserve">Creator Gen Video EP Requirement-US</t>
  </si>
  <si>
    <t xml:space="preserve">Creator Gen Text Safety-MA</t>
  </si>
  <si>
    <t xml:space="preserve">Creator Gen Image Tiktok Requirement-JP</t>
  </si>
  <si>
    <t xml:space="preserve">Creator Gen Image Safety-DE</t>
  </si>
  <si>
    <t xml:space="preserve">Creator Gen Video Tiktok Requirement-BR</t>
  </si>
  <si>
    <t xml:space="preserve">Creator Gen Video EP Requirement-JP</t>
  </si>
  <si>
    <t xml:space="preserve">Creator Gen Image Safety-RO</t>
  </si>
  <si>
    <t xml:space="preserve">Creator Gen Video Tiktok Requirement-EG</t>
  </si>
  <si>
    <t xml:space="preserve">Creator Gen Text Safety-NL</t>
  </si>
  <si>
    <t xml:space="preserve">Creator Gen Text Tiktok Requirement-AU</t>
  </si>
  <si>
    <t xml:space="preserve">Creator Gen Video Tiktok Requirement-AR</t>
  </si>
  <si>
    <t xml:space="preserve">Creator Gen Image Tiktok Requirement-MX</t>
  </si>
  <si>
    <t xml:space="preserve">Creator Gen Text EP Requirement-US</t>
  </si>
  <si>
    <t xml:space="preserve">Creator Gen Video Tiktok Requirement-DE</t>
  </si>
  <si>
    <t xml:space="preserve">Creator Gen Image Safety-TR</t>
  </si>
  <si>
    <t xml:space="preserve">Creator Gen Image Tiktok Requirement-KR</t>
  </si>
  <si>
    <t xml:space="preserve">Creator Gen Image Safety-JP</t>
  </si>
  <si>
    <t xml:space="preserve">Creator Gen Video Safety-AE</t>
  </si>
  <si>
    <t xml:space="preserve">Creator Gen Text Safety-AE</t>
  </si>
  <si>
    <t xml:space="preserve">Creator Gen Video Tiktok Requirement-TH</t>
  </si>
  <si>
    <t xml:space="preserve">Creator Gen Text Safety-US</t>
  </si>
  <si>
    <t xml:space="preserve">Creator Gen Image Safety-TH</t>
  </si>
  <si>
    <t xml:space="preserve">Creator Gen Video Tiktok Requirement-ID</t>
  </si>
  <si>
    <t xml:space="preserve">Creator Gen Text Tiktok Requirement-QA</t>
  </si>
  <si>
    <t xml:space="preserve">Creator Gen Text Safety-CA</t>
  </si>
  <si>
    <t xml:space="preserve">Creator Gen Image Tiktok Requirement-ZA</t>
  </si>
  <si>
    <t xml:space="preserve">Creator Gen Video Safety-ES</t>
  </si>
  <si>
    <t xml:space="preserve">Creator Gen Image Safety-KR</t>
  </si>
  <si>
    <t xml:space="preserve">Creator Gen Video Safety-ID</t>
  </si>
  <si>
    <t xml:space="preserve">Creator Gen Image Safety-BD</t>
  </si>
  <si>
    <t xml:space="preserve">Creator Gen Text EP Requirement-JP</t>
  </si>
  <si>
    <t xml:space="preserve">Creator Gen Video Tiktok Requirement-JP</t>
  </si>
  <si>
    <t xml:space="preserve">Creator Gen Video Safety-BR</t>
  </si>
  <si>
    <t xml:space="preserve">Creator Gen Video Safety-GB</t>
  </si>
  <si>
    <t xml:space="preserve">Creator Gen Image Safety-ID</t>
  </si>
  <si>
    <t xml:space="preserve">Creator Gen Text Safety-AU</t>
  </si>
  <si>
    <t xml:space="preserve">Creator Gen Text Safety-ID</t>
  </si>
  <si>
    <t xml:space="preserve">Creator Gen Text EP Requirement-TH</t>
  </si>
  <si>
    <t xml:space="preserve">Creator Gen Video Safety-MA</t>
  </si>
  <si>
    <t xml:space="preserve">Creator Gen Video Safety-TR</t>
  </si>
  <si>
    <t xml:space="preserve">Creator Gen Image Safety-ZA</t>
  </si>
  <si>
    <t xml:space="preserve">Creator Gen Image Tiktok Requirement-TH</t>
  </si>
  <si>
    <t xml:space="preserve">Creator Gen Image Safety-BE</t>
  </si>
  <si>
    <t xml:space="preserve">Creator Gen Video Safety-QA</t>
  </si>
  <si>
    <t xml:space="preserve">Creator Gen Video Safety-US</t>
  </si>
  <si>
    <t xml:space="preserve">Creator Gen Image Tiktok Requirement-BD</t>
  </si>
  <si>
    <t xml:space="preserve">Creator Gen Video Tiktok Requirement-VN</t>
  </si>
  <si>
    <t xml:space="preserve">Creator Gen Text Safety-TR</t>
  </si>
  <si>
    <t xml:space="preserve">Creator Gen Image Safety-US</t>
  </si>
  <si>
    <t xml:space="preserve">Creator Gen Image Safety-QA</t>
  </si>
  <si>
    <t xml:space="preserve">Creator Gen Text Safety-BD</t>
  </si>
  <si>
    <t xml:space="preserve">Creator Gen Video EP Requirement-ID</t>
  </si>
  <si>
    <t xml:space="preserve">Creator Gen Video Safety-CL</t>
  </si>
  <si>
    <t xml:space="preserve">Creator Gen Text Safety-KW</t>
  </si>
  <si>
    <t xml:space="preserve">Creator Gen Image Tiktok Requirement-SA</t>
  </si>
  <si>
    <t xml:space="preserve">Creator Gen Image EP Requirement-US</t>
  </si>
  <si>
    <t xml:space="preserve">Creator Gen Image Safety-VN</t>
  </si>
  <si>
    <t xml:space="preserve">Creator Gen Image EP Requirement-JP</t>
  </si>
  <si>
    <t xml:space="preserve">Creator Gen Video Tiktok Requirement-FR</t>
  </si>
  <si>
    <t xml:space="preserve">Creator Gen Video Safety-VN</t>
  </si>
  <si>
    <t xml:space="preserve">Creator Gen Text EP Requirement-GB</t>
  </si>
  <si>
    <t xml:space="preserve">Creator Gen Image Tiktok Requirement-GB</t>
  </si>
  <si>
    <t xml:space="preserve">Creator Gen Text Safety-MX</t>
  </si>
  <si>
    <t xml:space="preserve">Creator Gen Video Tiktok Requirement-CA</t>
  </si>
  <si>
    <t xml:space="preserve">Creator Gen Text Safety-PE</t>
  </si>
  <si>
    <t xml:space="preserve">Creator Gen Image Tiktok Requirement-BR</t>
  </si>
  <si>
    <t xml:space="preserve">Creator Gen Image Tiktok Requirement-EG</t>
  </si>
  <si>
    <t xml:space="preserve">Creator Gen Text EP Requirement-CA</t>
  </si>
  <si>
    <t xml:space="preserve">Creator Gen Image Tiktok Requirement-AR</t>
  </si>
  <si>
    <t xml:space="preserve">Creator Gen Video Safety-PH</t>
  </si>
  <si>
    <t xml:space="preserve">Creator Gen Video Safety-AR</t>
  </si>
  <si>
    <t xml:space="preserve">Creator Gen Video EP Requirement-PH</t>
  </si>
  <si>
    <t xml:space="preserve">Creator Gen Video Tiktok Requirement-MY</t>
  </si>
  <si>
    <t xml:space="preserve">Creator Gen Video Tiktok Requirement-PH</t>
  </si>
  <si>
    <t xml:space="preserve">Creator Gen Image Tiktok Requirement-QA</t>
  </si>
  <si>
    <t xml:space="preserve">Creator Gen Image Tiktok Requirement-VN</t>
  </si>
  <si>
    <t xml:space="preserve">Creator Gen Video Safety-SA</t>
  </si>
  <si>
    <t xml:space="preserve">Creator Gen Image Safety-GB</t>
  </si>
  <si>
    <t xml:space="preserve">Creator Gen Text Safety-CO</t>
  </si>
  <si>
    <t xml:space="preserve">Creator Gen Image Tiktok Requirement-TR</t>
  </si>
  <si>
    <t xml:space="preserve">Creator Gen Image Safety-AR</t>
  </si>
  <si>
    <t xml:space="preserve">Creator Gen Text Safety-VN</t>
  </si>
  <si>
    <t xml:space="preserve">Creator Gen Video Tiktok Requirement-ES</t>
  </si>
  <si>
    <t xml:space="preserve">Creator Gen Video Safety-AT</t>
  </si>
  <si>
    <t xml:space="preserve">Creator Gen Text Tiktok Requirement-NL</t>
  </si>
  <si>
    <t xml:space="preserve">Creator Gen Video Safety-MX</t>
  </si>
  <si>
    <t xml:space="preserve">Creator Gen Video Tiktok Requirement-AE</t>
  </si>
  <si>
    <t xml:space="preserve">Creator Gen Image Tiktok Requirement-DE</t>
  </si>
  <si>
    <t xml:space="preserve">Creator Gen Text Safety-ZA</t>
  </si>
  <si>
    <t xml:space="preserve">Creator Gen Image Safety-EG</t>
  </si>
  <si>
    <t xml:space="preserve">Creator Gen Image Safety-AU</t>
  </si>
  <si>
    <t xml:space="preserve">Creator Gen Image Tiktok Requirement-ID</t>
  </si>
  <si>
    <t xml:space="preserve">Creator Gen Image Tiktok Requirement-RO</t>
  </si>
  <si>
    <t xml:space="preserve">Creator Gen Text Tiktok Requirement-JP</t>
  </si>
  <si>
    <t xml:space="preserve">Creator Gen Text Safety-TH</t>
  </si>
  <si>
    <t xml:space="preserve">Creator Gen Video EP Requirement-TH</t>
  </si>
  <si>
    <t xml:space="preserve">Creator Gen Text Tiktok Requirement-US</t>
  </si>
  <si>
    <t xml:space="preserve">Creator Gen Video Safety-TH</t>
  </si>
  <si>
    <t xml:space="preserve">Creator Gen Video Safety-IT</t>
  </si>
  <si>
    <t xml:space="preserve">Creator Gen Video Tiktok Requirement-SA</t>
  </si>
  <si>
    <t xml:space="preserve">Creator Gen Text EP Requirement-PH</t>
  </si>
  <si>
    <t xml:space="preserve">Creator Gen Video EP Requirement-IE</t>
  </si>
  <si>
    <t xml:space="preserve">Creator Gen Image Tiktok Requirement-CA</t>
  </si>
  <si>
    <t xml:space="preserve">Creator Gen Video Safety-JP</t>
  </si>
  <si>
    <t xml:space="preserve">Creator Gen Text Tiktok Requirement-CA</t>
  </si>
  <si>
    <t xml:space="preserve">Creator Gen Image EP Requirement-PH</t>
  </si>
  <si>
    <t xml:space="preserve">Creator Gen Video Safety-CO</t>
  </si>
  <si>
    <t xml:space="preserve">Creator Gen Video Safety-BE</t>
  </si>
  <si>
    <t xml:space="preserve">Creator Gen Video Safety-ZA</t>
  </si>
  <si>
    <t xml:space="preserve">Creator Gen Video Tiktok Requirement-NL</t>
  </si>
  <si>
    <t xml:space="preserve">Creator Gen Text Tiktok Requirement-EG</t>
  </si>
  <si>
    <t xml:space="preserve">Creator Gen Video Safety-KR</t>
  </si>
  <si>
    <t xml:space="preserve">Creator Gen Image Safety-CL</t>
  </si>
  <si>
    <t xml:space="preserve">Creator Gen Image Safety-SA</t>
  </si>
  <si>
    <t xml:space="preserve">Creator Gen Image Tiktok Requirement-NL</t>
  </si>
  <si>
    <t xml:space="preserve">Creator Gen Text Safety-MY</t>
  </si>
  <si>
    <t xml:space="preserve">Non-Bid Ads</t>
  </si>
  <si>
    <t xml:space="preserve">Appeal</t>
  </si>
  <si>
    <t xml:space="preserve">bid_all</t>
  </si>
  <si>
    <t xml:space="preserve">Creative Hub App Download Anchor-MX</t>
  </si>
  <si>
    <t xml:space="preserve">Creative Hub Campaign-BR</t>
  </si>
  <si>
    <t xml:space="preserve">Creative Hub Community Video-EC</t>
  </si>
  <si>
    <t xml:space="preserve">Creative Hub Community Video-PR</t>
  </si>
  <si>
    <t xml:space="preserve">Creative Hub Video Safety-EC</t>
  </si>
  <si>
    <t xml:space="preserve">Creative Hub Video Safety-PR</t>
  </si>
  <si>
    <t xml:space="preserve">Media Ads-BR</t>
  </si>
  <si>
    <t xml:space="preserve">Media Ads-DE</t>
  </si>
  <si>
    <t xml:space="preserve">Media Ads-EG</t>
  </si>
  <si>
    <t xml:space="preserve">Media Ads-ES</t>
  </si>
  <si>
    <t xml:space="preserve">Media Ads-FR</t>
  </si>
  <si>
    <t xml:space="preserve">Media Ads-TH</t>
  </si>
  <si>
    <t xml:space="preserve">Media Ads-TW</t>
  </si>
  <si>
    <t xml:space="preserve">Media Ads-ZA</t>
  </si>
  <si>
    <t xml:space="preserve">Highlight View-BH</t>
  </si>
  <si>
    <t xml:space="preserve">Highlight View-DO</t>
  </si>
  <si>
    <t xml:space="preserve">Highlight View-EC</t>
  </si>
  <si>
    <t xml:space="preserve">Highlight View-LB</t>
  </si>
  <si>
    <t xml:space="preserve">Highlight View-PT</t>
  </si>
  <si>
    <t xml:space="preserve">fx_studio</t>
  </si>
  <si>
    <t xml:space="preserve">FX Studio-AE</t>
  </si>
  <si>
    <t xml:space="preserve">FX Studio-CO</t>
  </si>
  <si>
    <t xml:space="preserve">FX Studio-DE</t>
  </si>
  <si>
    <t xml:space="preserve">FX Studio-ES</t>
  </si>
  <si>
    <t xml:space="preserve">FX Studio-FR</t>
  </si>
  <si>
    <t xml:space="preserve">FX Studio-GB</t>
  </si>
  <si>
    <t xml:space="preserve">FX Studio-IT</t>
  </si>
  <si>
    <t xml:space="preserve">FX Studio-PE</t>
  </si>
  <si>
    <t xml:space="preserve">FX Studio-PK</t>
  </si>
  <si>
    <t xml:space="preserve">FX Studio-SA</t>
  </si>
  <si>
    <t xml:space="preserve">FX Studio-TR</t>
  </si>
  <si>
    <t xml:space="preserve">FX Studio-TW</t>
  </si>
  <si>
    <t xml:space="preserve">FX Studio-ZA</t>
  </si>
  <si>
    <t xml:space="preserve">Pre-appproval auction ads</t>
  </si>
  <si>
    <t xml:space="preserve">Bid Pre Approval-AT</t>
  </si>
  <si>
    <t xml:space="preserve">Bid Pre Approval-IE</t>
  </si>
  <si>
    <t xml:space="preserve">Pre-appproval reservation ads</t>
  </si>
  <si>
    <t xml:space="preserve">Booking Ads Pre Approval-AE</t>
  </si>
  <si>
    <t xml:space="preserve">Booking Ads Pre Approval-BE</t>
  </si>
  <si>
    <t xml:space="preserve">Booking Ads Pre Approval-BH</t>
  </si>
  <si>
    <t xml:space="preserve">Booking Ads Pre Approval-CA</t>
  </si>
  <si>
    <t xml:space="preserve">Booking Ads Pre Approval-DK</t>
  </si>
  <si>
    <t xml:space="preserve">Booking Ads Pre Approval-EC</t>
  </si>
  <si>
    <t xml:space="preserve">Booking Ads Pre Approval-EG</t>
  </si>
  <si>
    <t xml:space="preserve">Booking Ads Pre Approval-HU</t>
  </si>
  <si>
    <t xml:space="preserve">Booking Ads Pre Approval-IE</t>
  </si>
  <si>
    <t xml:space="preserve">Booking Ads Pre Approval-KR</t>
  </si>
  <si>
    <t xml:space="preserve">Booking Ads Pre Approval-PT</t>
  </si>
  <si>
    <t xml:space="preserve">R&amp;F Ads-PH</t>
  </si>
  <si>
    <t xml:space="preserve">Quality</t>
  </si>
  <si>
    <t xml:space="preserve">PVIL 1st round</t>
  </si>
  <si>
    <t xml:space="preserve">BE Adv Video-GB</t>
  </si>
  <si>
    <t xml:space="preserve">HTC Adv Video-DE</t>
  </si>
  <si>
    <t xml:space="preserve">HTC Adv Video-GB</t>
  </si>
  <si>
    <t xml:space="preserve">Account Review</t>
  </si>
  <si>
    <t xml:space="preserve">Company Verification</t>
  </si>
  <si>
    <t xml:space="preserve">N/A</t>
  </si>
  <si>
    <t xml:space="preserve">Service</t>
  </si>
  <si>
    <t xml:space="preserve">Unknown</t>
  </si>
  <si>
    <t xml:space="preserve">smart_assign_queue</t>
  </si>
  <si>
    <t xml:space="preserve">Search Ads Query - MY</t>
  </si>
  <si>
    <t xml:space="preserve">RIE</t>
  </si>
  <si>
    <t xml:space="preserve">Actor Integrity - Actor Review</t>
  </si>
  <si>
    <t xml:space="preserve">ACE Queue - AE</t>
  </si>
  <si>
    <t xml:space="preserve">ACE Queue - AR</t>
  </si>
  <si>
    <t xml:space="preserve">ACE Queue - AU</t>
  </si>
  <si>
    <t xml:space="preserve">ACE Queue - BH</t>
  </si>
  <si>
    <t xml:space="preserve">ACE Queue - BR</t>
  </si>
  <si>
    <t xml:space="preserve">ACE Queue - CL</t>
  </si>
  <si>
    <t xml:space="preserve">ACE Queue - CO</t>
  </si>
  <si>
    <t xml:space="preserve">ACE Queue - EC</t>
  </si>
  <si>
    <t xml:space="preserve">ACE Queue - EG</t>
  </si>
  <si>
    <t xml:space="preserve">ACE Queue - FI</t>
  </si>
  <si>
    <t xml:space="preserve">ACE Queue - ID</t>
  </si>
  <si>
    <t xml:space="preserve">ACE Queue - IQ</t>
  </si>
  <si>
    <t xml:space="preserve">ACE Queue - JP</t>
  </si>
  <si>
    <t xml:space="preserve">ACE Queue - KH</t>
  </si>
  <si>
    <t xml:space="preserve">ACE Queue - KR</t>
  </si>
  <si>
    <t xml:space="preserve">ACE Queue - KW</t>
  </si>
  <si>
    <t xml:space="preserve">ACE Queue - LB</t>
  </si>
  <si>
    <t xml:space="preserve">ACE Queue - MA</t>
  </si>
  <si>
    <t xml:space="preserve">ACE Queue - MX</t>
  </si>
  <si>
    <t xml:space="preserve">ACE Queue - MY</t>
  </si>
  <si>
    <t xml:space="preserve">ACE Queue - NO</t>
  </si>
  <si>
    <t xml:space="preserve">ACE Queue - NZ</t>
  </si>
  <si>
    <t xml:space="preserve">ACE Queue - PE</t>
  </si>
  <si>
    <t xml:space="preserve">ACE Queue - PH</t>
  </si>
  <si>
    <t xml:space="preserve">ACE Queue - PK</t>
  </si>
  <si>
    <t xml:space="preserve">ACE Queue - QA</t>
  </si>
  <si>
    <t xml:space="preserve">ACE Queue - SA</t>
  </si>
  <si>
    <t xml:space="preserve">ACE Queue - SE</t>
  </si>
  <si>
    <t xml:space="preserve">ACE Queue - SG</t>
  </si>
  <si>
    <t xml:space="preserve">ACE Queue - TH</t>
  </si>
  <si>
    <t xml:space="preserve">ACE Queue - TW</t>
  </si>
  <si>
    <t xml:space="preserve">ACE Queue - UY</t>
  </si>
  <si>
    <t xml:space="preserve">ACE Queue - VN</t>
  </si>
  <si>
    <t xml:space="preserve">ACE Queue - ZA</t>
  </si>
  <si>
    <t xml:space="preserve">ACE Queue – TR</t>
  </si>
  <si>
    <t xml:space="preserve">Account Registration-Verification Center SS-NL</t>
  </si>
  <si>
    <t xml:space="preserve">ba_community_video</t>
  </si>
  <si>
    <t xml:space="preserve">Brand Content</t>
  </si>
  <si>
    <t xml:space="preserve">Sponsored Content Community Video-GE</t>
  </si>
  <si>
    <t xml:space="preserve">Ad Group Recall (Merged)</t>
  </si>
  <si>
    <t xml:space="preserve">BC Report Recall</t>
  </si>
  <si>
    <t xml:space="preserve">Sponsored Content Community Video-MT</t>
  </si>
  <si>
    <t xml:space="preserve">Sponsored Content Community Video-SI</t>
  </si>
  <si>
    <t xml:space="preserve">Sponsored Content Community Video-SK</t>
  </si>
  <si>
    <t xml:space="preserve">Dynamic Catalog Wholeprod Recall</t>
  </si>
  <si>
    <t xml:space="preserve">Dynamic Catalog WholeProd-KZ</t>
  </si>
  <si>
    <t xml:space="preserve">Trial Install Android App-IQ</t>
  </si>
  <si>
    <t xml:space="preserve">Trial Install Android App-PK</t>
  </si>
  <si>
    <t xml:space="preserve">Trial Install Android App-SA</t>
  </si>
  <si>
    <t xml:space="preserve">Trial Install Android App-TR</t>
  </si>
  <si>
    <t xml:space="preserve">Trial Install IOS App-SA</t>
  </si>
  <si>
    <t xml:space="preserve">Trial Install IOS App-TR</t>
  </si>
  <si>
    <t xml:space="preserve">ACE Queue - CA</t>
  </si>
  <si>
    <t xml:space="preserve">Trial Install IOS App-BR</t>
  </si>
  <si>
    <t xml:space="preserve">Trial Install IOS App-MX</t>
  </si>
  <si>
    <t xml:space="preserve">Trial Install IOS App-CA</t>
  </si>
  <si>
    <t xml:space="preserve">BE Adv Campaign-BR</t>
  </si>
  <si>
    <t xml:space="preserve">BE Adv Video-BR</t>
  </si>
  <si>
    <t xml:space="preserve">Market</t>
  </si>
  <si>
    <t xml:space="preserve">Team Member</t>
  </si>
  <si>
    <t xml:space="preserve">TL Name</t>
  </si>
  <si>
    <t xml:space="preserve">Indonesia 🇮🇩</t>
  </si>
  <si>
    <t xml:space="preserve">Ivy Tan</t>
  </si>
  <si>
    <t xml:space="preserve">TL Ramirez</t>
  </si>
  <si>
    <t xml:space="preserve">Elena Petrova</t>
  </si>
  <si>
    <t xml:space="preserve">Tomas Novotny</t>
  </si>
  <si>
    <t xml:space="preserve">Talia Rosen</t>
  </si>
  <si>
    <t xml:space="preserve">Bilal Ahmadi</t>
  </si>
  <si>
    <t xml:space="preserve">Priya Ramesh</t>
  </si>
  <si>
    <t xml:space="preserve">Grace Osei</t>
  </si>
  <si>
    <t xml:space="preserve">Ines Costa</t>
  </si>
  <si>
    <t xml:space="preserve">Nadia Kowalski</t>
  </si>
  <si>
    <t xml:space="preserve">Isabelle Laurent</t>
  </si>
  <si>
    <t xml:space="preserve">Ravi Kapoor</t>
  </si>
  <si>
    <t xml:space="preserve">Malaysia 🇲🇾
Singapore 🇸🇬</t>
  </si>
  <si>
    <t xml:space="preserve">Hiro Sato</t>
  </si>
  <si>
    <t xml:space="preserve">Anika Sharma</t>
  </si>
  <si>
    <t xml:space="preserve">Bram de Vries</t>
  </si>
  <si>
    <t xml:space="preserve">Vietnam 🇻🇳</t>
  </si>
  <si>
    <t xml:space="preserve">Layla Hassan</t>
  </si>
  <si>
    <t xml:space="preserve">TL Lindgren</t>
  </si>
  <si>
    <t xml:space="preserve">Farid Rahman</t>
  </si>
  <si>
    <t xml:space="preserve">Quinn Delacroix</t>
  </si>
  <si>
    <t xml:space="preserve">Jonas Weber</t>
  </si>
  <si>
    <t xml:space="preserve">Lucas Ferreira</t>
  </si>
  <si>
    <t xml:space="preserve">Diego Alvarez</t>
  </si>
  <si>
    <t xml:space="preserve">Haruto Kimura</t>
  </si>
  <si>
    <t xml:space="preserve">Freya Lindqvist</t>
  </si>
  <si>
    <t xml:space="preserve">Mira Chandra</t>
  </si>
  <si>
    <t xml:space="preserve">Amira Haddad</t>
  </si>
  <si>
    <t xml:space="preserve">Noah Bergstrom</t>
  </si>
  <si>
    <t xml:space="preserve">Australia 🇦🇺
New Zealand 🇳🇿</t>
  </si>
  <si>
    <t xml:space="preserve">Mei Lin Chua</t>
  </si>
  <si>
    <t xml:space="preserve">Yuki Tanaka</t>
  </si>
  <si>
    <t xml:space="preserve">Leo Marchetti</t>
  </si>
  <si>
    <t xml:space="preserve">Olga Sokolova</t>
  </si>
  <si>
    <t xml:space="preserve">Kenji Watanabe</t>
  </si>
  <si>
    <t xml:space="preserve">Japan 🇯🇵
(JP Time)</t>
  </si>
  <si>
    <t xml:space="preserve">Omar Fathi</t>
  </si>
  <si>
    <t xml:space="preserve">TL Okafor</t>
  </si>
  <si>
    <t xml:space="preserve">Sanne Bakker</t>
  </si>
  <si>
    <t xml:space="preserve">Beatriz Souza</t>
  </si>
  <si>
    <t xml:space="preserve">Ingrid Larsen</t>
  </si>
  <si>
    <t xml:space="preserve">Korea 🇰🇷</t>
  </si>
  <si>
    <t xml:space="preserve">Theo Andersson</t>
  </si>
  <si>
    <t xml:space="preserve">Cambodia 🇰🇭</t>
  </si>
  <si>
    <t xml:space="preserve">Aleksander Kovac</t>
  </si>
  <si>
    <t xml:space="preserve">Taiwan 🇹🇼
Hong Kong 🇭🇰</t>
  </si>
  <si>
    <t xml:space="preserve">Kaia Nilsen</t>
  </si>
  <si>
    <t xml:space="preserve">Wei Chen</t>
  </si>
  <si>
    <t xml:space="preserve">Mateus Silva</t>
  </si>
  <si>
    <t xml:space="preserve">Philippines 🇵🇭</t>
  </si>
  <si>
    <t xml:space="preserve">Sofia Novak</t>
  </si>
  <si>
    <t xml:space="preserve">Felix Brandt</t>
  </si>
  <si>
    <t xml:space="preserve">Zara Iqbal</t>
  </si>
  <si>
    <t xml:space="preserve">Dimitri Volkov</t>
  </si>
  <si>
    <t xml:space="preserve">Thailand 🇹🇭</t>
  </si>
  <si>
    <t xml:space="preserve">Rafael Torres</t>
  </si>
  <si>
    <t xml:space="preserve">Chloe Martin</t>
  </si>
  <si>
    <t xml:space="preserve">SME [APAC]</t>
  </si>
  <si>
    <t xml:space="preserve">Pieter Janssen</t>
  </si>
  <si>
    <t xml:space="preserve">TL Cabrera</t>
  </si>
  <si>
    <t xml:space="preserve">Giulia Romano</t>
  </si>
  <si>
    <t xml:space="preserve">Jamal Osei</t>
  </si>
  <si>
    <t xml:space="preserve">Naledi Dlamini</t>
  </si>
  <si>
    <t xml:space="preserve">Camille Dubois</t>
  </si>
  <si>
    <t xml:space="preserve">Nikolai Petrov</t>
  </si>
  <si>
    <t xml:space="preserve">Andres Molina</t>
  </si>
  <si>
    <t xml:space="preserve">Selin Yildiz</t>
  </si>
  <si>
    <t xml:space="preserve">QC</t>
  </si>
  <si>
    <t xml:space="preserve">Esther Adeyemi</t>
  </si>
  <si>
    <t xml:space="preserve">Arjun Mehta</t>
  </si>
  <si>
    <t xml:space="preserve">Maya Santoso</t>
  </si>
  <si>
    <t xml:space="preserve">Charlotte Reyes</t>
  </si>
  <si>
    <t xml:space="preserve">Paolo Ricci</t>
  </si>
  <si>
    <t xml:space="preserve">Analyst</t>
  </si>
  <si>
    <t xml:space="preserve">Ryo Fujimoto</t>
  </si>
  <si>
    <t xml:space="preserve">Notes: Summary of specialist AHT for tickets exceeding target (sample data)</t>
  </si>
  <si>
    <t xml:space="preserve">Color Scheme: RED text when AHT does not meet the WFM target</t>
  </si>
  <si>
    <t xml:space="preserve">Name</t>
  </si>
  <si>
    <t xml:space="preserve">Name (Refer)</t>
  </si>
  <si>
    <t xml:space="preserve">AHT Target (sec) (WFM)</t>
  </si>
  <si>
    <t xml:space="preserve">2024-W47(11/18~11/24)</t>
  </si>
  <si>
    <t xml:space="preserve">Meet Target</t>
  </si>
  <si>
    <t xml:space="preserve">Reference Link</t>
  </si>
  <si>
    <t xml:space="preserve">AHT (sec)</t>
  </si>
  <si>
    <t xml:space="preserve">Average Video Duration (sec)</t>
  </si>
  <si>
    <t xml:space="preserve">View ticket</t>
  </si>
  <si>
    <t xml:space="preserve">EST</t>
  </si>
  <si>
    <t xml:space="preserve">Reach &amp; Frequency</t>
  </si>
  <si>
    <t xml:space="preserve">2024-W48(11/25~12/01)</t>
  </si>
  <si>
    <t xml:space="preserve">2024-W49(12/02~12/08)</t>
  </si>
  <si>
    <t xml:space="preserve">2024-W50(12/09~12/15)</t>
  </si>
  <si>
    <t xml:space="preserve">2024-W51(12/16~12/22)</t>
  </si>
  <si>
    <t xml:space="preserve">2024-W52(12/23~12/29)</t>
  </si>
  <si>
    <t xml:space="preserve">2024-W53(12/30~01/05)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</si>
</sst>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1119"/>
      <name val="Calibri"/>
      <family val="0"/>
      <charset val="1"/>
    </font>
    <font>
      <i val="true"/>
      <sz val="9"/>
      <color rgb="FF5B647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9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D8393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D1119"/>
      <rgbColor rgb="FF333300"/>
      <rgbColor rgb="FFD8393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</row>
    <row r="2" customFormat="false" ht="15" hidden="false" customHeight="false" outlineLevel="0" collapsed="false">
      <c r="A2" s="4" t="s">
        <v>15</v>
      </c>
      <c r="B2" s="4"/>
      <c r="C2" s="4"/>
      <c r="D2" s="4"/>
      <c r="E2" s="4" t="s">
        <v>16</v>
      </c>
      <c r="F2" s="4" t="s">
        <v>16</v>
      </c>
      <c r="G2" s="4" t="s">
        <v>17</v>
      </c>
      <c r="H2" s="4"/>
      <c r="I2" s="4" t="n">
        <v>4.426</v>
      </c>
      <c r="J2" s="4" t="str">
        <f aca="false">TRIM(E2) &amp; TRIM(C2) &amp; TRIM(D2)</f>
        <v>Appeals</v>
      </c>
      <c r="K2" s="4" t="n">
        <f aca="false">IFERROR(I2*60,"")</f>
        <v>265.56</v>
      </c>
    </row>
    <row r="3" customFormat="false" ht="15" hidden="false" customHeight="false" outlineLevel="0" collapsed="false">
      <c r="A3" s="4" t="s">
        <v>15</v>
      </c>
      <c r="B3" s="4"/>
      <c r="C3" s="4"/>
      <c r="D3" s="4"/>
      <c r="E3" s="4" t="s">
        <v>16</v>
      </c>
      <c r="F3" s="4" t="s">
        <v>16</v>
      </c>
      <c r="G3" s="4" t="s">
        <v>18</v>
      </c>
      <c r="H3" s="4"/>
      <c r="I3" s="4" t="n">
        <v>4.4088</v>
      </c>
      <c r="J3" s="4" t="str">
        <f aca="false">TRIM(E3) &amp; TRIM(C3) &amp; TRIM(D3)</f>
        <v>Appeals</v>
      </c>
      <c r="K3" s="4" t="n">
        <f aca="false">IFERROR(I3*60,"")</f>
        <v>264.528</v>
      </c>
    </row>
    <row r="4" customFormat="false" ht="15" hidden="false" customHeight="false" outlineLevel="0" collapsed="false">
      <c r="A4" s="4" t="s">
        <v>15</v>
      </c>
      <c r="B4" s="4"/>
      <c r="C4" s="4"/>
      <c r="D4" s="4"/>
      <c r="E4" s="4" t="s">
        <v>16</v>
      </c>
      <c r="F4" s="4" t="s">
        <v>16</v>
      </c>
      <c r="G4" s="4" t="s">
        <v>19</v>
      </c>
      <c r="H4" s="4"/>
      <c r="I4" s="4" t="n">
        <v>6.1313</v>
      </c>
      <c r="J4" s="4" t="str">
        <f aca="false">TRIM(E4) &amp; TRIM(C4) &amp; TRIM(D4)</f>
        <v>Appeals</v>
      </c>
      <c r="K4" s="4" t="n">
        <f aca="false">IFERROR(I4*60,"")</f>
        <v>367.878</v>
      </c>
    </row>
    <row r="5" customFormat="false" ht="15" hidden="false" customHeight="false" outlineLevel="0" collapsed="false">
      <c r="A5" s="4" t="s">
        <v>15</v>
      </c>
      <c r="B5" s="4"/>
      <c r="C5" s="4"/>
      <c r="D5" s="4"/>
      <c r="E5" s="4" t="s">
        <v>16</v>
      </c>
      <c r="F5" s="4" t="s">
        <v>16</v>
      </c>
      <c r="G5" s="4" t="s">
        <v>20</v>
      </c>
      <c r="H5" s="4"/>
      <c r="I5" s="4" t="n">
        <v>5.8448</v>
      </c>
      <c r="J5" s="4" t="str">
        <f aca="false">TRIM(E5) &amp; TRIM(C5) &amp; TRIM(D5)</f>
        <v>Appeals</v>
      </c>
      <c r="K5" s="4" t="n">
        <f aca="false">IFERROR(I5*60,"")</f>
        <v>350.688</v>
      </c>
    </row>
    <row r="6" customFormat="false" ht="15" hidden="false" customHeight="false" outlineLevel="0" collapsed="false">
      <c r="A6" s="4" t="s">
        <v>15</v>
      </c>
      <c r="B6" s="4"/>
      <c r="C6" s="4"/>
      <c r="D6" s="4"/>
      <c r="E6" s="4" t="s">
        <v>16</v>
      </c>
      <c r="F6" s="4" t="s">
        <v>16</v>
      </c>
      <c r="G6" s="4" t="s">
        <v>21</v>
      </c>
      <c r="H6" s="4"/>
      <c r="I6" s="4" t="n">
        <v>7.3193</v>
      </c>
      <c r="J6" s="4" t="str">
        <f aca="false">TRIM(E6) &amp; TRIM(C6) &amp; TRIM(D6)</f>
        <v>Appeals</v>
      </c>
      <c r="K6" s="4" t="n">
        <f aca="false">IFERROR(I6*60,"")</f>
        <v>439.158</v>
      </c>
    </row>
    <row r="7" customFormat="false" ht="15" hidden="false" customHeight="false" outlineLevel="0" collapsed="false">
      <c r="A7" s="4" t="s">
        <v>15</v>
      </c>
      <c r="B7" s="4"/>
      <c r="C7" s="4"/>
      <c r="D7" s="4"/>
      <c r="E7" s="4" t="s">
        <v>16</v>
      </c>
      <c r="F7" s="4" t="s">
        <v>16</v>
      </c>
      <c r="G7" s="4" t="s">
        <v>22</v>
      </c>
      <c r="H7" s="4"/>
      <c r="I7" s="4" t="n">
        <v>5.4015</v>
      </c>
      <c r="J7" s="4" t="str">
        <f aca="false">TRIM(E7) &amp; TRIM(C7) &amp; TRIM(D7)</f>
        <v>Appeals</v>
      </c>
      <c r="K7" s="4" t="n">
        <f aca="false">IFERROR(I7*60,"")</f>
        <v>324.09</v>
      </c>
    </row>
    <row r="8" customFormat="false" ht="15" hidden="false" customHeight="false" outlineLevel="0" collapsed="false">
      <c r="A8" s="4" t="s">
        <v>15</v>
      </c>
      <c r="B8" s="4"/>
      <c r="C8" s="4"/>
      <c r="D8" s="4"/>
      <c r="E8" s="4" t="s">
        <v>16</v>
      </c>
      <c r="F8" s="4" t="s">
        <v>16</v>
      </c>
      <c r="G8" s="4" t="s">
        <v>23</v>
      </c>
      <c r="H8" s="4"/>
      <c r="I8" s="4" t="n">
        <v>4.6096</v>
      </c>
      <c r="J8" s="4" t="str">
        <f aca="false">TRIM(E8) &amp; TRIM(C8) &amp; TRIM(D8)</f>
        <v>Appeals</v>
      </c>
      <c r="K8" s="4" t="n">
        <f aca="false">IFERROR(I8*60,"")</f>
        <v>276.576</v>
      </c>
    </row>
    <row r="9" customFormat="false" ht="15" hidden="false" customHeight="false" outlineLevel="0" collapsed="false">
      <c r="A9" s="4" t="s">
        <v>15</v>
      </c>
      <c r="B9" s="4"/>
      <c r="C9" s="4"/>
      <c r="D9" s="4"/>
      <c r="E9" s="4" t="s">
        <v>16</v>
      </c>
      <c r="F9" s="4" t="s">
        <v>16</v>
      </c>
      <c r="G9" s="4" t="s">
        <v>24</v>
      </c>
      <c r="H9" s="4"/>
      <c r="I9" s="4" t="n">
        <v>7.6509</v>
      </c>
      <c r="J9" s="4" t="str">
        <f aca="false">TRIM(E9) &amp; TRIM(C9) &amp; TRIM(D9)</f>
        <v>Appeals</v>
      </c>
      <c r="K9" s="4" t="n">
        <f aca="false">IFERROR(I9*60,"")</f>
        <v>459.054</v>
      </c>
    </row>
    <row r="10" customFormat="false" ht="15" hidden="false" customHeight="false" outlineLevel="0" collapsed="false">
      <c r="A10" s="4" t="s">
        <v>15</v>
      </c>
      <c r="B10" s="4"/>
      <c r="C10" s="4"/>
      <c r="D10" s="4"/>
      <c r="E10" s="4" t="s">
        <v>16</v>
      </c>
      <c r="F10" s="4" t="s">
        <v>16</v>
      </c>
      <c r="G10" s="4" t="s">
        <v>25</v>
      </c>
      <c r="H10" s="4"/>
      <c r="I10" s="4" t="n">
        <v>6.8944</v>
      </c>
      <c r="J10" s="4" t="str">
        <f aca="false">TRIM(E10) &amp; TRIM(C10) &amp; TRIM(D10)</f>
        <v>Appeals</v>
      </c>
      <c r="K10" s="4" t="n">
        <f aca="false">IFERROR(I10*60,"")</f>
        <v>413.664</v>
      </c>
    </row>
    <row r="11" customFormat="false" ht="15" hidden="false" customHeight="false" outlineLevel="0" collapsed="false">
      <c r="A11" s="4" t="s">
        <v>15</v>
      </c>
      <c r="B11" s="4"/>
      <c r="C11" s="4"/>
      <c r="D11" s="4"/>
      <c r="E11" s="4" t="s">
        <v>16</v>
      </c>
      <c r="F11" s="4" t="s">
        <v>16</v>
      </c>
      <c r="G11" s="4" t="s">
        <v>26</v>
      </c>
      <c r="H11" s="4"/>
      <c r="I11" s="4" t="n">
        <v>3.682</v>
      </c>
      <c r="J11" s="4" t="str">
        <f aca="false">TRIM(E11) &amp; TRIM(C11) &amp; TRIM(D11)</f>
        <v>Appeals</v>
      </c>
      <c r="K11" s="4" t="n">
        <f aca="false">IFERROR(I11*60,"")</f>
        <v>220.92</v>
      </c>
    </row>
    <row r="12" customFormat="false" ht="15" hidden="false" customHeight="false" outlineLevel="0" collapsed="false">
      <c r="A12" s="4" t="s">
        <v>15</v>
      </c>
      <c r="B12" s="4"/>
      <c r="C12" s="4"/>
      <c r="D12" s="4"/>
      <c r="E12" s="4" t="s">
        <v>16</v>
      </c>
      <c r="F12" s="4" t="s">
        <v>16</v>
      </c>
      <c r="G12" s="4" t="s">
        <v>27</v>
      </c>
      <c r="H12" s="4"/>
      <c r="I12" s="4" t="n">
        <v>3.4255</v>
      </c>
      <c r="J12" s="4" t="str">
        <f aca="false">TRIM(E12) &amp; TRIM(C12) &amp; TRIM(D12)</f>
        <v>Appeals</v>
      </c>
      <c r="K12" s="4" t="n">
        <f aca="false">IFERROR(I12*60,"")</f>
        <v>205.53</v>
      </c>
    </row>
    <row r="13" customFormat="false" ht="15" hidden="false" customHeight="false" outlineLevel="0" collapsed="false">
      <c r="A13" s="4" t="s">
        <v>15</v>
      </c>
      <c r="B13" s="4"/>
      <c r="C13" s="4"/>
      <c r="D13" s="4"/>
      <c r="E13" s="4" t="s">
        <v>16</v>
      </c>
      <c r="F13" s="4" t="s">
        <v>16</v>
      </c>
      <c r="G13" s="4" t="s">
        <v>28</v>
      </c>
      <c r="H13" s="4"/>
      <c r="I13" s="4" t="n">
        <v>0.9922</v>
      </c>
      <c r="J13" s="4" t="str">
        <f aca="false">TRIM(E13) &amp; TRIM(C13) &amp; TRIM(D13)</f>
        <v>Appeals</v>
      </c>
      <c r="K13" s="4" t="n">
        <f aca="false">IFERROR(I13*60,"")</f>
        <v>59.532</v>
      </c>
    </row>
    <row r="14" customFormat="false" ht="15" hidden="false" customHeight="false" outlineLevel="0" collapsed="false">
      <c r="A14" s="4" t="s">
        <v>15</v>
      </c>
      <c r="B14" s="4"/>
      <c r="C14" s="4"/>
      <c r="D14" s="4"/>
      <c r="E14" s="4" t="s">
        <v>16</v>
      </c>
      <c r="F14" s="4" t="s">
        <v>16</v>
      </c>
      <c r="G14" s="4" t="s">
        <v>29</v>
      </c>
      <c r="H14" s="4"/>
      <c r="I14" s="4" t="n">
        <v>0.0892</v>
      </c>
      <c r="J14" s="4" t="str">
        <f aca="false">TRIM(E14) &amp; TRIM(C14) &amp; TRIM(D14)</f>
        <v>Appeals</v>
      </c>
      <c r="K14" s="4" t="n">
        <f aca="false">IFERROR(I14*60,"")</f>
        <v>5.352</v>
      </c>
    </row>
    <row r="15" customFormat="false" ht="15" hidden="false" customHeight="false" outlineLevel="0" collapsed="false">
      <c r="A15" s="4" t="s">
        <v>15</v>
      </c>
      <c r="B15" s="4"/>
      <c r="C15" s="4"/>
      <c r="D15" s="4"/>
      <c r="E15" s="4" t="s">
        <v>16</v>
      </c>
      <c r="F15" s="4" t="s">
        <v>16</v>
      </c>
      <c r="G15" s="4" t="s">
        <v>30</v>
      </c>
      <c r="H15" s="4"/>
      <c r="I15" s="4"/>
      <c r="J15" s="4" t="str">
        <f aca="false">TRIM(E15) &amp; TRIM(C15) &amp; TRIM(D15)</f>
        <v>Appeals</v>
      </c>
      <c r="K15" s="4" t="n">
        <f aca="false">IFERROR(I15*60,"")</f>
        <v>0</v>
      </c>
    </row>
    <row r="16" customFormat="false" ht="15" hidden="false" customHeight="false" outlineLevel="0" collapsed="false">
      <c r="A16" s="4" t="s">
        <v>15</v>
      </c>
      <c r="B16" s="4"/>
      <c r="C16" s="4"/>
      <c r="D16" s="4"/>
      <c r="E16" s="4" t="s">
        <v>16</v>
      </c>
      <c r="F16" s="4" t="s">
        <v>16</v>
      </c>
      <c r="G16" s="4" t="s">
        <v>31</v>
      </c>
      <c r="H16" s="4"/>
      <c r="I16" s="4" t="n">
        <v>3.7155</v>
      </c>
      <c r="J16" s="4" t="str">
        <f aca="false">TRIM(E16) &amp; TRIM(C16) &amp; TRIM(D16)</f>
        <v>Appeals</v>
      </c>
      <c r="K16" s="4" t="n">
        <f aca="false">IFERROR(I16*60,"")</f>
        <v>222.93</v>
      </c>
    </row>
    <row r="17" customFormat="false" ht="15" hidden="false" customHeight="false" outlineLevel="0" collapsed="false">
      <c r="A17" s="4" t="s">
        <v>15</v>
      </c>
      <c r="B17" s="4"/>
      <c r="C17" s="4"/>
      <c r="D17" s="4"/>
      <c r="E17" s="4" t="s">
        <v>16</v>
      </c>
      <c r="F17" s="4" t="s">
        <v>16</v>
      </c>
      <c r="G17" s="4" t="s">
        <v>32</v>
      </c>
      <c r="H17" s="4"/>
      <c r="I17" s="4" t="n">
        <v>4.6123</v>
      </c>
      <c r="J17" s="4" t="str">
        <f aca="false">TRIM(E17) &amp; TRIM(C17) &amp; TRIM(D17)</f>
        <v>Appeals</v>
      </c>
      <c r="K17" s="4" t="n">
        <f aca="false">IFERROR(I17*60,"")</f>
        <v>276.738</v>
      </c>
    </row>
    <row r="18" customFormat="false" ht="15" hidden="false" customHeight="false" outlineLevel="0" collapsed="false">
      <c r="A18" s="4" t="s">
        <v>15</v>
      </c>
      <c r="B18" s="4"/>
      <c r="C18" s="4"/>
      <c r="D18" s="4"/>
      <c r="E18" s="4" t="s">
        <v>16</v>
      </c>
      <c r="F18" s="4" t="s">
        <v>16</v>
      </c>
      <c r="G18" s="4" t="s">
        <v>33</v>
      </c>
      <c r="H18" s="4"/>
      <c r="I18" s="4" t="n">
        <v>4.0971</v>
      </c>
      <c r="J18" s="4" t="str">
        <f aca="false">TRIM(E18) &amp; TRIM(C18) &amp; TRIM(D18)</f>
        <v>Appeals</v>
      </c>
      <c r="K18" s="4" t="n">
        <f aca="false">IFERROR(I18*60,"")</f>
        <v>245.826</v>
      </c>
    </row>
    <row r="19" customFormat="false" ht="15" hidden="false" customHeight="false" outlineLevel="0" collapsed="false">
      <c r="A19" s="4" t="s">
        <v>15</v>
      </c>
      <c r="B19" s="4"/>
      <c r="C19" s="4"/>
      <c r="D19" s="4"/>
      <c r="E19" s="4" t="s">
        <v>16</v>
      </c>
      <c r="F19" s="4" t="s">
        <v>16</v>
      </c>
      <c r="G19" s="4" t="s">
        <v>34</v>
      </c>
      <c r="H19" s="4"/>
      <c r="I19" s="4" t="n">
        <v>15.5317</v>
      </c>
      <c r="J19" s="4" t="str">
        <f aca="false">TRIM(E19) &amp; TRIM(C19) &amp; TRIM(D19)</f>
        <v>Appeals</v>
      </c>
      <c r="K19" s="4" t="n">
        <f aca="false">IFERROR(I19*60,"")</f>
        <v>931.902</v>
      </c>
    </row>
    <row r="20" customFormat="false" ht="15" hidden="false" customHeight="false" outlineLevel="0" collapsed="false">
      <c r="A20" s="4" t="s">
        <v>15</v>
      </c>
      <c r="B20" s="4"/>
      <c r="C20" s="4"/>
      <c r="D20" s="4"/>
      <c r="E20" s="4" t="s">
        <v>16</v>
      </c>
      <c r="F20" s="4" t="s">
        <v>16</v>
      </c>
      <c r="G20" s="4" t="s">
        <v>35</v>
      </c>
      <c r="H20" s="4"/>
      <c r="I20" s="4" t="n">
        <v>10.057</v>
      </c>
      <c r="J20" s="4" t="str">
        <f aca="false">TRIM(E20) &amp; TRIM(C20) &amp; TRIM(D20)</f>
        <v>Appeals</v>
      </c>
      <c r="K20" s="4" t="n">
        <f aca="false">IFERROR(I20*60,"")</f>
        <v>603.42</v>
      </c>
    </row>
    <row r="21" customFormat="false" ht="15" hidden="false" customHeight="false" outlineLevel="0" collapsed="false">
      <c r="A21" s="4" t="s">
        <v>15</v>
      </c>
      <c r="B21" s="4"/>
      <c r="C21" s="4"/>
      <c r="D21" s="4"/>
      <c r="E21" s="4" t="s">
        <v>16</v>
      </c>
      <c r="F21" s="4" t="s">
        <v>16</v>
      </c>
      <c r="G21" s="4" t="s">
        <v>36</v>
      </c>
      <c r="H21" s="4"/>
      <c r="I21" s="4" t="n">
        <v>2.9142</v>
      </c>
      <c r="J21" s="4" t="str">
        <f aca="false">TRIM(E21) &amp; TRIM(C21) &amp; TRIM(D21)</f>
        <v>Appeals</v>
      </c>
      <c r="K21" s="4" t="n">
        <f aca="false">IFERROR(I21*60,"")</f>
        <v>174.852</v>
      </c>
    </row>
    <row r="22" customFormat="false" ht="15" hidden="false" customHeight="false" outlineLevel="0" collapsed="false">
      <c r="A22" s="4" t="s">
        <v>15</v>
      </c>
      <c r="B22" s="4"/>
      <c r="C22" s="4"/>
      <c r="D22" s="4"/>
      <c r="E22" s="4" t="s">
        <v>16</v>
      </c>
      <c r="F22" s="4" t="s">
        <v>16</v>
      </c>
      <c r="G22" s="4" t="s">
        <v>37</v>
      </c>
      <c r="H22" s="4"/>
      <c r="I22" s="4" t="n">
        <v>3.7672</v>
      </c>
      <c r="J22" s="4" t="str">
        <f aca="false">TRIM(E22) &amp; TRIM(C22) &amp; TRIM(D22)</f>
        <v>Appeals</v>
      </c>
      <c r="K22" s="4" t="n">
        <f aca="false">IFERROR(I22*60,"")</f>
        <v>226.032</v>
      </c>
    </row>
    <row r="23" customFormat="false" ht="15" hidden="false" customHeight="false" outlineLevel="0" collapsed="false">
      <c r="A23" s="4" t="s">
        <v>15</v>
      </c>
      <c r="B23" s="4"/>
      <c r="C23" s="4"/>
      <c r="D23" s="4"/>
      <c r="E23" s="4" t="s">
        <v>16</v>
      </c>
      <c r="F23" s="4" t="s">
        <v>16</v>
      </c>
      <c r="G23" s="4" t="s">
        <v>38</v>
      </c>
      <c r="H23" s="4"/>
      <c r="I23" s="4" t="n">
        <v>6.1966</v>
      </c>
      <c r="J23" s="4" t="str">
        <f aca="false">TRIM(E23) &amp; TRIM(C23) &amp; TRIM(D23)</f>
        <v>Appeals</v>
      </c>
      <c r="K23" s="4" t="n">
        <f aca="false">IFERROR(I23*60,"")</f>
        <v>371.796</v>
      </c>
    </row>
    <row r="24" customFormat="false" ht="15" hidden="false" customHeight="false" outlineLevel="0" collapsed="false">
      <c r="A24" s="4" t="s">
        <v>15</v>
      </c>
      <c r="B24" s="4"/>
      <c r="C24" s="4"/>
      <c r="D24" s="4"/>
      <c r="E24" s="4" t="s">
        <v>16</v>
      </c>
      <c r="F24" s="4" t="s">
        <v>16</v>
      </c>
      <c r="G24" s="4" t="s">
        <v>39</v>
      </c>
      <c r="H24" s="4"/>
      <c r="I24" s="4" t="n">
        <v>2.2576</v>
      </c>
      <c r="J24" s="4" t="str">
        <f aca="false">TRIM(E24) &amp; TRIM(C24) &amp; TRIM(D24)</f>
        <v>Appeals</v>
      </c>
      <c r="K24" s="4" t="n">
        <f aca="false">IFERROR(I24*60,"")</f>
        <v>135.456</v>
      </c>
    </row>
    <row r="25" customFormat="false" ht="15" hidden="false" customHeight="false" outlineLevel="0" collapsed="false">
      <c r="A25" s="4" t="s">
        <v>15</v>
      </c>
      <c r="B25" s="4"/>
      <c r="C25" s="4"/>
      <c r="D25" s="4"/>
      <c r="E25" s="4" t="s">
        <v>16</v>
      </c>
      <c r="F25" s="4" t="s">
        <v>16</v>
      </c>
      <c r="G25" s="4" t="s">
        <v>40</v>
      </c>
      <c r="H25" s="4"/>
      <c r="I25" s="4" t="n">
        <v>4.852</v>
      </c>
      <c r="J25" s="4" t="str">
        <f aca="false">TRIM(E25) &amp; TRIM(C25) &amp; TRIM(D25)</f>
        <v>Appeals</v>
      </c>
      <c r="K25" s="4" t="n">
        <f aca="false">IFERROR(I25*60,"")</f>
        <v>291.12</v>
      </c>
    </row>
    <row r="26" customFormat="false" ht="15" hidden="false" customHeight="false" outlineLevel="0" collapsed="false">
      <c r="A26" s="4" t="s">
        <v>15</v>
      </c>
      <c r="B26" s="4"/>
      <c r="C26" s="4"/>
      <c r="D26" s="4"/>
      <c r="E26" s="4" t="s">
        <v>16</v>
      </c>
      <c r="F26" s="4" t="s">
        <v>16</v>
      </c>
      <c r="G26" s="4" t="s">
        <v>41</v>
      </c>
      <c r="H26" s="4"/>
      <c r="I26" s="4" t="n">
        <v>5.1168</v>
      </c>
      <c r="J26" s="4" t="str">
        <f aca="false">TRIM(E26) &amp; TRIM(C26) &amp; TRIM(D26)</f>
        <v>Appeals</v>
      </c>
      <c r="K26" s="4" t="n">
        <f aca="false">IFERROR(I26*60,"")</f>
        <v>307.008</v>
      </c>
    </row>
    <row r="27" customFormat="false" ht="15" hidden="false" customHeight="false" outlineLevel="0" collapsed="false">
      <c r="A27" s="4" t="s">
        <v>15</v>
      </c>
      <c r="B27" s="4"/>
      <c r="C27" s="4"/>
      <c r="D27" s="4"/>
      <c r="E27" s="4" t="s">
        <v>16</v>
      </c>
      <c r="F27" s="4" t="s">
        <v>16</v>
      </c>
      <c r="G27" s="4" t="s">
        <v>42</v>
      </c>
      <c r="H27" s="4"/>
      <c r="I27" s="4" t="n">
        <v>4.1775</v>
      </c>
      <c r="J27" s="4" t="str">
        <f aca="false">TRIM(E27) &amp; TRIM(C27) &amp; TRIM(D27)</f>
        <v>Appeals</v>
      </c>
      <c r="K27" s="4" t="n">
        <f aca="false">IFERROR(I27*60,"")</f>
        <v>250.65</v>
      </c>
    </row>
    <row r="28" customFormat="false" ht="15" hidden="false" customHeight="false" outlineLevel="0" collapsed="false">
      <c r="A28" s="4" t="s">
        <v>15</v>
      </c>
      <c r="B28" s="4"/>
      <c r="C28" s="4"/>
      <c r="D28" s="4"/>
      <c r="E28" s="4" t="s">
        <v>16</v>
      </c>
      <c r="F28" s="4" t="s">
        <v>16</v>
      </c>
      <c r="G28" s="4" t="s">
        <v>43</v>
      </c>
      <c r="H28" s="4"/>
      <c r="I28" s="4" t="n">
        <v>10.1081</v>
      </c>
      <c r="J28" s="4" t="str">
        <f aca="false">TRIM(E28) &amp; TRIM(C28) &amp; TRIM(D28)</f>
        <v>Appeals</v>
      </c>
      <c r="K28" s="4" t="n">
        <f aca="false">IFERROR(I28*60,"")</f>
        <v>606.486</v>
      </c>
    </row>
    <row r="29" customFormat="false" ht="15" hidden="false" customHeight="false" outlineLevel="0" collapsed="false">
      <c r="A29" s="4" t="s">
        <v>15</v>
      </c>
      <c r="B29" s="4"/>
      <c r="C29" s="4"/>
      <c r="D29" s="4"/>
      <c r="E29" s="4" t="s">
        <v>16</v>
      </c>
      <c r="F29" s="4" t="s">
        <v>16</v>
      </c>
      <c r="G29" s="4" t="s">
        <v>44</v>
      </c>
      <c r="H29" s="4"/>
      <c r="I29" s="4" t="n">
        <v>2.4315</v>
      </c>
      <c r="J29" s="4" t="str">
        <f aca="false">TRIM(E29) &amp; TRIM(C29) &amp; TRIM(D29)</f>
        <v>Appeals</v>
      </c>
      <c r="K29" s="4" t="n">
        <f aca="false">IFERROR(I29*60,"")</f>
        <v>145.89</v>
      </c>
    </row>
    <row r="30" customFormat="false" ht="15" hidden="false" customHeight="false" outlineLevel="0" collapsed="false">
      <c r="A30" s="4" t="s">
        <v>15</v>
      </c>
      <c r="B30" s="4"/>
      <c r="C30" s="4"/>
      <c r="D30" s="4"/>
      <c r="E30" s="4" t="s">
        <v>16</v>
      </c>
      <c r="F30" s="4" t="s">
        <v>16</v>
      </c>
      <c r="G30" s="4" t="s">
        <v>45</v>
      </c>
      <c r="H30" s="4"/>
      <c r="I30" s="4" t="n">
        <v>1.4591</v>
      </c>
      <c r="J30" s="4" t="str">
        <f aca="false">TRIM(E30) &amp; TRIM(C30) &amp; TRIM(D30)</f>
        <v>Appeals</v>
      </c>
      <c r="K30" s="4" t="n">
        <f aca="false">IFERROR(I30*60,"")</f>
        <v>87.546</v>
      </c>
    </row>
    <row r="31" customFormat="false" ht="15" hidden="false" customHeight="false" outlineLevel="0" collapsed="false">
      <c r="A31" s="4" t="s">
        <v>15</v>
      </c>
      <c r="B31" s="4"/>
      <c r="C31" s="4"/>
      <c r="D31" s="4"/>
      <c r="E31" s="4" t="s">
        <v>16</v>
      </c>
      <c r="F31" s="4" t="s">
        <v>16</v>
      </c>
      <c r="G31" s="4" t="s">
        <v>46</v>
      </c>
      <c r="H31" s="4"/>
      <c r="I31" s="4" t="n">
        <v>1.6745</v>
      </c>
      <c r="J31" s="4" t="str">
        <f aca="false">TRIM(E31) &amp; TRIM(C31) &amp; TRIM(D31)</f>
        <v>Appeals</v>
      </c>
      <c r="K31" s="4" t="n">
        <f aca="false">IFERROR(I31*60,"")</f>
        <v>100.47</v>
      </c>
    </row>
    <row r="32" customFormat="false" ht="15" hidden="false" customHeight="false" outlineLevel="0" collapsed="false">
      <c r="A32" s="4" t="s">
        <v>15</v>
      </c>
      <c r="B32" s="4"/>
      <c r="C32" s="4"/>
      <c r="D32" s="4"/>
      <c r="E32" s="4" t="s">
        <v>16</v>
      </c>
      <c r="F32" s="4" t="s">
        <v>16</v>
      </c>
      <c r="G32" s="4" t="s">
        <v>47</v>
      </c>
      <c r="H32" s="4"/>
      <c r="I32" s="4" t="n">
        <v>13.6219</v>
      </c>
      <c r="J32" s="4" t="str">
        <f aca="false">TRIM(E32) &amp; TRIM(C32) &amp; TRIM(D32)</f>
        <v>Appeals</v>
      </c>
      <c r="K32" s="4" t="n">
        <f aca="false">IFERROR(I32*60,"")</f>
        <v>817.314</v>
      </c>
    </row>
    <row r="33" customFormat="false" ht="15" hidden="false" customHeight="false" outlineLevel="0" collapsed="false">
      <c r="A33" s="4" t="s">
        <v>15</v>
      </c>
      <c r="B33" s="4"/>
      <c r="C33" s="4"/>
      <c r="D33" s="4"/>
      <c r="E33" s="4" t="s">
        <v>16</v>
      </c>
      <c r="F33" s="4" t="s">
        <v>16</v>
      </c>
      <c r="G33" s="4" t="s">
        <v>48</v>
      </c>
      <c r="H33" s="4"/>
      <c r="I33" s="4" t="n">
        <v>1.9793</v>
      </c>
      <c r="J33" s="4" t="str">
        <f aca="false">TRIM(E33) &amp; TRIM(C33) &amp; TRIM(D33)</f>
        <v>Appeals</v>
      </c>
      <c r="K33" s="4" t="n">
        <f aca="false">IFERROR(I33*60,"")</f>
        <v>118.758</v>
      </c>
    </row>
    <row r="34" customFormat="false" ht="15" hidden="false" customHeight="false" outlineLevel="0" collapsed="false">
      <c r="A34" s="4" t="s">
        <v>15</v>
      </c>
      <c r="B34" s="4"/>
      <c r="C34" s="4"/>
      <c r="D34" s="4"/>
      <c r="E34" s="4" t="s">
        <v>16</v>
      </c>
      <c r="F34" s="4" t="s">
        <v>16</v>
      </c>
      <c r="G34" s="4" t="s">
        <v>49</v>
      </c>
      <c r="H34" s="4"/>
      <c r="I34" s="4" t="n">
        <v>0.5128</v>
      </c>
      <c r="J34" s="4" t="str">
        <f aca="false">TRIM(E34) &amp; TRIM(C34) &amp; TRIM(D34)</f>
        <v>Appeals</v>
      </c>
      <c r="K34" s="4" t="n">
        <f aca="false">IFERROR(I34*60,"")</f>
        <v>30.768</v>
      </c>
    </row>
    <row r="35" customFormat="false" ht="15" hidden="false" customHeight="false" outlineLevel="0" collapsed="false">
      <c r="A35" s="4" t="s">
        <v>15</v>
      </c>
      <c r="B35" s="4"/>
      <c r="C35" s="4"/>
      <c r="D35" s="4"/>
      <c r="E35" s="4" t="s">
        <v>16</v>
      </c>
      <c r="F35" s="4" t="s">
        <v>16</v>
      </c>
      <c r="G35" s="4" t="s">
        <v>50</v>
      </c>
      <c r="H35" s="4"/>
      <c r="I35" s="4" t="n">
        <v>2.1348</v>
      </c>
      <c r="J35" s="4" t="str">
        <f aca="false">TRIM(E35) &amp; TRIM(C35) &amp; TRIM(D35)</f>
        <v>Appeals</v>
      </c>
      <c r="K35" s="4" t="n">
        <f aca="false">IFERROR(I35*60,"")</f>
        <v>128.088</v>
      </c>
    </row>
    <row r="36" customFormat="false" ht="15" hidden="false" customHeight="false" outlineLevel="0" collapsed="false">
      <c r="A36" s="4" t="s">
        <v>15</v>
      </c>
      <c r="B36" s="4"/>
      <c r="C36" s="4"/>
      <c r="D36" s="4"/>
      <c r="E36" s="4" t="s">
        <v>16</v>
      </c>
      <c r="F36" s="4" t="s">
        <v>16</v>
      </c>
      <c r="G36" s="4" t="s">
        <v>51</v>
      </c>
      <c r="H36" s="4"/>
      <c r="I36" s="4" t="n">
        <v>5.98</v>
      </c>
      <c r="J36" s="4" t="str">
        <f aca="false">TRIM(E36) &amp; TRIM(C36) &amp; TRIM(D36)</f>
        <v>Appeals</v>
      </c>
      <c r="K36" s="4" t="n">
        <f aca="false">IFERROR(I36*60,"")</f>
        <v>358.8</v>
      </c>
    </row>
    <row r="37" customFormat="false" ht="15" hidden="false" customHeight="false" outlineLevel="0" collapsed="false">
      <c r="A37" s="4" t="s">
        <v>15</v>
      </c>
      <c r="B37" s="4" t="s">
        <v>52</v>
      </c>
      <c r="C37" s="4" t="s">
        <v>52</v>
      </c>
      <c r="D37" s="4" t="s">
        <v>53</v>
      </c>
      <c r="E37" s="4" t="s">
        <v>54</v>
      </c>
      <c r="F37" s="4" t="s">
        <v>54</v>
      </c>
      <c r="G37" s="4" t="s">
        <v>55</v>
      </c>
      <c r="H37" s="4"/>
      <c r="I37" s="4"/>
      <c r="J37" s="4" t="str">
        <f aca="false">TRIM(E37) &amp; TRIM(C37) &amp; TRIM(D37)</f>
        <v>Others(空字符串)["PHILIPPINES"]</v>
      </c>
      <c r="K37" s="4" t="n">
        <f aca="false">IFERROR(I37*60,"")</f>
        <v>0</v>
      </c>
    </row>
    <row r="38" customFormat="false" ht="15" hidden="false" customHeight="false" outlineLevel="0" collapsed="false">
      <c r="A38" s="4" t="s">
        <v>15</v>
      </c>
      <c r="B38" s="4" t="s">
        <v>56</v>
      </c>
      <c r="C38" s="4" t="s">
        <v>57</v>
      </c>
      <c r="D38" s="4" t="s">
        <v>58</v>
      </c>
      <c r="E38" s="4" t="s">
        <v>59</v>
      </c>
      <c r="F38" s="4" t="s">
        <v>59</v>
      </c>
      <c r="G38" s="4" t="s">
        <v>60</v>
      </c>
      <c r="H38" s="4"/>
      <c r="I38" s="4" t="n">
        <v>4.3904</v>
      </c>
      <c r="J38" s="4" t="str">
        <f aca="false">TRIM(E38) &amp; TRIM(C38) &amp; TRIM(D38)</f>
        <v>Re-reviewBid Ad GroupSG</v>
      </c>
      <c r="K38" s="4" t="n">
        <f aca="false">IFERROR(I38*60,"")</f>
        <v>263.424</v>
      </c>
    </row>
    <row r="39" customFormat="false" ht="15" hidden="false" customHeight="false" outlineLevel="0" collapsed="false">
      <c r="A39" s="4" t="s">
        <v>15</v>
      </c>
      <c r="B39" s="4" t="s">
        <v>56</v>
      </c>
      <c r="C39" s="4" t="s">
        <v>61</v>
      </c>
      <c r="D39" s="4" t="s">
        <v>62</v>
      </c>
      <c r="E39" s="4" t="s">
        <v>63</v>
      </c>
      <c r="F39" s="4" t="s">
        <v>63</v>
      </c>
      <c r="G39" s="4" t="s">
        <v>64</v>
      </c>
      <c r="H39" s="4"/>
      <c r="I39" s="4" t="n">
        <v>1.7407</v>
      </c>
      <c r="J39" s="4" t="str">
        <f aca="false">TRIM(E39) &amp; TRIM(C39) &amp; TRIM(D39)</f>
        <v>First ReviewBid Ecom URLCL</v>
      </c>
      <c r="K39" s="4" t="n">
        <f aca="false">IFERROR(I39*60,"")</f>
        <v>104.442</v>
      </c>
    </row>
    <row r="40" customFormat="false" ht="15" hidden="false" customHeight="false" outlineLevel="0" collapsed="false">
      <c r="A40" s="4" t="s">
        <v>15</v>
      </c>
      <c r="B40" s="4" t="s">
        <v>56</v>
      </c>
      <c r="C40" s="4" t="s">
        <v>57</v>
      </c>
      <c r="D40" s="4" t="s">
        <v>65</v>
      </c>
      <c r="E40" s="4" t="s">
        <v>66</v>
      </c>
      <c r="F40" s="4" t="s">
        <v>67</v>
      </c>
      <c r="G40" s="4" t="s">
        <v>68</v>
      </c>
      <c r="H40" s="4"/>
      <c r="I40" s="4" t="n">
        <v>3.1858</v>
      </c>
      <c r="J40" s="4" t="str">
        <f aca="false">TRIM(E40) &amp; TRIM(C40) &amp; TRIM(D40)</f>
        <v>Posted RecallBid Ad GroupEE</v>
      </c>
      <c r="K40" s="4" t="n">
        <f aca="false">IFERROR(I40*60,"")</f>
        <v>191.148</v>
      </c>
    </row>
    <row r="41" customFormat="false" ht="15" hidden="false" customHeight="false" outlineLevel="0" collapsed="false">
      <c r="A41" s="4" t="s">
        <v>15</v>
      </c>
      <c r="B41" s="4" t="s">
        <v>56</v>
      </c>
      <c r="C41" s="4" t="s">
        <v>69</v>
      </c>
      <c r="D41" s="4" t="s">
        <v>70</v>
      </c>
      <c r="E41" s="4" t="s">
        <v>63</v>
      </c>
      <c r="F41" s="4" t="s">
        <v>63</v>
      </c>
      <c r="G41" s="4" t="s">
        <v>71</v>
      </c>
      <c r="H41" s="4"/>
      <c r="I41" s="4" t="n">
        <v>0.6947</v>
      </c>
      <c r="J41" s="4" t="str">
        <f aca="false">TRIM(E41) &amp; TRIM(C41) &amp; TRIM(D41)</f>
        <v>First ReviewBid LinkBE</v>
      </c>
      <c r="K41" s="4" t="n">
        <f aca="false">IFERROR(I41*60,"")</f>
        <v>41.682</v>
      </c>
    </row>
    <row r="42" customFormat="false" ht="15" hidden="false" customHeight="false" outlineLevel="0" collapsed="false">
      <c r="A42" s="4" t="s">
        <v>15</v>
      </c>
      <c r="B42" s="4" t="s">
        <v>56</v>
      </c>
      <c r="C42" s="4" t="s">
        <v>72</v>
      </c>
      <c r="D42" s="4" t="s">
        <v>73</v>
      </c>
      <c r="E42" s="4" t="s">
        <v>63</v>
      </c>
      <c r="F42" s="4" t="s">
        <v>63</v>
      </c>
      <c r="G42" s="4" t="s">
        <v>74</v>
      </c>
      <c r="H42" s="4"/>
      <c r="I42" s="4" t="n">
        <v>0.3954</v>
      </c>
      <c r="J42" s="4" t="str">
        <f aca="false">TRIM(E42) &amp; TRIM(C42) &amp; TRIM(D42)</f>
        <v>First ReviewBid ImageIQ</v>
      </c>
      <c r="K42" s="4" t="n">
        <f aca="false">IFERROR(I42*60,"")</f>
        <v>23.724</v>
      </c>
    </row>
    <row r="43" customFormat="false" ht="15" hidden="false" customHeight="false" outlineLevel="0" collapsed="false">
      <c r="A43" s="4" t="s">
        <v>15</v>
      </c>
      <c r="B43" s="4" t="s">
        <v>56</v>
      </c>
      <c r="C43" s="4" t="s">
        <v>75</v>
      </c>
      <c r="D43" s="4" t="s">
        <v>76</v>
      </c>
      <c r="E43" s="4" t="s">
        <v>66</v>
      </c>
      <c r="F43" s="4" t="s">
        <v>67</v>
      </c>
      <c r="G43" s="4" t="s">
        <v>77</v>
      </c>
      <c r="H43" s="4"/>
      <c r="I43" s="4" t="n">
        <v>4.0945</v>
      </c>
      <c r="J43" s="4" t="str">
        <f aca="false">TRIM(E43) &amp; TRIM(C43) &amp; TRIM(D43)</f>
        <v>Posted RecallBid Ecom Ads GroupLT</v>
      </c>
      <c r="K43" s="4" t="n">
        <f aca="false">IFERROR(I43*60,"")</f>
        <v>245.67</v>
      </c>
    </row>
    <row r="44" customFormat="false" ht="15" hidden="false" customHeight="false" outlineLevel="0" collapsed="false">
      <c r="A44" s="4" t="s">
        <v>15</v>
      </c>
      <c r="B44" s="4" t="s">
        <v>56</v>
      </c>
      <c r="C44" s="4" t="s">
        <v>78</v>
      </c>
      <c r="D44" s="4" t="s">
        <v>79</v>
      </c>
      <c r="E44" s="4" t="s">
        <v>63</v>
      </c>
      <c r="F44" s="4" t="s">
        <v>63</v>
      </c>
      <c r="G44" s="4" t="s">
        <v>80</v>
      </c>
      <c r="H44" s="4"/>
      <c r="I44" s="4" t="n">
        <v>2.1283</v>
      </c>
      <c r="J44" s="4" t="str">
        <f aca="false">TRIM(E44) &amp; TRIM(C44) &amp; TRIM(D44)</f>
        <v>First ReviewBid VideoZA</v>
      </c>
      <c r="K44" s="4" t="n">
        <f aca="false">IFERROR(I44*60,"")</f>
        <v>127.698</v>
      </c>
    </row>
    <row r="45" customFormat="false" ht="15" hidden="false" customHeight="false" outlineLevel="0" collapsed="false">
      <c r="A45" s="4" t="s">
        <v>15</v>
      </c>
      <c r="B45" s="4" t="s">
        <v>56</v>
      </c>
      <c r="C45" s="4" t="s">
        <v>81</v>
      </c>
      <c r="D45" s="4" t="s">
        <v>82</v>
      </c>
      <c r="E45" s="4" t="s">
        <v>63</v>
      </c>
      <c r="F45" s="4" t="s">
        <v>63</v>
      </c>
      <c r="G45" s="4" t="s">
        <v>83</v>
      </c>
      <c r="H45" s="4"/>
      <c r="I45" s="4" t="n">
        <v>0.3272</v>
      </c>
      <c r="J45" s="4" t="str">
        <f aca="false">TRIM(E45) &amp; TRIM(C45) &amp; TRIM(D45)</f>
        <v>First ReviewBid TextKH</v>
      </c>
      <c r="K45" s="4" t="n">
        <f aca="false">IFERROR(I45*60,"")</f>
        <v>19.632</v>
      </c>
    </row>
    <row r="46" customFormat="false" ht="15" hidden="false" customHeight="false" outlineLevel="0" collapsed="false">
      <c r="A46" s="4" t="s">
        <v>15</v>
      </c>
      <c r="B46" s="4" t="s">
        <v>56</v>
      </c>
      <c r="C46" s="4" t="s">
        <v>84</v>
      </c>
      <c r="D46" s="4" t="s">
        <v>85</v>
      </c>
      <c r="E46" s="4" t="s">
        <v>63</v>
      </c>
      <c r="F46" s="4" t="s">
        <v>63</v>
      </c>
      <c r="G46" s="4" t="s">
        <v>86</v>
      </c>
      <c r="H46" s="4"/>
      <c r="I46" s="4" t="n">
        <v>1.3079</v>
      </c>
      <c r="J46" s="4" t="str">
        <f aca="false">TRIM(E46) &amp; TRIM(C46) &amp; TRIM(D46)</f>
        <v>First ReviewBid Ecom VideoEC</v>
      </c>
      <c r="K46" s="4" t="n">
        <f aca="false">IFERROR(I46*60,"")</f>
        <v>78.474</v>
      </c>
    </row>
    <row r="47" customFormat="false" ht="15" hidden="false" customHeight="false" outlineLevel="0" collapsed="false">
      <c r="A47" s="4" t="s">
        <v>15</v>
      </c>
      <c r="B47" s="4" t="s">
        <v>56</v>
      </c>
      <c r="C47" s="4" t="s">
        <v>75</v>
      </c>
      <c r="D47" s="4" t="s">
        <v>87</v>
      </c>
      <c r="E47" s="4" t="s">
        <v>59</v>
      </c>
      <c r="F47" s="4" t="s">
        <v>59</v>
      </c>
      <c r="G47" s="4" t="s">
        <v>88</v>
      </c>
      <c r="H47" s="4"/>
      <c r="I47" s="4" t="n">
        <v>6.8545</v>
      </c>
      <c r="J47" s="4" t="str">
        <f aca="false">TRIM(E47) &amp; TRIM(C47) &amp; TRIM(D47)</f>
        <v>Re-reviewBid Ecom Ads GroupAE</v>
      </c>
      <c r="K47" s="4" t="n">
        <f aca="false">IFERROR(I47*60,"")</f>
        <v>411.27</v>
      </c>
    </row>
    <row r="48" customFormat="false" ht="15" hidden="false" customHeight="false" outlineLevel="0" collapsed="false">
      <c r="A48" s="4" t="s">
        <v>15</v>
      </c>
      <c r="B48" s="4" t="s">
        <v>56</v>
      </c>
      <c r="C48" s="4" t="s">
        <v>69</v>
      </c>
      <c r="D48" s="4" t="s">
        <v>89</v>
      </c>
      <c r="E48" s="4" t="s">
        <v>63</v>
      </c>
      <c r="F48" s="4" t="s">
        <v>63</v>
      </c>
      <c r="G48" s="4" t="s">
        <v>90</v>
      </c>
      <c r="H48" s="4"/>
      <c r="I48" s="4" t="n">
        <v>1.2101</v>
      </c>
      <c r="J48" s="4" t="str">
        <f aca="false">TRIM(E48) &amp; TRIM(C48) &amp; TRIM(D48)</f>
        <v>First ReviewBid LinkFI</v>
      </c>
      <c r="K48" s="4" t="n">
        <f aca="false">IFERROR(I48*60,"")</f>
        <v>72.606</v>
      </c>
    </row>
    <row r="49" customFormat="false" ht="15" hidden="false" customHeight="false" outlineLevel="0" collapsed="false">
      <c r="A49" s="4" t="s">
        <v>15</v>
      </c>
      <c r="B49" s="4" t="s">
        <v>56</v>
      </c>
      <c r="C49" s="4" t="s">
        <v>57</v>
      </c>
      <c r="D49" s="4" t="s">
        <v>91</v>
      </c>
      <c r="E49" s="4" t="s">
        <v>63</v>
      </c>
      <c r="F49" s="4" t="s">
        <v>63</v>
      </c>
      <c r="G49" s="4" t="s">
        <v>92</v>
      </c>
      <c r="H49" s="4"/>
      <c r="I49" s="4" t="n">
        <v>2.2969</v>
      </c>
      <c r="J49" s="4" t="str">
        <f aca="false">TRIM(E49) &amp; TRIM(C49) &amp; TRIM(D49)</f>
        <v>First ReviewBid Ad GroupHR</v>
      </c>
      <c r="K49" s="4" t="n">
        <f aca="false">IFERROR(I49*60,"")</f>
        <v>137.814</v>
      </c>
    </row>
    <row r="50" customFormat="false" ht="15" hidden="false" customHeight="false" outlineLevel="0" collapsed="false">
      <c r="A50" s="4" t="s">
        <v>15</v>
      </c>
      <c r="B50" s="4" t="s">
        <v>56</v>
      </c>
      <c r="C50" s="4" t="s">
        <v>93</v>
      </c>
      <c r="D50" s="4" t="s">
        <v>73</v>
      </c>
      <c r="E50" s="4" t="s">
        <v>63</v>
      </c>
      <c r="F50" s="4" t="s">
        <v>63</v>
      </c>
      <c r="G50" s="4" t="s">
        <v>94</v>
      </c>
      <c r="H50" s="4"/>
      <c r="I50" s="4" t="n">
        <v>0.4974</v>
      </c>
      <c r="J50" s="4" t="str">
        <f aca="false">TRIM(E50) &amp; TRIM(C50) &amp; TRIM(D50)</f>
        <v>First ReviewBid AudioIQ</v>
      </c>
      <c r="K50" s="4" t="n">
        <f aca="false">IFERROR(I50*60,"")</f>
        <v>29.844</v>
      </c>
    </row>
    <row r="51" customFormat="false" ht="15" hidden="false" customHeight="false" outlineLevel="0" collapsed="false">
      <c r="A51" s="4" t="s">
        <v>15</v>
      </c>
      <c r="B51" s="4" t="s">
        <v>56</v>
      </c>
      <c r="C51" s="4" t="s">
        <v>75</v>
      </c>
      <c r="D51" s="4" t="s">
        <v>95</v>
      </c>
      <c r="E51" s="4" t="s">
        <v>59</v>
      </c>
      <c r="F51" s="4" t="s">
        <v>59</v>
      </c>
      <c r="G51" s="4" t="s">
        <v>96</v>
      </c>
      <c r="H51" s="4"/>
      <c r="I51" s="4" t="n">
        <v>5.2528</v>
      </c>
      <c r="J51" s="4" t="str">
        <f aca="false">TRIM(E51) &amp; TRIM(C51) &amp; TRIM(D51)</f>
        <v>Re-reviewBid Ecom Ads GroupVN</v>
      </c>
      <c r="K51" s="4" t="n">
        <f aca="false">IFERROR(I51*60,"")</f>
        <v>315.168</v>
      </c>
    </row>
    <row r="52" customFormat="false" ht="15" hidden="false" customHeight="false" outlineLevel="0" collapsed="false">
      <c r="A52" s="4" t="s">
        <v>15</v>
      </c>
      <c r="B52" s="4" t="s">
        <v>56</v>
      </c>
      <c r="C52" s="4" t="s">
        <v>81</v>
      </c>
      <c r="D52" s="4" t="s">
        <v>97</v>
      </c>
      <c r="E52" s="4" t="s">
        <v>63</v>
      </c>
      <c r="F52" s="4" t="s">
        <v>63</v>
      </c>
      <c r="G52" s="4" t="s">
        <v>98</v>
      </c>
      <c r="H52" s="4"/>
      <c r="I52" s="4" t="n">
        <v>0.7672</v>
      </c>
      <c r="J52" s="4" t="str">
        <f aca="false">TRIM(E52) &amp; TRIM(C52) &amp; TRIM(D52)</f>
        <v>First ReviewBid TextBR</v>
      </c>
      <c r="K52" s="4" t="n">
        <f aca="false">IFERROR(I52*60,"")</f>
        <v>46.032</v>
      </c>
    </row>
    <row r="53" customFormat="false" ht="15" hidden="false" customHeight="false" outlineLevel="0" collapsed="false">
      <c r="A53" s="4" t="s">
        <v>15</v>
      </c>
      <c r="B53" s="4" t="s">
        <v>56</v>
      </c>
      <c r="C53" s="4" t="s">
        <v>72</v>
      </c>
      <c r="D53" s="4" t="s">
        <v>85</v>
      </c>
      <c r="E53" s="4" t="s">
        <v>63</v>
      </c>
      <c r="F53" s="4" t="s">
        <v>63</v>
      </c>
      <c r="G53" s="4" t="s">
        <v>99</v>
      </c>
      <c r="H53" s="4"/>
      <c r="I53" s="4" t="n">
        <v>0.3532</v>
      </c>
      <c r="J53" s="4" t="str">
        <f aca="false">TRIM(E53) &amp; TRIM(C53) &amp; TRIM(D53)</f>
        <v>First ReviewBid ImageEC</v>
      </c>
      <c r="K53" s="4" t="n">
        <f aca="false">IFERROR(I53*60,"")</f>
        <v>21.192</v>
      </c>
    </row>
    <row r="54" customFormat="false" ht="15" hidden="false" customHeight="false" outlineLevel="0" collapsed="false">
      <c r="A54" s="4" t="s">
        <v>15</v>
      </c>
      <c r="B54" s="4" t="s">
        <v>56</v>
      </c>
      <c r="C54" s="4" t="s">
        <v>75</v>
      </c>
      <c r="D54" s="4" t="s">
        <v>100</v>
      </c>
      <c r="E54" s="4" t="s">
        <v>63</v>
      </c>
      <c r="F54" s="4" t="s">
        <v>63</v>
      </c>
      <c r="G54" s="4" t="s">
        <v>101</v>
      </c>
      <c r="H54" s="4"/>
      <c r="I54" s="4" t="n">
        <v>2.6311</v>
      </c>
      <c r="J54" s="4" t="str">
        <f aca="false">TRIM(E54) &amp; TRIM(C54) &amp; TRIM(D54)</f>
        <v>First ReviewBid Ecom Ads GroupAU</v>
      </c>
      <c r="K54" s="4" t="n">
        <f aca="false">IFERROR(I54*60,"")</f>
        <v>157.866</v>
      </c>
    </row>
    <row r="55" customFormat="false" ht="15" hidden="false" customHeight="false" outlineLevel="0" collapsed="false">
      <c r="A55" s="4" t="s">
        <v>15</v>
      </c>
      <c r="B55" s="4" t="s">
        <v>56</v>
      </c>
      <c r="C55" s="4" t="s">
        <v>78</v>
      </c>
      <c r="D55" s="4" t="s">
        <v>102</v>
      </c>
      <c r="E55" s="4" t="s">
        <v>63</v>
      </c>
      <c r="F55" s="4" t="s">
        <v>63</v>
      </c>
      <c r="G55" s="4" t="s">
        <v>103</v>
      </c>
      <c r="H55" s="4"/>
      <c r="I55" s="4" t="n">
        <v>1.5356</v>
      </c>
      <c r="J55" s="4" t="str">
        <f aca="false">TRIM(E55) &amp; TRIM(C55) &amp; TRIM(D55)</f>
        <v>First ReviewBid VideoSE</v>
      </c>
      <c r="K55" s="4" t="n">
        <f aca="false">IFERROR(I55*60,"")</f>
        <v>92.136</v>
      </c>
    </row>
    <row r="56" customFormat="false" ht="15" hidden="false" customHeight="false" outlineLevel="0" collapsed="false">
      <c r="A56" s="4" t="s">
        <v>15</v>
      </c>
      <c r="B56" s="4" t="s">
        <v>56</v>
      </c>
      <c r="C56" s="4" t="s">
        <v>57</v>
      </c>
      <c r="D56" s="4" t="s">
        <v>104</v>
      </c>
      <c r="E56" s="4" t="s">
        <v>66</v>
      </c>
      <c r="F56" s="4" t="s">
        <v>67</v>
      </c>
      <c r="G56" s="4" t="s">
        <v>105</v>
      </c>
      <c r="H56" s="4"/>
      <c r="I56" s="4" t="n">
        <v>1.8479</v>
      </c>
      <c r="J56" s="4" t="str">
        <f aca="false">TRIM(E56) &amp; TRIM(C56) &amp; TRIM(D56)</f>
        <v>Posted RecallBid Ad GroupIE</v>
      </c>
      <c r="K56" s="4" t="n">
        <f aca="false">IFERROR(I56*60,"")</f>
        <v>110.874</v>
      </c>
    </row>
    <row r="57" customFormat="false" ht="15" hidden="false" customHeight="false" outlineLevel="0" collapsed="false">
      <c r="A57" s="4" t="s">
        <v>15</v>
      </c>
      <c r="B57" s="4" t="s">
        <v>56</v>
      </c>
      <c r="C57" s="4" t="s">
        <v>69</v>
      </c>
      <c r="D57" s="4" t="s">
        <v>106</v>
      </c>
      <c r="E57" s="4" t="s">
        <v>63</v>
      </c>
      <c r="F57" s="4" t="s">
        <v>63</v>
      </c>
      <c r="G57" s="4" t="s">
        <v>107</v>
      </c>
      <c r="H57" s="4"/>
      <c r="I57" s="4" t="n">
        <v>1.1635</v>
      </c>
      <c r="J57" s="4" t="str">
        <f aca="false">TRIM(E57) &amp; TRIM(C57) &amp; TRIM(D57)</f>
        <v>First ReviewBid LinkMY</v>
      </c>
      <c r="K57" s="4" t="n">
        <f aca="false">IFERROR(I57*60,"")</f>
        <v>69.81</v>
      </c>
    </row>
    <row r="58" customFormat="false" ht="15" hidden="false" customHeight="false" outlineLevel="0" collapsed="false">
      <c r="A58" s="4" t="s">
        <v>15</v>
      </c>
      <c r="B58" s="4" t="s">
        <v>56</v>
      </c>
      <c r="C58" s="4" t="s">
        <v>57</v>
      </c>
      <c r="D58" s="4" t="s">
        <v>108</v>
      </c>
      <c r="E58" s="4" t="s">
        <v>63</v>
      </c>
      <c r="F58" s="4" t="s">
        <v>63</v>
      </c>
      <c r="G58" s="4" t="s">
        <v>109</v>
      </c>
      <c r="H58" s="4"/>
      <c r="I58" s="4" t="n">
        <v>1.7976</v>
      </c>
      <c r="J58" s="4" t="str">
        <f aca="false">TRIM(E58) &amp; TRIM(C58) &amp; TRIM(D58)</f>
        <v>First ReviewBid Ad GroupSEA/MENA</v>
      </c>
      <c r="K58" s="4" t="n">
        <f aca="false">IFERROR(I58*60,"")</f>
        <v>107.856</v>
      </c>
    </row>
    <row r="59" customFormat="false" ht="15" hidden="false" customHeight="false" outlineLevel="0" collapsed="false">
      <c r="A59" s="4" t="s">
        <v>15</v>
      </c>
      <c r="B59" s="4" t="s">
        <v>56</v>
      </c>
      <c r="C59" s="4" t="s">
        <v>69</v>
      </c>
      <c r="D59" s="4" t="s">
        <v>100</v>
      </c>
      <c r="E59" s="4" t="s">
        <v>63</v>
      </c>
      <c r="F59" s="4" t="s">
        <v>63</v>
      </c>
      <c r="G59" s="4" t="s">
        <v>110</v>
      </c>
      <c r="H59" s="4"/>
      <c r="I59" s="4" t="n">
        <v>0.8976</v>
      </c>
      <c r="J59" s="4" t="str">
        <f aca="false">TRIM(E59) &amp; TRIM(C59) &amp; TRIM(D59)</f>
        <v>First ReviewBid LinkAU</v>
      </c>
      <c r="K59" s="4" t="n">
        <f aca="false">IFERROR(I59*60,"")</f>
        <v>53.856</v>
      </c>
    </row>
    <row r="60" customFormat="false" ht="15" hidden="false" customHeight="false" outlineLevel="0" collapsed="false">
      <c r="A60" s="4" t="s">
        <v>15</v>
      </c>
      <c r="B60" s="4" t="s">
        <v>56</v>
      </c>
      <c r="C60" s="4" t="s">
        <v>84</v>
      </c>
      <c r="D60" s="4" t="s">
        <v>111</v>
      </c>
      <c r="E60" s="4" t="s">
        <v>63</v>
      </c>
      <c r="F60" s="4" t="s">
        <v>63</v>
      </c>
      <c r="G60" s="4" t="s">
        <v>112</v>
      </c>
      <c r="H60" s="4"/>
      <c r="I60" s="4" t="n">
        <v>0.9648</v>
      </c>
      <c r="J60" s="4" t="str">
        <f aca="false">TRIM(E60) &amp; TRIM(C60) &amp; TRIM(D60)</f>
        <v>First ReviewBid Ecom VideoUS</v>
      </c>
      <c r="K60" s="4" t="n">
        <f aca="false">IFERROR(I60*60,"")</f>
        <v>57.888</v>
      </c>
    </row>
    <row r="61" customFormat="false" ht="15" hidden="false" customHeight="false" outlineLevel="0" collapsed="false">
      <c r="A61" s="4" t="s">
        <v>15</v>
      </c>
      <c r="B61" s="4" t="s">
        <v>56</v>
      </c>
      <c r="C61" s="4" t="s">
        <v>75</v>
      </c>
      <c r="D61" s="4" t="s">
        <v>113</v>
      </c>
      <c r="E61" s="4" t="s">
        <v>63</v>
      </c>
      <c r="F61" s="4" t="s">
        <v>63</v>
      </c>
      <c r="G61" s="4" t="s">
        <v>114</v>
      </c>
      <c r="H61" s="4"/>
      <c r="I61" s="4" t="n">
        <v>6.252</v>
      </c>
      <c r="J61" s="4" t="str">
        <f aca="false">TRIM(E61) &amp; TRIM(C61) &amp; TRIM(D61)</f>
        <v>First ReviewBid Ecom Ads GroupNL</v>
      </c>
      <c r="K61" s="4" t="n">
        <f aca="false">IFERROR(I61*60,"")</f>
        <v>375.12</v>
      </c>
    </row>
    <row r="62" customFormat="false" ht="15" hidden="false" customHeight="false" outlineLevel="0" collapsed="false">
      <c r="A62" s="4" t="s">
        <v>15</v>
      </c>
      <c r="B62" s="4" t="s">
        <v>56</v>
      </c>
      <c r="C62" s="4" t="s">
        <v>57</v>
      </c>
      <c r="D62" s="4" t="s">
        <v>115</v>
      </c>
      <c r="E62" s="4" t="s">
        <v>66</v>
      </c>
      <c r="F62" s="4" t="s">
        <v>67</v>
      </c>
      <c r="G62" s="4" t="s">
        <v>116</v>
      </c>
      <c r="H62" s="4"/>
      <c r="I62" s="4" t="n">
        <v>1.8534</v>
      </c>
      <c r="J62" s="4" t="str">
        <f aca="false">TRIM(E62) &amp; TRIM(C62) &amp; TRIM(D62)</f>
        <v>Posted RecallBid Ad GroupAT</v>
      </c>
      <c r="K62" s="4" t="n">
        <f aca="false">IFERROR(I62*60,"")</f>
        <v>111.204</v>
      </c>
    </row>
    <row r="63" customFormat="false" ht="15" hidden="false" customHeight="false" outlineLevel="0" collapsed="false">
      <c r="A63" s="4" t="s">
        <v>15</v>
      </c>
      <c r="B63" s="4" t="s">
        <v>56</v>
      </c>
      <c r="C63" s="4" t="s">
        <v>75</v>
      </c>
      <c r="D63" s="4" t="s">
        <v>117</v>
      </c>
      <c r="E63" s="4" t="s">
        <v>66</v>
      </c>
      <c r="F63" s="4" t="s">
        <v>67</v>
      </c>
      <c r="G63" s="4" t="s">
        <v>118</v>
      </c>
      <c r="H63" s="4"/>
      <c r="I63" s="4" t="n">
        <v>2.1475</v>
      </c>
      <c r="J63" s="4" t="str">
        <f aca="false">TRIM(E63) &amp; TRIM(C63) &amp; TRIM(D63)</f>
        <v>Posted RecallBid Ecom Ads GroupAR</v>
      </c>
      <c r="K63" s="4" t="n">
        <f aca="false">IFERROR(I63*60,"")</f>
        <v>128.85</v>
      </c>
    </row>
    <row r="64" customFormat="false" ht="15" hidden="false" customHeight="false" outlineLevel="0" collapsed="false">
      <c r="A64" s="4" t="s">
        <v>15</v>
      </c>
      <c r="B64" s="4" t="s">
        <v>56</v>
      </c>
      <c r="C64" s="4" t="s">
        <v>119</v>
      </c>
      <c r="D64" s="4" t="s">
        <v>100</v>
      </c>
      <c r="E64" s="4" t="s">
        <v>63</v>
      </c>
      <c r="F64" s="4" t="s">
        <v>63</v>
      </c>
      <c r="G64" s="4" t="s">
        <v>120</v>
      </c>
      <c r="H64" s="4"/>
      <c r="I64" s="4" t="n">
        <v>3.2595</v>
      </c>
      <c r="J64" s="4" t="str">
        <f aca="false">TRIM(E64) &amp; TRIM(C64) &amp; TRIM(D64)</f>
        <v>First ReviewBid Pre ApprovalAU</v>
      </c>
      <c r="K64" s="4" t="n">
        <f aca="false">IFERROR(I64*60,"")</f>
        <v>195.57</v>
      </c>
    </row>
    <row r="65" customFormat="false" ht="15" hidden="false" customHeight="false" outlineLevel="0" collapsed="false">
      <c r="A65" s="4" t="s">
        <v>15</v>
      </c>
      <c r="B65" s="4" t="s">
        <v>56</v>
      </c>
      <c r="C65" s="4" t="s">
        <v>75</v>
      </c>
      <c r="D65" s="4" t="s">
        <v>121</v>
      </c>
      <c r="E65" s="4" t="s">
        <v>59</v>
      </c>
      <c r="F65" s="4" t="s">
        <v>59</v>
      </c>
      <c r="G65" s="4" t="s">
        <v>122</v>
      </c>
      <c r="H65" s="4"/>
      <c r="I65" s="4" t="n">
        <v>12.7719</v>
      </c>
      <c r="J65" s="4" t="str">
        <f aca="false">TRIM(E65) &amp; TRIM(C65) &amp; TRIM(D65)</f>
        <v>Re-reviewBid Ecom Ads GroupKR</v>
      </c>
      <c r="K65" s="4" t="n">
        <f aca="false">IFERROR(I65*60,"")</f>
        <v>766.314</v>
      </c>
    </row>
    <row r="66" customFormat="false" ht="15" hidden="false" customHeight="false" outlineLevel="0" collapsed="false">
      <c r="A66" s="4" t="s">
        <v>15</v>
      </c>
      <c r="B66" s="4" t="s">
        <v>56</v>
      </c>
      <c r="C66" s="4" t="s">
        <v>57</v>
      </c>
      <c r="D66" s="4" t="s">
        <v>87</v>
      </c>
      <c r="E66" s="4" t="s">
        <v>59</v>
      </c>
      <c r="F66" s="4" t="s">
        <v>59</v>
      </c>
      <c r="G66" s="4" t="s">
        <v>123</v>
      </c>
      <c r="H66" s="4"/>
      <c r="I66" s="4" t="n">
        <v>7.8013</v>
      </c>
      <c r="J66" s="4" t="str">
        <f aca="false">TRIM(E66) &amp; TRIM(C66) &amp; TRIM(D66)</f>
        <v>Re-reviewBid Ad GroupAE</v>
      </c>
      <c r="K66" s="4" t="n">
        <f aca="false">IFERROR(I66*60,"")</f>
        <v>468.078</v>
      </c>
    </row>
    <row r="67" customFormat="false" ht="15" hidden="false" customHeight="false" outlineLevel="0" collapsed="false">
      <c r="A67" s="4" t="s">
        <v>15</v>
      </c>
      <c r="B67" s="4" t="s">
        <v>56</v>
      </c>
      <c r="C67" s="4" t="s">
        <v>57</v>
      </c>
      <c r="D67" s="4" t="s">
        <v>124</v>
      </c>
      <c r="E67" s="4" t="s">
        <v>59</v>
      </c>
      <c r="F67" s="4" t="s">
        <v>59</v>
      </c>
      <c r="G67" s="4" t="s">
        <v>125</v>
      </c>
      <c r="H67" s="4"/>
      <c r="I67" s="4" t="n">
        <v>8.8386</v>
      </c>
      <c r="J67" s="4" t="str">
        <f aca="false">TRIM(E67) &amp; TRIM(C67) &amp; TRIM(D67)</f>
        <v>Re-reviewBid Ad GroupPT</v>
      </c>
      <c r="K67" s="4" t="n">
        <f aca="false">IFERROR(I67*60,"")</f>
        <v>530.316</v>
      </c>
    </row>
    <row r="68" customFormat="false" ht="15" hidden="false" customHeight="false" outlineLevel="0" collapsed="false">
      <c r="A68" s="4" t="s">
        <v>15</v>
      </c>
      <c r="B68" s="4" t="s">
        <v>56</v>
      </c>
      <c r="C68" s="4" t="s">
        <v>61</v>
      </c>
      <c r="D68" s="4" t="s">
        <v>126</v>
      </c>
      <c r="E68" s="4" t="s">
        <v>63</v>
      </c>
      <c r="F68" s="4" t="s">
        <v>63</v>
      </c>
      <c r="G68" s="4" t="s">
        <v>127</v>
      </c>
      <c r="H68" s="4"/>
      <c r="I68" s="4" t="n">
        <v>1.4641</v>
      </c>
      <c r="J68" s="4" t="str">
        <f aca="false">TRIM(E68) &amp; TRIM(C68) &amp; TRIM(D68)</f>
        <v>First ReviewBid Ecom URLMX</v>
      </c>
      <c r="K68" s="4" t="n">
        <f aca="false">IFERROR(I68*60,"")</f>
        <v>87.846</v>
      </c>
    </row>
    <row r="69" customFormat="false" ht="15" hidden="false" customHeight="false" outlineLevel="0" collapsed="false">
      <c r="A69" s="4" t="s">
        <v>15</v>
      </c>
      <c r="B69" s="4" t="s">
        <v>56</v>
      </c>
      <c r="C69" s="4" t="s">
        <v>57</v>
      </c>
      <c r="D69" s="4" t="s">
        <v>128</v>
      </c>
      <c r="E69" s="4" t="s">
        <v>63</v>
      </c>
      <c r="F69" s="4" t="s">
        <v>63</v>
      </c>
      <c r="G69" s="4" t="s">
        <v>129</v>
      </c>
      <c r="H69" s="4"/>
      <c r="I69" s="4" t="n">
        <v>3.3677</v>
      </c>
      <c r="J69" s="4" t="str">
        <f aca="false">TRIM(E69) &amp; TRIM(C69) &amp; TRIM(D69)</f>
        <v>First ReviewBid Ad GroupBD</v>
      </c>
      <c r="K69" s="4" t="n">
        <f aca="false">IFERROR(I69*60,"")</f>
        <v>202.062</v>
      </c>
    </row>
    <row r="70" customFormat="false" ht="15" hidden="false" customHeight="false" outlineLevel="0" collapsed="false">
      <c r="A70" s="4" t="s">
        <v>15</v>
      </c>
      <c r="B70" s="4" t="s">
        <v>56</v>
      </c>
      <c r="C70" s="4" t="s">
        <v>69</v>
      </c>
      <c r="D70" s="4" t="s">
        <v>130</v>
      </c>
      <c r="E70" s="4" t="s">
        <v>63</v>
      </c>
      <c r="F70" s="4" t="s">
        <v>63</v>
      </c>
      <c r="G70" s="4" t="s">
        <v>131</v>
      </c>
      <c r="H70" s="4"/>
      <c r="I70" s="4" t="n">
        <v>0.8246</v>
      </c>
      <c r="J70" s="4" t="str">
        <f aca="false">TRIM(E70) &amp; TRIM(C70) &amp; TRIM(D70)</f>
        <v>First ReviewBid LinkMA</v>
      </c>
      <c r="K70" s="4" t="n">
        <f aca="false">IFERROR(I70*60,"")</f>
        <v>49.476</v>
      </c>
    </row>
    <row r="71" customFormat="false" ht="15" hidden="false" customHeight="false" outlineLevel="0" collapsed="false">
      <c r="A71" s="4" t="s">
        <v>15</v>
      </c>
      <c r="B71" s="4" t="s">
        <v>56</v>
      </c>
      <c r="C71" s="4" t="s">
        <v>75</v>
      </c>
      <c r="D71" s="4" t="s">
        <v>106</v>
      </c>
      <c r="E71" s="4" t="s">
        <v>63</v>
      </c>
      <c r="F71" s="4" t="s">
        <v>63</v>
      </c>
      <c r="G71" s="4" t="s">
        <v>132</v>
      </c>
      <c r="H71" s="4"/>
      <c r="I71" s="4" t="n">
        <v>2.4747</v>
      </c>
      <c r="J71" s="4" t="str">
        <f aca="false">TRIM(E71) &amp; TRIM(C71) &amp; TRIM(D71)</f>
        <v>First ReviewBid Ecom Ads GroupMY</v>
      </c>
      <c r="K71" s="4" t="n">
        <f aca="false">IFERROR(I71*60,"")</f>
        <v>148.482</v>
      </c>
    </row>
    <row r="72" customFormat="false" ht="15" hidden="false" customHeight="false" outlineLevel="0" collapsed="false">
      <c r="A72" s="4" t="s">
        <v>15</v>
      </c>
      <c r="B72" s="4" t="s">
        <v>56</v>
      </c>
      <c r="C72" s="4" t="s">
        <v>93</v>
      </c>
      <c r="D72" s="4" t="s">
        <v>85</v>
      </c>
      <c r="E72" s="4" t="s">
        <v>63</v>
      </c>
      <c r="F72" s="4" t="s">
        <v>63</v>
      </c>
      <c r="G72" s="4" t="s">
        <v>133</v>
      </c>
      <c r="H72" s="4"/>
      <c r="I72" s="4" t="n">
        <v>0.5371</v>
      </c>
      <c r="J72" s="4" t="str">
        <f aca="false">TRIM(E72) &amp; TRIM(C72) &amp; TRIM(D72)</f>
        <v>First ReviewBid AudioEC</v>
      </c>
      <c r="K72" s="4" t="n">
        <f aca="false">IFERROR(I72*60,"")</f>
        <v>32.226</v>
      </c>
    </row>
    <row r="73" customFormat="false" ht="15" hidden="false" customHeight="false" outlineLevel="0" collapsed="false">
      <c r="A73" s="4" t="s">
        <v>15</v>
      </c>
      <c r="B73" s="4" t="s">
        <v>56</v>
      </c>
      <c r="C73" s="4" t="s">
        <v>72</v>
      </c>
      <c r="D73" s="4" t="s">
        <v>134</v>
      </c>
      <c r="E73" s="4" t="s">
        <v>63</v>
      </c>
      <c r="F73" s="4" t="s">
        <v>63</v>
      </c>
      <c r="G73" s="4" t="s">
        <v>135</v>
      </c>
      <c r="H73" s="4"/>
      <c r="I73" s="4" t="n">
        <v>0.4945</v>
      </c>
      <c r="J73" s="4" t="str">
        <f aca="false">TRIM(E73) &amp; TRIM(C73) &amp; TRIM(D73)</f>
        <v>First ReviewBid ImagePR</v>
      </c>
      <c r="K73" s="4" t="n">
        <f aca="false">IFERROR(I73*60,"")</f>
        <v>29.67</v>
      </c>
    </row>
    <row r="74" customFormat="false" ht="15" hidden="false" customHeight="false" outlineLevel="0" collapsed="false">
      <c r="A74" s="4" t="s">
        <v>15</v>
      </c>
      <c r="B74" s="4" t="s">
        <v>56</v>
      </c>
      <c r="C74" s="4" t="s">
        <v>93</v>
      </c>
      <c r="D74" s="4" t="s">
        <v>136</v>
      </c>
      <c r="E74" s="4" t="s">
        <v>63</v>
      </c>
      <c r="F74" s="4" t="s">
        <v>63</v>
      </c>
      <c r="G74" s="4" t="s">
        <v>137</v>
      </c>
      <c r="H74" s="4"/>
      <c r="I74" s="4" t="n">
        <v>0.455</v>
      </c>
      <c r="J74" s="4" t="str">
        <f aca="false">TRIM(E74) &amp; TRIM(C74) &amp; TRIM(D74)</f>
        <v>First ReviewBid AudioPE</v>
      </c>
      <c r="K74" s="4" t="n">
        <f aca="false">IFERROR(I74*60,"")</f>
        <v>27.3</v>
      </c>
    </row>
    <row r="75" customFormat="false" ht="15" hidden="false" customHeight="false" outlineLevel="0" collapsed="false">
      <c r="A75" s="4" t="s">
        <v>15</v>
      </c>
      <c r="B75" s="4" t="s">
        <v>56</v>
      </c>
      <c r="C75" s="4" t="s">
        <v>75</v>
      </c>
      <c r="D75" s="4" t="s">
        <v>115</v>
      </c>
      <c r="E75" s="4" t="s">
        <v>63</v>
      </c>
      <c r="F75" s="4" t="s">
        <v>63</v>
      </c>
      <c r="G75" s="4" t="s">
        <v>138</v>
      </c>
      <c r="H75" s="4"/>
      <c r="I75" s="4" t="n">
        <v>3.6259</v>
      </c>
      <c r="J75" s="4" t="str">
        <f aca="false">TRIM(E75) &amp; TRIM(C75) &amp; TRIM(D75)</f>
        <v>First ReviewBid Ecom Ads GroupAT</v>
      </c>
      <c r="K75" s="4" t="n">
        <f aca="false">IFERROR(I75*60,"")</f>
        <v>217.554</v>
      </c>
    </row>
    <row r="76" customFormat="false" ht="15" hidden="false" customHeight="false" outlineLevel="0" collapsed="false">
      <c r="A76" s="4" t="s">
        <v>15</v>
      </c>
      <c r="B76" s="4" t="s">
        <v>56</v>
      </c>
      <c r="C76" s="4" t="s">
        <v>57</v>
      </c>
      <c r="D76" s="4" t="s">
        <v>139</v>
      </c>
      <c r="E76" s="4" t="s">
        <v>63</v>
      </c>
      <c r="F76" s="4" t="s">
        <v>63</v>
      </c>
      <c r="G76" s="4" t="s">
        <v>140</v>
      </c>
      <c r="H76" s="4"/>
      <c r="I76" s="4" t="n">
        <v>1.495</v>
      </c>
      <c r="J76" s="4" t="str">
        <f aca="false">TRIM(E76) &amp; TRIM(C76) &amp; TRIM(D76)</f>
        <v>First ReviewBid Ad GroupEG</v>
      </c>
      <c r="K76" s="4" t="n">
        <f aca="false">IFERROR(I76*60,"")</f>
        <v>89.7</v>
      </c>
    </row>
    <row r="77" customFormat="false" ht="15" hidden="false" customHeight="false" outlineLevel="0" collapsed="false">
      <c r="A77" s="4" t="s">
        <v>15</v>
      </c>
      <c r="B77" s="4" t="s">
        <v>56</v>
      </c>
      <c r="C77" s="4" t="s">
        <v>78</v>
      </c>
      <c r="D77" s="4" t="s">
        <v>141</v>
      </c>
      <c r="E77" s="4" t="s">
        <v>63</v>
      </c>
      <c r="F77" s="4" t="s">
        <v>63</v>
      </c>
      <c r="G77" s="4" t="s">
        <v>142</v>
      </c>
      <c r="H77" s="4"/>
      <c r="I77" s="4" t="n">
        <v>1.2469</v>
      </c>
      <c r="J77" s="4" t="str">
        <f aca="false">TRIM(E77) &amp; TRIM(C77) &amp; TRIM(D77)</f>
        <v>First ReviewBid VideoAZ</v>
      </c>
      <c r="K77" s="4" t="n">
        <f aca="false">IFERROR(I77*60,"")</f>
        <v>74.814</v>
      </c>
    </row>
    <row r="78" customFormat="false" ht="15" hidden="false" customHeight="false" outlineLevel="0" collapsed="false">
      <c r="A78" s="4" t="s">
        <v>15</v>
      </c>
      <c r="B78" s="4" t="s">
        <v>56</v>
      </c>
      <c r="C78" s="4" t="s">
        <v>84</v>
      </c>
      <c r="D78" s="4" t="s">
        <v>136</v>
      </c>
      <c r="E78" s="4" t="s">
        <v>63</v>
      </c>
      <c r="F78" s="4" t="s">
        <v>63</v>
      </c>
      <c r="G78" s="4" t="s">
        <v>143</v>
      </c>
      <c r="H78" s="4"/>
      <c r="I78" s="4" t="n">
        <v>1.3453</v>
      </c>
      <c r="J78" s="4" t="str">
        <f aca="false">TRIM(E78) &amp; TRIM(C78) &amp; TRIM(D78)</f>
        <v>First ReviewBid Ecom VideoPE</v>
      </c>
      <c r="K78" s="4" t="n">
        <f aca="false">IFERROR(I78*60,"")</f>
        <v>80.718</v>
      </c>
    </row>
    <row r="79" customFormat="false" ht="15" hidden="false" customHeight="false" outlineLevel="0" collapsed="false">
      <c r="A79" s="4" t="s">
        <v>15</v>
      </c>
      <c r="B79" s="4" t="s">
        <v>56</v>
      </c>
      <c r="C79" s="4" t="s">
        <v>84</v>
      </c>
      <c r="D79" s="4" t="s">
        <v>100</v>
      </c>
      <c r="E79" s="4" t="s">
        <v>63</v>
      </c>
      <c r="F79" s="4" t="s">
        <v>63</v>
      </c>
      <c r="G79" s="4" t="s">
        <v>144</v>
      </c>
      <c r="H79" s="4"/>
      <c r="I79" s="4" t="n">
        <v>0.4826</v>
      </c>
      <c r="J79" s="4" t="str">
        <f aca="false">TRIM(E79) &amp; TRIM(C79) &amp; TRIM(D79)</f>
        <v>First ReviewBid Ecom VideoAU</v>
      </c>
      <c r="K79" s="4" t="n">
        <f aca="false">IFERROR(I79*60,"")</f>
        <v>28.956</v>
      </c>
    </row>
    <row r="80" customFormat="false" ht="15" hidden="false" customHeight="false" outlineLevel="0" collapsed="false">
      <c r="A80" s="4" t="s">
        <v>15</v>
      </c>
      <c r="B80" s="4" t="s">
        <v>56</v>
      </c>
      <c r="C80" s="4" t="s">
        <v>57</v>
      </c>
      <c r="D80" s="4" t="s">
        <v>145</v>
      </c>
      <c r="E80" s="4" t="s">
        <v>59</v>
      </c>
      <c r="F80" s="4" t="s">
        <v>59</v>
      </c>
      <c r="G80" s="4" t="s">
        <v>146</v>
      </c>
      <c r="H80" s="4"/>
      <c r="I80" s="4" t="n">
        <v>9.7263</v>
      </c>
      <c r="J80" s="4" t="str">
        <f aca="false">TRIM(E80) &amp; TRIM(C80) &amp; TRIM(D80)</f>
        <v>Re-reviewBid Ad GroupRS</v>
      </c>
      <c r="K80" s="4" t="n">
        <f aca="false">IFERROR(I80*60,"")</f>
        <v>583.578</v>
      </c>
    </row>
    <row r="81" customFormat="false" ht="15" hidden="false" customHeight="false" outlineLevel="0" collapsed="false">
      <c r="A81" s="4" t="s">
        <v>15</v>
      </c>
      <c r="B81" s="4" t="s">
        <v>56</v>
      </c>
      <c r="C81" s="4" t="s">
        <v>57</v>
      </c>
      <c r="D81" s="4" t="s">
        <v>115</v>
      </c>
      <c r="E81" s="4" t="s">
        <v>59</v>
      </c>
      <c r="F81" s="4" t="s">
        <v>59</v>
      </c>
      <c r="G81" s="4" t="s">
        <v>116</v>
      </c>
      <c r="H81" s="4"/>
      <c r="I81" s="4" t="n">
        <v>7.2329</v>
      </c>
      <c r="J81" s="4" t="str">
        <f aca="false">TRIM(E81) &amp; TRIM(C81) &amp; TRIM(D81)</f>
        <v>Re-reviewBid Ad GroupAT</v>
      </c>
      <c r="K81" s="4" t="n">
        <f aca="false">IFERROR(I81*60,"")</f>
        <v>433.974</v>
      </c>
    </row>
    <row r="82" customFormat="false" ht="15" hidden="false" customHeight="false" outlineLevel="0" collapsed="false">
      <c r="A82" s="4" t="s">
        <v>15</v>
      </c>
      <c r="B82" s="4" t="s">
        <v>56</v>
      </c>
      <c r="C82" s="4" t="s">
        <v>75</v>
      </c>
      <c r="D82" s="4" t="s">
        <v>121</v>
      </c>
      <c r="E82" s="4" t="s">
        <v>66</v>
      </c>
      <c r="F82" s="4" t="s">
        <v>67</v>
      </c>
      <c r="G82" s="4" t="s">
        <v>122</v>
      </c>
      <c r="H82" s="4"/>
      <c r="I82" s="4" t="n">
        <v>1.4745</v>
      </c>
      <c r="J82" s="4" t="str">
        <f aca="false">TRIM(E82) &amp; TRIM(C82) &amp; TRIM(D82)</f>
        <v>Posted RecallBid Ecom Ads GroupKR</v>
      </c>
      <c r="K82" s="4" t="n">
        <f aca="false">IFERROR(I82*60,"")</f>
        <v>88.47</v>
      </c>
    </row>
    <row r="83" customFormat="false" ht="15" hidden="false" customHeight="false" outlineLevel="0" collapsed="false">
      <c r="A83" s="4" t="s">
        <v>15</v>
      </c>
      <c r="B83" s="4" t="s">
        <v>56</v>
      </c>
      <c r="C83" s="4" t="s">
        <v>81</v>
      </c>
      <c r="D83" s="4" t="s">
        <v>111</v>
      </c>
      <c r="E83" s="4" t="s">
        <v>63</v>
      </c>
      <c r="F83" s="4" t="s">
        <v>63</v>
      </c>
      <c r="G83" s="4" t="s">
        <v>147</v>
      </c>
      <c r="H83" s="4"/>
      <c r="I83" s="4" t="n">
        <v>0.6248</v>
      </c>
      <c r="J83" s="4" t="str">
        <f aca="false">TRIM(E83) &amp; TRIM(C83) &amp; TRIM(D83)</f>
        <v>First ReviewBid TextUS</v>
      </c>
      <c r="K83" s="4" t="n">
        <f aca="false">IFERROR(I83*60,"")</f>
        <v>37.488</v>
      </c>
    </row>
    <row r="84" customFormat="false" ht="15" hidden="false" customHeight="false" outlineLevel="0" collapsed="false">
      <c r="A84" s="4" t="s">
        <v>15</v>
      </c>
      <c r="B84" s="4" t="s">
        <v>56</v>
      </c>
      <c r="C84" s="4" t="s">
        <v>61</v>
      </c>
      <c r="D84" s="4" t="s">
        <v>104</v>
      </c>
      <c r="E84" s="4" t="s">
        <v>63</v>
      </c>
      <c r="F84" s="4" t="s">
        <v>63</v>
      </c>
      <c r="G84" s="4" t="s">
        <v>148</v>
      </c>
      <c r="H84" s="4"/>
      <c r="I84" s="4" t="n">
        <v>1.6462</v>
      </c>
      <c r="J84" s="4" t="str">
        <f aca="false">TRIM(E84) &amp; TRIM(C84) &amp; TRIM(D84)</f>
        <v>First ReviewBid Ecom URLIE</v>
      </c>
      <c r="K84" s="4" t="n">
        <f aca="false">IFERROR(I84*60,"")</f>
        <v>98.772</v>
      </c>
    </row>
    <row r="85" customFormat="false" ht="15" hidden="false" customHeight="false" outlineLevel="0" collapsed="false">
      <c r="A85" s="4" t="s">
        <v>15</v>
      </c>
      <c r="B85" s="4" t="s">
        <v>56</v>
      </c>
      <c r="C85" s="4" t="s">
        <v>72</v>
      </c>
      <c r="D85" s="4" t="s">
        <v>91</v>
      </c>
      <c r="E85" s="4" t="s">
        <v>63</v>
      </c>
      <c r="F85" s="4" t="s">
        <v>63</v>
      </c>
      <c r="G85" s="4" t="s">
        <v>149</v>
      </c>
      <c r="H85" s="4"/>
      <c r="I85" s="4" t="n">
        <v>0.2302</v>
      </c>
      <c r="J85" s="4" t="str">
        <f aca="false">TRIM(E85) &amp; TRIM(C85) &amp; TRIM(D85)</f>
        <v>First ReviewBid ImageHR</v>
      </c>
      <c r="K85" s="4" t="n">
        <f aca="false">IFERROR(I85*60,"")</f>
        <v>13.812</v>
      </c>
    </row>
    <row r="86" customFormat="false" ht="15" hidden="false" customHeight="false" outlineLevel="0" collapsed="false">
      <c r="A86" s="4" t="s">
        <v>15</v>
      </c>
      <c r="B86" s="4" t="s">
        <v>56</v>
      </c>
      <c r="C86" s="4" t="s">
        <v>84</v>
      </c>
      <c r="D86" s="4" t="s">
        <v>150</v>
      </c>
      <c r="E86" s="4" t="s">
        <v>63</v>
      </c>
      <c r="F86" s="4" t="s">
        <v>63</v>
      </c>
      <c r="G86" s="4" t="s">
        <v>151</v>
      </c>
      <c r="H86" s="4"/>
      <c r="I86" s="4" t="n">
        <v>0.7687</v>
      </c>
      <c r="J86" s="4" t="str">
        <f aca="false">TRIM(E86) &amp; TRIM(C86) &amp; TRIM(D86)</f>
        <v>First ReviewBid Ecom VideoDE</v>
      </c>
      <c r="K86" s="4" t="n">
        <f aca="false">IFERROR(I86*60,"")</f>
        <v>46.122</v>
      </c>
    </row>
    <row r="87" customFormat="false" ht="15" hidden="false" customHeight="false" outlineLevel="0" collapsed="false">
      <c r="A87" s="4" t="s">
        <v>15</v>
      </c>
      <c r="B87" s="4" t="s">
        <v>56</v>
      </c>
      <c r="C87" s="4" t="s">
        <v>72</v>
      </c>
      <c r="D87" s="4" t="s">
        <v>152</v>
      </c>
      <c r="E87" s="4" t="s">
        <v>63</v>
      </c>
      <c r="F87" s="4" t="s">
        <v>63</v>
      </c>
      <c r="G87" s="4" t="s">
        <v>153</v>
      </c>
      <c r="H87" s="4"/>
      <c r="I87" s="4" t="n">
        <v>0.2864</v>
      </c>
      <c r="J87" s="4" t="str">
        <f aca="false">TRIM(E87) &amp; TRIM(C87) &amp; TRIM(D87)</f>
        <v>First ReviewBid ImageCY</v>
      </c>
      <c r="K87" s="4" t="n">
        <f aca="false">IFERROR(I87*60,"")</f>
        <v>17.184</v>
      </c>
    </row>
    <row r="88" customFormat="false" ht="15" hidden="false" customHeight="false" outlineLevel="0" collapsed="false">
      <c r="A88" s="4" t="s">
        <v>15</v>
      </c>
      <c r="B88" s="4" t="s">
        <v>56</v>
      </c>
      <c r="C88" s="4" t="s">
        <v>81</v>
      </c>
      <c r="D88" s="4" t="s">
        <v>154</v>
      </c>
      <c r="E88" s="4" t="s">
        <v>63</v>
      </c>
      <c r="F88" s="4" t="s">
        <v>63</v>
      </c>
      <c r="G88" s="4" t="s">
        <v>155</v>
      </c>
      <c r="H88" s="4"/>
      <c r="I88" s="4" t="n">
        <v>0.6007</v>
      </c>
      <c r="J88" s="4" t="str">
        <f aca="false">TRIM(E88) &amp; TRIM(C88) &amp; TRIM(D88)</f>
        <v>First ReviewBid TextES</v>
      </c>
      <c r="K88" s="4" t="n">
        <f aca="false">IFERROR(I88*60,"")</f>
        <v>36.042</v>
      </c>
    </row>
    <row r="89" customFormat="false" ht="15" hidden="false" customHeight="false" outlineLevel="0" collapsed="false">
      <c r="A89" s="4" t="s">
        <v>15</v>
      </c>
      <c r="B89" s="4" t="s">
        <v>56</v>
      </c>
      <c r="C89" s="4" t="s">
        <v>72</v>
      </c>
      <c r="D89" s="4" t="s">
        <v>136</v>
      </c>
      <c r="E89" s="4" t="s">
        <v>63</v>
      </c>
      <c r="F89" s="4" t="s">
        <v>63</v>
      </c>
      <c r="G89" s="4" t="s">
        <v>156</v>
      </c>
      <c r="H89" s="4"/>
      <c r="I89" s="4" t="n">
        <v>0.5651</v>
      </c>
      <c r="J89" s="4" t="str">
        <f aca="false">TRIM(E89) &amp; TRIM(C89) &amp; TRIM(D89)</f>
        <v>First ReviewBid ImagePE</v>
      </c>
      <c r="K89" s="4" t="n">
        <f aca="false">IFERROR(I89*60,"")</f>
        <v>33.906</v>
      </c>
    </row>
    <row r="90" customFormat="false" ht="15" hidden="false" customHeight="false" outlineLevel="0" collapsed="false">
      <c r="A90" s="4" t="s">
        <v>15</v>
      </c>
      <c r="B90" s="4" t="s">
        <v>56</v>
      </c>
      <c r="C90" s="4" t="s">
        <v>57</v>
      </c>
      <c r="D90" s="4" t="s">
        <v>157</v>
      </c>
      <c r="E90" s="4" t="s">
        <v>59</v>
      </c>
      <c r="F90" s="4" t="s">
        <v>59</v>
      </c>
      <c r="G90" s="4" t="s">
        <v>158</v>
      </c>
      <c r="H90" s="4"/>
      <c r="I90" s="4" t="n">
        <v>7.3683</v>
      </c>
      <c r="J90" s="4" t="str">
        <f aca="false">TRIM(E90) &amp; TRIM(C90) &amp; TRIM(D90)</f>
        <v>Re-reviewBid Ad GroupSA</v>
      </c>
      <c r="K90" s="4" t="n">
        <f aca="false">IFERROR(I90*60,"")</f>
        <v>442.098</v>
      </c>
    </row>
    <row r="91" customFormat="false" ht="15" hidden="false" customHeight="false" outlineLevel="0" collapsed="false">
      <c r="A91" s="4" t="s">
        <v>15</v>
      </c>
      <c r="B91" s="4" t="s">
        <v>56</v>
      </c>
      <c r="C91" s="4" t="s">
        <v>61</v>
      </c>
      <c r="D91" s="4" t="s">
        <v>159</v>
      </c>
      <c r="E91" s="4" t="s">
        <v>63</v>
      </c>
      <c r="F91" s="4" t="s">
        <v>63</v>
      </c>
      <c r="G91" s="4" t="s">
        <v>160</v>
      </c>
      <c r="H91" s="4"/>
      <c r="I91" s="4" t="n">
        <v>1.5975</v>
      </c>
      <c r="J91" s="4" t="str">
        <f aca="false">TRIM(E91) &amp; TRIM(C91) &amp; TRIM(D91)</f>
        <v>First ReviewBid Ecom URLDO</v>
      </c>
      <c r="K91" s="4" t="n">
        <f aca="false">IFERROR(I91*60,"")</f>
        <v>95.85</v>
      </c>
    </row>
    <row r="92" customFormat="false" ht="15" hidden="false" customHeight="false" outlineLevel="0" collapsed="false">
      <c r="A92" s="4" t="s">
        <v>15</v>
      </c>
      <c r="B92" s="4" t="s">
        <v>56</v>
      </c>
      <c r="C92" s="4" t="s">
        <v>75</v>
      </c>
      <c r="D92" s="4" t="s">
        <v>126</v>
      </c>
      <c r="E92" s="4" t="s">
        <v>63</v>
      </c>
      <c r="F92" s="4" t="s">
        <v>63</v>
      </c>
      <c r="G92" s="4" t="s">
        <v>161</v>
      </c>
      <c r="H92" s="4"/>
      <c r="I92" s="4" t="n">
        <v>1.6307</v>
      </c>
      <c r="J92" s="4" t="str">
        <f aca="false">TRIM(E92) &amp; TRIM(C92) &amp; TRIM(D92)</f>
        <v>First ReviewBid Ecom Ads GroupMX</v>
      </c>
      <c r="K92" s="4" t="n">
        <f aca="false">IFERROR(I92*60,"")</f>
        <v>97.842</v>
      </c>
    </row>
    <row r="93" customFormat="false" ht="15" hidden="false" customHeight="false" outlineLevel="0" collapsed="false">
      <c r="A93" s="4" t="s">
        <v>15</v>
      </c>
      <c r="B93" s="4" t="s">
        <v>56</v>
      </c>
      <c r="C93" s="4" t="s">
        <v>75</v>
      </c>
      <c r="D93" s="4" t="s">
        <v>162</v>
      </c>
      <c r="E93" s="4" t="s">
        <v>59</v>
      </c>
      <c r="F93" s="4" t="s">
        <v>59</v>
      </c>
      <c r="G93" s="4" t="s">
        <v>163</v>
      </c>
      <c r="H93" s="4"/>
      <c r="I93" s="4" t="n">
        <v>6.574</v>
      </c>
      <c r="J93" s="4" t="str">
        <f aca="false">TRIM(E93) &amp; TRIM(C93) &amp; TRIM(D93)</f>
        <v>Re-reviewBid Ecom Ads GroupJO</v>
      </c>
      <c r="K93" s="4" t="n">
        <f aca="false">IFERROR(I93*60,"")</f>
        <v>394.44</v>
      </c>
    </row>
    <row r="94" customFormat="false" ht="15" hidden="false" customHeight="false" outlineLevel="0" collapsed="false">
      <c r="A94" s="4" t="s">
        <v>15</v>
      </c>
      <c r="B94" s="4" t="s">
        <v>56</v>
      </c>
      <c r="C94" s="4" t="s">
        <v>72</v>
      </c>
      <c r="D94" s="4" t="s">
        <v>164</v>
      </c>
      <c r="E94" s="4" t="s">
        <v>63</v>
      </c>
      <c r="F94" s="4" t="s">
        <v>63</v>
      </c>
      <c r="G94" s="4" t="s">
        <v>165</v>
      </c>
      <c r="H94" s="4"/>
      <c r="I94" s="4" t="n">
        <v>0.3351</v>
      </c>
      <c r="J94" s="4" t="str">
        <f aca="false">TRIM(E94) &amp; TRIM(C94) &amp; TRIM(D94)</f>
        <v>First ReviewBid ImageCR</v>
      </c>
      <c r="K94" s="4" t="n">
        <f aca="false">IFERROR(I94*60,"")</f>
        <v>20.106</v>
      </c>
    </row>
    <row r="95" customFormat="false" ht="15" hidden="false" customHeight="false" outlineLevel="0" collapsed="false">
      <c r="A95" s="4" t="s">
        <v>15</v>
      </c>
      <c r="B95" s="4" t="s">
        <v>56</v>
      </c>
      <c r="C95" s="4" t="s">
        <v>69</v>
      </c>
      <c r="D95" s="4" t="s">
        <v>166</v>
      </c>
      <c r="E95" s="4" t="s">
        <v>63</v>
      </c>
      <c r="F95" s="4" t="s">
        <v>63</v>
      </c>
      <c r="G95" s="4" t="s">
        <v>167</v>
      </c>
      <c r="H95" s="4"/>
      <c r="I95" s="4" t="n">
        <v>1.2574</v>
      </c>
      <c r="J95" s="4" t="str">
        <f aca="false">TRIM(E95) &amp; TRIM(C95) &amp; TRIM(D95)</f>
        <v>First ReviewBid LinkCZ</v>
      </c>
      <c r="K95" s="4" t="n">
        <f aca="false">IFERROR(I95*60,"")</f>
        <v>75.444</v>
      </c>
    </row>
    <row r="96" customFormat="false" ht="15" hidden="false" customHeight="false" outlineLevel="0" collapsed="false">
      <c r="A96" s="4" t="s">
        <v>15</v>
      </c>
      <c r="B96" s="4" t="s">
        <v>56</v>
      </c>
      <c r="C96" s="4" t="s">
        <v>69</v>
      </c>
      <c r="D96" s="4" t="s">
        <v>168</v>
      </c>
      <c r="E96" s="4" t="s">
        <v>63</v>
      </c>
      <c r="F96" s="4" t="s">
        <v>63</v>
      </c>
      <c r="G96" s="4" t="s">
        <v>169</v>
      </c>
      <c r="H96" s="4"/>
      <c r="I96" s="4" t="n">
        <v>1.3089</v>
      </c>
      <c r="J96" s="4" t="str">
        <f aca="false">TRIM(E96) &amp; TRIM(C96) &amp; TRIM(D96)</f>
        <v>First ReviewBid LinkKZ</v>
      </c>
      <c r="K96" s="4" t="n">
        <f aca="false">IFERROR(I96*60,"")</f>
        <v>78.534</v>
      </c>
    </row>
    <row r="97" customFormat="false" ht="15" hidden="false" customHeight="false" outlineLevel="0" collapsed="false">
      <c r="A97" s="4" t="s">
        <v>15</v>
      </c>
      <c r="B97" s="4" t="s">
        <v>56</v>
      </c>
      <c r="C97" s="4" t="s">
        <v>61</v>
      </c>
      <c r="D97" s="4" t="s">
        <v>65</v>
      </c>
      <c r="E97" s="4" t="s">
        <v>63</v>
      </c>
      <c r="F97" s="4" t="s">
        <v>63</v>
      </c>
      <c r="G97" s="4" t="s">
        <v>170</v>
      </c>
      <c r="H97" s="4"/>
      <c r="I97" s="4" t="n">
        <v>4.0538</v>
      </c>
      <c r="J97" s="4" t="str">
        <f aca="false">TRIM(E97) &amp; TRIM(C97) &amp; TRIM(D97)</f>
        <v>First ReviewBid Ecom URLEE</v>
      </c>
      <c r="K97" s="4" t="n">
        <f aca="false">IFERROR(I97*60,"")</f>
        <v>243.228</v>
      </c>
    </row>
    <row r="98" customFormat="false" ht="15" hidden="false" customHeight="false" outlineLevel="0" collapsed="false">
      <c r="A98" s="4" t="s">
        <v>15</v>
      </c>
      <c r="B98" s="4" t="s">
        <v>56</v>
      </c>
      <c r="C98" s="4" t="s">
        <v>75</v>
      </c>
      <c r="D98" s="4" t="s">
        <v>171</v>
      </c>
      <c r="E98" s="4" t="s">
        <v>59</v>
      </c>
      <c r="F98" s="4" t="s">
        <v>59</v>
      </c>
      <c r="G98" s="4" t="s">
        <v>172</v>
      </c>
      <c r="H98" s="4"/>
      <c r="I98" s="4" t="n">
        <v>4.1083</v>
      </c>
      <c r="J98" s="4" t="str">
        <f aca="false">TRIM(E98) &amp; TRIM(C98) &amp; TRIM(D98)</f>
        <v>Re-reviewBid Ecom Ads GroupKE</v>
      </c>
      <c r="K98" s="4" t="n">
        <f aca="false">IFERROR(I98*60,"")</f>
        <v>246.498</v>
      </c>
    </row>
    <row r="99" customFormat="false" ht="15" hidden="false" customHeight="false" outlineLevel="0" collapsed="false">
      <c r="A99" s="4" t="s">
        <v>15</v>
      </c>
      <c r="B99" s="4" t="s">
        <v>56</v>
      </c>
      <c r="C99" s="4" t="s">
        <v>75</v>
      </c>
      <c r="D99" s="4" t="s">
        <v>82</v>
      </c>
      <c r="E99" s="4" t="s">
        <v>63</v>
      </c>
      <c r="F99" s="4" t="s">
        <v>63</v>
      </c>
      <c r="G99" s="4" t="s">
        <v>173</v>
      </c>
      <c r="H99" s="4"/>
      <c r="I99" s="4" t="n">
        <v>1.7468</v>
      </c>
      <c r="J99" s="4" t="str">
        <f aca="false">TRIM(E99) &amp; TRIM(C99) &amp; TRIM(D99)</f>
        <v>First ReviewBid Ecom Ads GroupKH</v>
      </c>
      <c r="K99" s="4" t="n">
        <f aca="false">IFERROR(I99*60,"")</f>
        <v>104.808</v>
      </c>
    </row>
    <row r="100" customFormat="false" ht="15" hidden="false" customHeight="false" outlineLevel="0" collapsed="false">
      <c r="A100" s="4" t="s">
        <v>15</v>
      </c>
      <c r="B100" s="4" t="s">
        <v>56</v>
      </c>
      <c r="C100" s="4" t="s">
        <v>81</v>
      </c>
      <c r="D100" s="4" t="s">
        <v>126</v>
      </c>
      <c r="E100" s="4" t="s">
        <v>63</v>
      </c>
      <c r="F100" s="4" t="s">
        <v>63</v>
      </c>
      <c r="G100" s="4" t="s">
        <v>174</v>
      </c>
      <c r="H100" s="4"/>
      <c r="I100" s="4" t="n">
        <v>0.8461</v>
      </c>
      <c r="J100" s="4" t="str">
        <f aca="false">TRIM(E100) &amp; TRIM(C100) &amp; TRIM(D100)</f>
        <v>First ReviewBid TextMX</v>
      </c>
      <c r="K100" s="4" t="n">
        <f aca="false">IFERROR(I100*60,"")</f>
        <v>50.766</v>
      </c>
    </row>
    <row r="101" customFormat="false" ht="15" hidden="false" customHeight="false" outlineLevel="0" collapsed="false">
      <c r="A101" s="4" t="s">
        <v>15</v>
      </c>
      <c r="B101" s="4" t="s">
        <v>56</v>
      </c>
      <c r="C101" s="4" t="s">
        <v>75</v>
      </c>
      <c r="D101" s="4" t="s">
        <v>62</v>
      </c>
      <c r="E101" s="4" t="s">
        <v>66</v>
      </c>
      <c r="F101" s="4" t="s">
        <v>67</v>
      </c>
      <c r="G101" s="4" t="s">
        <v>175</v>
      </c>
      <c r="H101" s="4"/>
      <c r="I101" s="4" t="n">
        <v>1.9526</v>
      </c>
      <c r="J101" s="4" t="str">
        <f aca="false">TRIM(E101) &amp; TRIM(C101) &amp; TRIM(D101)</f>
        <v>Posted RecallBid Ecom Ads GroupCL</v>
      </c>
      <c r="K101" s="4" t="n">
        <f aca="false">IFERROR(I101*60,"")</f>
        <v>117.156</v>
      </c>
    </row>
    <row r="102" customFormat="false" ht="15" hidden="false" customHeight="false" outlineLevel="0" collapsed="false">
      <c r="A102" s="4" t="s">
        <v>15</v>
      </c>
      <c r="B102" s="4" t="s">
        <v>56</v>
      </c>
      <c r="C102" s="4" t="s">
        <v>57</v>
      </c>
      <c r="D102" s="4" t="s">
        <v>82</v>
      </c>
      <c r="E102" s="4" t="s">
        <v>66</v>
      </c>
      <c r="F102" s="4" t="s">
        <v>67</v>
      </c>
      <c r="G102" s="4" t="s">
        <v>176</v>
      </c>
      <c r="H102" s="4"/>
      <c r="I102" s="4" t="n">
        <v>2.1788</v>
      </c>
      <c r="J102" s="4" t="str">
        <f aca="false">TRIM(E102) &amp; TRIM(C102) &amp; TRIM(D102)</f>
        <v>Posted RecallBid Ad GroupKH</v>
      </c>
      <c r="K102" s="4" t="n">
        <f aca="false">IFERROR(I102*60,"")</f>
        <v>130.728</v>
      </c>
    </row>
    <row r="103" customFormat="false" ht="15" hidden="false" customHeight="false" outlineLevel="0" collapsed="false">
      <c r="A103" s="4" t="s">
        <v>15</v>
      </c>
      <c r="B103" s="4" t="s">
        <v>56</v>
      </c>
      <c r="C103" s="4" t="s">
        <v>75</v>
      </c>
      <c r="D103" s="4" t="s">
        <v>89</v>
      </c>
      <c r="E103" s="4" t="s">
        <v>66</v>
      </c>
      <c r="F103" s="4" t="s">
        <v>67</v>
      </c>
      <c r="G103" s="4" t="s">
        <v>177</v>
      </c>
      <c r="H103" s="4"/>
      <c r="I103" s="4" t="n">
        <v>1.9528</v>
      </c>
      <c r="J103" s="4" t="str">
        <f aca="false">TRIM(E103) &amp; TRIM(C103) &amp; TRIM(D103)</f>
        <v>Posted RecallBid Ecom Ads GroupFI</v>
      </c>
      <c r="K103" s="4" t="n">
        <f aca="false">IFERROR(I103*60,"")</f>
        <v>117.168</v>
      </c>
    </row>
    <row r="104" customFormat="false" ht="15" hidden="false" customHeight="false" outlineLevel="0" collapsed="false">
      <c r="A104" s="4" t="s">
        <v>15</v>
      </c>
      <c r="B104" s="4" t="s">
        <v>56</v>
      </c>
      <c r="C104" s="4" t="s">
        <v>81</v>
      </c>
      <c r="D104" s="4" t="s">
        <v>178</v>
      </c>
      <c r="E104" s="4" t="s">
        <v>63</v>
      </c>
      <c r="F104" s="4" t="s">
        <v>63</v>
      </c>
      <c r="G104" s="4" t="s">
        <v>179</v>
      </c>
      <c r="H104" s="4"/>
      <c r="I104" s="4" t="n">
        <v>0.6155</v>
      </c>
      <c r="J104" s="4" t="str">
        <f aca="false">TRIM(E104) &amp; TRIM(C104) &amp; TRIM(D104)</f>
        <v>First ReviewBid TextBO</v>
      </c>
      <c r="K104" s="4" t="n">
        <f aca="false">IFERROR(I104*60,"")</f>
        <v>36.93</v>
      </c>
    </row>
    <row r="105" customFormat="false" ht="15" hidden="false" customHeight="false" outlineLevel="0" collapsed="false">
      <c r="A105" s="4" t="s">
        <v>15</v>
      </c>
      <c r="B105" s="4" t="s">
        <v>56</v>
      </c>
      <c r="C105" s="4" t="s">
        <v>93</v>
      </c>
      <c r="D105" s="4" t="s">
        <v>152</v>
      </c>
      <c r="E105" s="4" t="s">
        <v>63</v>
      </c>
      <c r="F105" s="4" t="s">
        <v>63</v>
      </c>
      <c r="G105" s="4" t="s">
        <v>180</v>
      </c>
      <c r="H105" s="4"/>
      <c r="I105" s="4" t="n">
        <v>0.2713</v>
      </c>
      <c r="J105" s="4" t="str">
        <f aca="false">TRIM(E105) &amp; TRIM(C105) &amp; TRIM(D105)</f>
        <v>First ReviewBid AudioCY</v>
      </c>
      <c r="K105" s="4" t="n">
        <f aca="false">IFERROR(I105*60,"")</f>
        <v>16.278</v>
      </c>
    </row>
    <row r="106" customFormat="false" ht="15" hidden="false" customHeight="false" outlineLevel="0" collapsed="false">
      <c r="A106" s="4" t="s">
        <v>15</v>
      </c>
      <c r="B106" s="4" t="s">
        <v>56</v>
      </c>
      <c r="C106" s="4" t="s">
        <v>75</v>
      </c>
      <c r="D106" s="4" t="s">
        <v>181</v>
      </c>
      <c r="E106" s="4" t="s">
        <v>59</v>
      </c>
      <c r="F106" s="4" t="s">
        <v>59</v>
      </c>
      <c r="G106" s="4" t="s">
        <v>182</v>
      </c>
      <c r="H106" s="4"/>
      <c r="I106" s="4" t="n">
        <v>5.4753</v>
      </c>
      <c r="J106" s="4" t="str">
        <f aca="false">TRIM(E106) &amp; TRIM(C106) &amp; TRIM(D106)</f>
        <v>Re-reviewBid Ecom Ads GroupLB</v>
      </c>
      <c r="K106" s="4" t="n">
        <f aca="false">IFERROR(I106*60,"")</f>
        <v>328.518</v>
      </c>
    </row>
    <row r="107" customFormat="false" ht="15" hidden="false" customHeight="false" outlineLevel="0" collapsed="false">
      <c r="A107" s="4" t="s">
        <v>15</v>
      </c>
      <c r="B107" s="4" t="s">
        <v>56</v>
      </c>
      <c r="C107" s="4" t="s">
        <v>75</v>
      </c>
      <c r="D107" s="4" t="s">
        <v>73</v>
      </c>
      <c r="E107" s="4" t="s">
        <v>59</v>
      </c>
      <c r="F107" s="4" t="s">
        <v>59</v>
      </c>
      <c r="G107" s="4" t="s">
        <v>183</v>
      </c>
      <c r="H107" s="4"/>
      <c r="I107" s="4" t="n">
        <v>4.5719</v>
      </c>
      <c r="J107" s="4" t="str">
        <f aca="false">TRIM(E107) &amp; TRIM(C107) &amp; TRIM(D107)</f>
        <v>Re-reviewBid Ecom Ads GroupIQ</v>
      </c>
      <c r="K107" s="4" t="n">
        <f aca="false">IFERROR(I107*60,"")</f>
        <v>274.314</v>
      </c>
    </row>
    <row r="108" customFormat="false" ht="15" hidden="false" customHeight="false" outlineLevel="0" collapsed="false">
      <c r="A108" s="4" t="s">
        <v>15</v>
      </c>
      <c r="B108" s="4" t="s">
        <v>56</v>
      </c>
      <c r="C108" s="4" t="s">
        <v>61</v>
      </c>
      <c r="D108" s="4" t="s">
        <v>117</v>
      </c>
      <c r="E108" s="4" t="s">
        <v>63</v>
      </c>
      <c r="F108" s="4" t="s">
        <v>63</v>
      </c>
      <c r="G108" s="4" t="s">
        <v>184</v>
      </c>
      <c r="H108" s="4"/>
      <c r="I108" s="4" t="n">
        <v>1.2781</v>
      </c>
      <c r="J108" s="4" t="str">
        <f aca="false">TRIM(E108) &amp; TRIM(C108) &amp; TRIM(D108)</f>
        <v>First ReviewBid Ecom URLAR</v>
      </c>
      <c r="K108" s="4" t="n">
        <f aca="false">IFERROR(I108*60,"")</f>
        <v>76.686</v>
      </c>
    </row>
    <row r="109" customFormat="false" ht="15" hidden="false" customHeight="false" outlineLevel="0" collapsed="false">
      <c r="A109" s="4" t="s">
        <v>15</v>
      </c>
      <c r="B109" s="4" t="s">
        <v>56</v>
      </c>
      <c r="C109" s="4" t="s">
        <v>75</v>
      </c>
      <c r="D109" s="4" t="s">
        <v>185</v>
      </c>
      <c r="E109" s="4" t="s">
        <v>66</v>
      </c>
      <c r="F109" s="4" t="s">
        <v>67</v>
      </c>
      <c r="G109" s="4" t="s">
        <v>186</v>
      </c>
      <c r="H109" s="4"/>
      <c r="I109" s="4" t="n">
        <v>1.8824</v>
      </c>
      <c r="J109" s="4" t="str">
        <f aca="false">TRIM(E109) &amp; TRIM(C109) &amp; TRIM(D109)</f>
        <v>Posted RecallBid Ecom Ads GroupDK</v>
      </c>
      <c r="K109" s="4" t="n">
        <f aca="false">IFERROR(I109*60,"")</f>
        <v>112.944</v>
      </c>
    </row>
    <row r="110" customFormat="false" ht="15" hidden="false" customHeight="false" outlineLevel="0" collapsed="false">
      <c r="A110" s="4" t="s">
        <v>15</v>
      </c>
      <c r="B110" s="4" t="s">
        <v>56</v>
      </c>
      <c r="C110" s="4" t="s">
        <v>93</v>
      </c>
      <c r="D110" s="4" t="s">
        <v>111</v>
      </c>
      <c r="E110" s="4" t="s">
        <v>63</v>
      </c>
      <c r="F110" s="4" t="s">
        <v>63</v>
      </c>
      <c r="G110" s="4" t="s">
        <v>187</v>
      </c>
      <c r="H110" s="4"/>
      <c r="I110" s="4" t="n">
        <v>0.6415</v>
      </c>
      <c r="J110" s="4" t="str">
        <f aca="false">TRIM(E110) &amp; TRIM(C110) &amp; TRIM(D110)</f>
        <v>First ReviewBid AudioUS</v>
      </c>
      <c r="K110" s="4" t="n">
        <f aca="false">IFERROR(I110*60,"")</f>
        <v>38.49</v>
      </c>
    </row>
    <row r="111" customFormat="false" ht="15" hidden="false" customHeight="false" outlineLevel="0" collapsed="false">
      <c r="A111" s="4" t="s">
        <v>15</v>
      </c>
      <c r="B111" s="4" t="s">
        <v>56</v>
      </c>
      <c r="C111" s="4" t="s">
        <v>84</v>
      </c>
      <c r="D111" s="4" t="s">
        <v>65</v>
      </c>
      <c r="E111" s="4" t="s">
        <v>63</v>
      </c>
      <c r="F111" s="4" t="s">
        <v>63</v>
      </c>
      <c r="G111" s="4" t="s">
        <v>188</v>
      </c>
      <c r="H111" s="4"/>
      <c r="I111" s="4" t="n">
        <v>0.1977</v>
      </c>
      <c r="J111" s="4" t="str">
        <f aca="false">TRIM(E111) &amp; TRIM(C111) &amp; TRIM(D111)</f>
        <v>First ReviewBid Ecom VideoEE</v>
      </c>
      <c r="K111" s="4" t="n">
        <f aca="false">IFERROR(I111*60,"")</f>
        <v>11.862</v>
      </c>
    </row>
    <row r="112" customFormat="false" ht="15" hidden="false" customHeight="false" outlineLevel="0" collapsed="false">
      <c r="A112" s="4" t="s">
        <v>15</v>
      </c>
      <c r="B112" s="4" t="s">
        <v>56</v>
      </c>
      <c r="C112" s="4" t="s">
        <v>75</v>
      </c>
      <c r="D112" s="4" t="s">
        <v>70</v>
      </c>
      <c r="E112" s="4" t="s">
        <v>66</v>
      </c>
      <c r="F112" s="4" t="s">
        <v>67</v>
      </c>
      <c r="G112" s="4" t="s">
        <v>189</v>
      </c>
      <c r="H112" s="4"/>
      <c r="I112" s="4" t="n">
        <v>1.2077</v>
      </c>
      <c r="J112" s="4" t="str">
        <f aca="false">TRIM(E112) &amp; TRIM(C112) &amp; TRIM(D112)</f>
        <v>Posted RecallBid Ecom Ads GroupBE</v>
      </c>
      <c r="K112" s="4" t="n">
        <f aca="false">IFERROR(I112*60,"")</f>
        <v>72.462</v>
      </c>
    </row>
    <row r="113" customFormat="false" ht="15" hidden="false" customHeight="false" outlineLevel="0" collapsed="false">
      <c r="A113" s="4" t="s">
        <v>15</v>
      </c>
      <c r="B113" s="4" t="s">
        <v>56</v>
      </c>
      <c r="C113" s="4" t="s">
        <v>57</v>
      </c>
      <c r="D113" s="4" t="s">
        <v>190</v>
      </c>
      <c r="E113" s="4" t="s">
        <v>66</v>
      </c>
      <c r="F113" s="4" t="s">
        <v>67</v>
      </c>
      <c r="G113" s="4" t="s">
        <v>191</v>
      </c>
      <c r="H113" s="4"/>
      <c r="I113" s="4" t="n">
        <v>1.403</v>
      </c>
      <c r="J113" s="4" t="str">
        <f aca="false">TRIM(E113) &amp; TRIM(C113) &amp; TRIM(D113)</f>
        <v>Posted RecallBid Ad GroupPH</v>
      </c>
      <c r="K113" s="4" t="n">
        <f aca="false">IFERROR(I113*60,"")</f>
        <v>84.18</v>
      </c>
    </row>
    <row r="114" customFormat="false" ht="15" hidden="false" customHeight="false" outlineLevel="0" collapsed="false">
      <c r="A114" s="4" t="s">
        <v>15</v>
      </c>
      <c r="B114" s="4" t="s">
        <v>56</v>
      </c>
      <c r="C114" s="4" t="s">
        <v>57</v>
      </c>
      <c r="D114" s="4" t="s">
        <v>192</v>
      </c>
      <c r="E114" s="4" t="s">
        <v>63</v>
      </c>
      <c r="F114" s="4" t="s">
        <v>63</v>
      </c>
      <c r="G114" s="4" t="s">
        <v>193</v>
      </c>
      <c r="H114" s="4"/>
      <c r="I114" s="4" t="n">
        <v>2.3595</v>
      </c>
      <c r="J114" s="4" t="str">
        <f aca="false">TRIM(E114) &amp; TRIM(C114) &amp; TRIM(D114)</f>
        <v>First ReviewBid Ad GroupGT</v>
      </c>
      <c r="K114" s="4" t="n">
        <f aca="false">IFERROR(I114*60,"")</f>
        <v>141.57</v>
      </c>
    </row>
    <row r="115" customFormat="false" ht="15" hidden="false" customHeight="false" outlineLevel="0" collapsed="false">
      <c r="A115" s="4" t="s">
        <v>15</v>
      </c>
      <c r="B115" s="4" t="s">
        <v>56</v>
      </c>
      <c r="C115" s="4" t="s">
        <v>61</v>
      </c>
      <c r="D115" s="4" t="s">
        <v>164</v>
      </c>
      <c r="E115" s="4" t="s">
        <v>63</v>
      </c>
      <c r="F115" s="4" t="s">
        <v>63</v>
      </c>
      <c r="G115" s="4" t="s">
        <v>194</v>
      </c>
      <c r="H115" s="4"/>
      <c r="I115" s="4" t="n">
        <v>2.6879</v>
      </c>
      <c r="J115" s="4" t="str">
        <f aca="false">TRIM(E115) &amp; TRIM(C115) &amp; TRIM(D115)</f>
        <v>First ReviewBid Ecom URLCR</v>
      </c>
      <c r="K115" s="4" t="n">
        <f aca="false">IFERROR(I115*60,"")</f>
        <v>161.274</v>
      </c>
    </row>
    <row r="116" customFormat="false" ht="15" hidden="false" customHeight="false" outlineLevel="0" collapsed="false">
      <c r="A116" s="4" t="s">
        <v>15</v>
      </c>
      <c r="B116" s="4" t="s">
        <v>56</v>
      </c>
      <c r="C116" s="4" t="s">
        <v>75</v>
      </c>
      <c r="D116" s="4" t="s">
        <v>195</v>
      </c>
      <c r="E116" s="4" t="s">
        <v>63</v>
      </c>
      <c r="F116" s="4" t="s">
        <v>63</v>
      </c>
      <c r="G116" s="4" t="s">
        <v>196</v>
      </c>
      <c r="H116" s="4"/>
      <c r="I116" s="4" t="n">
        <v>5.0051</v>
      </c>
      <c r="J116" s="4" t="str">
        <f aca="false">TRIM(E116) &amp; TRIM(C116) &amp; TRIM(D116)</f>
        <v>First ReviewBid Ecom Ads GroupIT</v>
      </c>
      <c r="K116" s="4" t="n">
        <f aca="false">IFERROR(I116*60,"")</f>
        <v>300.306</v>
      </c>
    </row>
    <row r="117" customFormat="false" ht="15" hidden="false" customHeight="false" outlineLevel="0" collapsed="false">
      <c r="A117" s="4" t="s">
        <v>15</v>
      </c>
      <c r="B117" s="4" t="s">
        <v>56</v>
      </c>
      <c r="C117" s="4" t="s">
        <v>119</v>
      </c>
      <c r="D117" s="4" t="s">
        <v>197</v>
      </c>
      <c r="E117" s="4" t="s">
        <v>63</v>
      </c>
      <c r="F117" s="4" t="s">
        <v>63</v>
      </c>
      <c r="G117" s="4" t="s">
        <v>198</v>
      </c>
      <c r="H117" s="4"/>
      <c r="I117" s="4" t="n">
        <v>2.4792</v>
      </c>
      <c r="J117" s="4" t="str">
        <f aca="false">TRIM(E117) &amp; TRIM(C117) &amp; TRIM(D117)</f>
        <v>First ReviewBid Pre ApprovalGR</v>
      </c>
      <c r="K117" s="4" t="n">
        <f aca="false">IFERROR(I117*60,"")</f>
        <v>148.752</v>
      </c>
    </row>
    <row r="118" customFormat="false" ht="15" hidden="false" customHeight="false" outlineLevel="0" collapsed="false">
      <c r="A118" s="4" t="s">
        <v>15</v>
      </c>
      <c r="B118" s="4" t="s">
        <v>56</v>
      </c>
      <c r="C118" s="4" t="s">
        <v>78</v>
      </c>
      <c r="D118" s="4" t="s">
        <v>199</v>
      </c>
      <c r="E118" s="4" t="s">
        <v>63</v>
      </c>
      <c r="F118" s="4" t="s">
        <v>63</v>
      </c>
      <c r="G118" s="4" t="s">
        <v>200</v>
      </c>
      <c r="H118" s="4"/>
      <c r="I118" s="4" t="n">
        <v>0.9607</v>
      </c>
      <c r="J118" s="4" t="str">
        <f aca="false">TRIM(E118) &amp; TRIM(C118) &amp; TRIM(D118)</f>
        <v>First ReviewBid VideoBH</v>
      </c>
      <c r="K118" s="4" t="n">
        <f aca="false">IFERROR(I118*60,"")</f>
        <v>57.642</v>
      </c>
    </row>
    <row r="119" customFormat="false" ht="15" hidden="false" customHeight="false" outlineLevel="0" collapsed="false">
      <c r="A119" s="4" t="s">
        <v>15</v>
      </c>
      <c r="B119" s="4" t="s">
        <v>56</v>
      </c>
      <c r="C119" s="4" t="s">
        <v>84</v>
      </c>
      <c r="D119" s="4" t="s">
        <v>181</v>
      </c>
      <c r="E119" s="4" t="s">
        <v>63</v>
      </c>
      <c r="F119" s="4" t="s">
        <v>63</v>
      </c>
      <c r="G119" s="4" t="s">
        <v>201</v>
      </c>
      <c r="H119" s="4"/>
      <c r="I119" s="4" t="n">
        <v>1.1458</v>
      </c>
      <c r="J119" s="4" t="str">
        <f aca="false">TRIM(E119) &amp; TRIM(C119) &amp; TRIM(D119)</f>
        <v>First ReviewBid Ecom VideoLB</v>
      </c>
      <c r="K119" s="4" t="n">
        <f aca="false">IFERROR(I119*60,"")</f>
        <v>68.748</v>
      </c>
    </row>
    <row r="120" customFormat="false" ht="15" hidden="false" customHeight="false" outlineLevel="0" collapsed="false">
      <c r="A120" s="4" t="s">
        <v>15</v>
      </c>
      <c r="B120" s="4" t="s">
        <v>56</v>
      </c>
      <c r="C120" s="4" t="s">
        <v>81</v>
      </c>
      <c r="D120" s="4" t="s">
        <v>166</v>
      </c>
      <c r="E120" s="4" t="s">
        <v>63</v>
      </c>
      <c r="F120" s="4" t="s">
        <v>63</v>
      </c>
      <c r="G120" s="4" t="s">
        <v>202</v>
      </c>
      <c r="H120" s="4"/>
      <c r="I120" s="4" t="n">
        <v>1</v>
      </c>
      <c r="J120" s="4" t="str">
        <f aca="false">TRIM(E120) &amp; TRIM(C120) &amp; TRIM(D120)</f>
        <v>First ReviewBid TextCZ</v>
      </c>
      <c r="K120" s="4" t="n">
        <f aca="false">IFERROR(I120*60,"")</f>
        <v>60</v>
      </c>
    </row>
    <row r="121" customFormat="false" ht="15" hidden="false" customHeight="false" outlineLevel="0" collapsed="false">
      <c r="A121" s="4" t="s">
        <v>15</v>
      </c>
      <c r="B121" s="4" t="s">
        <v>56</v>
      </c>
      <c r="C121" s="4" t="s">
        <v>75</v>
      </c>
      <c r="D121" s="4" t="s">
        <v>203</v>
      </c>
      <c r="E121" s="4" t="s">
        <v>63</v>
      </c>
      <c r="F121" s="4" t="s">
        <v>63</v>
      </c>
      <c r="G121" s="4" t="s">
        <v>204</v>
      </c>
      <c r="H121" s="4"/>
      <c r="I121" s="4" t="n">
        <v>4.9147</v>
      </c>
      <c r="J121" s="4" t="str">
        <f aca="false">TRIM(E121) &amp; TRIM(C121) &amp; TRIM(D121)</f>
        <v>First ReviewBid Ecom Ads GroupCA</v>
      </c>
      <c r="K121" s="4" t="n">
        <f aca="false">IFERROR(I121*60,"")</f>
        <v>294.882</v>
      </c>
    </row>
    <row r="122" customFormat="false" ht="15" hidden="false" customHeight="false" outlineLevel="0" collapsed="false">
      <c r="A122" s="4" t="s">
        <v>15</v>
      </c>
      <c r="B122" s="4" t="s">
        <v>56</v>
      </c>
      <c r="C122" s="4" t="s">
        <v>69</v>
      </c>
      <c r="D122" s="4" t="s">
        <v>195</v>
      </c>
      <c r="E122" s="4" t="s">
        <v>63</v>
      </c>
      <c r="F122" s="4" t="s">
        <v>63</v>
      </c>
      <c r="G122" s="4" t="s">
        <v>205</v>
      </c>
      <c r="H122" s="4"/>
      <c r="I122" s="4" t="n">
        <v>1.2293</v>
      </c>
      <c r="J122" s="4" t="str">
        <f aca="false">TRIM(E122) &amp; TRIM(C122) &amp; TRIM(D122)</f>
        <v>First ReviewBid LinkIT</v>
      </c>
      <c r="K122" s="4" t="n">
        <f aca="false">IFERROR(I122*60,"")</f>
        <v>73.758</v>
      </c>
    </row>
    <row r="123" customFormat="false" ht="15" hidden="false" customHeight="false" outlineLevel="0" collapsed="false">
      <c r="A123" s="4" t="s">
        <v>15</v>
      </c>
      <c r="B123" s="4" t="s">
        <v>56</v>
      </c>
      <c r="C123" s="4" t="s">
        <v>57</v>
      </c>
      <c r="D123" s="4" t="s">
        <v>206</v>
      </c>
      <c r="E123" s="4" t="s">
        <v>66</v>
      </c>
      <c r="F123" s="4" t="s">
        <v>67</v>
      </c>
      <c r="G123" s="4" t="s">
        <v>207</v>
      </c>
      <c r="H123" s="4"/>
      <c r="I123" s="4" t="n">
        <v>2.9208</v>
      </c>
      <c r="J123" s="4" t="str">
        <f aca="false">TRIM(E123) &amp; TRIM(C123) &amp; TRIM(D123)</f>
        <v>Posted RecallBid Ad GroupDZ</v>
      </c>
      <c r="K123" s="4" t="n">
        <f aca="false">IFERROR(I123*60,"")</f>
        <v>175.248</v>
      </c>
    </row>
    <row r="124" customFormat="false" ht="15" hidden="false" customHeight="false" outlineLevel="0" collapsed="false">
      <c r="A124" s="4" t="s">
        <v>15</v>
      </c>
      <c r="B124" s="4" t="s">
        <v>56</v>
      </c>
      <c r="C124" s="4" t="s">
        <v>93</v>
      </c>
      <c r="D124" s="4" t="s">
        <v>208</v>
      </c>
      <c r="E124" s="4" t="s">
        <v>63</v>
      </c>
      <c r="F124" s="4" t="s">
        <v>63</v>
      </c>
      <c r="G124" s="4" t="s">
        <v>209</v>
      </c>
      <c r="H124" s="4"/>
      <c r="I124" s="4" t="n">
        <v>0.6152</v>
      </c>
      <c r="J124" s="4" t="str">
        <f aca="false">TRIM(E124) &amp; TRIM(C124) &amp; TRIM(D124)</f>
        <v>First ReviewBid AudioCO</v>
      </c>
      <c r="K124" s="4" t="n">
        <f aca="false">IFERROR(I124*60,"")</f>
        <v>36.912</v>
      </c>
    </row>
    <row r="125" customFormat="false" ht="15" hidden="false" customHeight="false" outlineLevel="0" collapsed="false">
      <c r="A125" s="4" t="s">
        <v>15</v>
      </c>
      <c r="B125" s="4" t="s">
        <v>56</v>
      </c>
      <c r="C125" s="4" t="s">
        <v>75</v>
      </c>
      <c r="D125" s="4" t="s">
        <v>162</v>
      </c>
      <c r="E125" s="4" t="s">
        <v>66</v>
      </c>
      <c r="F125" s="4" t="s">
        <v>67</v>
      </c>
      <c r="G125" s="4" t="s">
        <v>163</v>
      </c>
      <c r="H125" s="4"/>
      <c r="I125" s="4" t="n">
        <v>1.7926</v>
      </c>
      <c r="J125" s="4" t="str">
        <f aca="false">TRIM(E125) &amp; TRIM(C125) &amp; TRIM(D125)</f>
        <v>Posted RecallBid Ecom Ads GroupJO</v>
      </c>
      <c r="K125" s="4" t="n">
        <f aca="false">IFERROR(I125*60,"")</f>
        <v>107.556</v>
      </c>
    </row>
    <row r="126" customFormat="false" ht="15" hidden="false" customHeight="false" outlineLevel="0" collapsed="false">
      <c r="A126" s="4" t="s">
        <v>15</v>
      </c>
      <c r="B126" s="4" t="s">
        <v>56</v>
      </c>
      <c r="C126" s="4" t="s">
        <v>81</v>
      </c>
      <c r="D126" s="4" t="s">
        <v>210</v>
      </c>
      <c r="E126" s="4" t="s">
        <v>63</v>
      </c>
      <c r="F126" s="4" t="s">
        <v>63</v>
      </c>
      <c r="G126" s="4" t="s">
        <v>211</v>
      </c>
      <c r="H126" s="4"/>
      <c r="I126" s="4" t="n">
        <v>0.491</v>
      </c>
      <c r="J126" s="4" t="str">
        <f aca="false">TRIM(E126) &amp; TRIM(C126) &amp; TRIM(D126)</f>
        <v>First ReviewBid TextPK</v>
      </c>
      <c r="K126" s="4" t="n">
        <f aca="false">IFERROR(I126*60,"")</f>
        <v>29.46</v>
      </c>
    </row>
    <row r="127" customFormat="false" ht="15" hidden="false" customHeight="false" outlineLevel="0" collapsed="false">
      <c r="A127" s="4" t="s">
        <v>15</v>
      </c>
      <c r="B127" s="4" t="s">
        <v>56</v>
      </c>
      <c r="C127" s="4" t="s">
        <v>78</v>
      </c>
      <c r="D127" s="4" t="s">
        <v>206</v>
      </c>
      <c r="E127" s="4" t="s">
        <v>63</v>
      </c>
      <c r="F127" s="4" t="s">
        <v>63</v>
      </c>
      <c r="G127" s="4" t="s">
        <v>212</v>
      </c>
      <c r="H127" s="4"/>
      <c r="I127" s="4" t="n">
        <v>1.2265</v>
      </c>
      <c r="J127" s="4" t="str">
        <f aca="false">TRIM(E127) &amp; TRIM(C127) &amp; TRIM(D127)</f>
        <v>First ReviewBid VideoDZ</v>
      </c>
      <c r="K127" s="4" t="n">
        <f aca="false">IFERROR(I127*60,"")</f>
        <v>73.59</v>
      </c>
    </row>
    <row r="128" customFormat="false" ht="15" hidden="false" customHeight="false" outlineLevel="0" collapsed="false">
      <c r="A128" s="4" t="s">
        <v>15</v>
      </c>
      <c r="B128" s="4" t="s">
        <v>56</v>
      </c>
      <c r="C128" s="4" t="s">
        <v>93</v>
      </c>
      <c r="D128" s="4" t="s">
        <v>213</v>
      </c>
      <c r="E128" s="4" t="s">
        <v>63</v>
      </c>
      <c r="F128" s="4" t="s">
        <v>63</v>
      </c>
      <c r="G128" s="4" t="s">
        <v>214</v>
      </c>
      <c r="H128" s="4"/>
      <c r="I128" s="4" t="n">
        <v>0.472</v>
      </c>
      <c r="J128" s="4" t="str">
        <f aca="false">TRIM(E128) &amp; TRIM(C128) &amp; TRIM(D128)</f>
        <v>First ReviewBid AudioFR</v>
      </c>
      <c r="K128" s="4" t="n">
        <f aca="false">IFERROR(I128*60,"")</f>
        <v>28.32</v>
      </c>
    </row>
    <row r="129" customFormat="false" ht="15" hidden="false" customHeight="false" outlineLevel="0" collapsed="false">
      <c r="A129" s="4" t="s">
        <v>15</v>
      </c>
      <c r="B129" s="4" t="s">
        <v>56</v>
      </c>
      <c r="C129" s="4" t="s">
        <v>75</v>
      </c>
      <c r="D129" s="4" t="s">
        <v>171</v>
      </c>
      <c r="E129" s="4" t="s">
        <v>66</v>
      </c>
      <c r="F129" s="4" t="s">
        <v>67</v>
      </c>
      <c r="G129" s="4" t="s">
        <v>172</v>
      </c>
      <c r="H129" s="4"/>
      <c r="I129" s="4" t="n">
        <v>0.8137</v>
      </c>
      <c r="J129" s="4" t="str">
        <f aca="false">TRIM(E129) &amp; TRIM(C129) &amp; TRIM(D129)</f>
        <v>Posted RecallBid Ecom Ads GroupKE</v>
      </c>
      <c r="K129" s="4" t="n">
        <f aca="false">IFERROR(I129*60,"")</f>
        <v>48.822</v>
      </c>
    </row>
    <row r="130" customFormat="false" ht="15" hidden="false" customHeight="false" outlineLevel="0" collapsed="false">
      <c r="A130" s="4" t="s">
        <v>15</v>
      </c>
      <c r="B130" s="4" t="s">
        <v>56</v>
      </c>
      <c r="C130" s="4" t="s">
        <v>75</v>
      </c>
      <c r="D130" s="4" t="s">
        <v>213</v>
      </c>
      <c r="E130" s="4" t="s">
        <v>63</v>
      </c>
      <c r="F130" s="4" t="s">
        <v>63</v>
      </c>
      <c r="G130" s="4" t="s">
        <v>215</v>
      </c>
      <c r="H130" s="4"/>
      <c r="I130" s="4" t="n">
        <v>2.1633</v>
      </c>
      <c r="J130" s="4" t="str">
        <f aca="false">TRIM(E130) &amp; TRIM(C130) &amp; TRIM(D130)</f>
        <v>First ReviewBid Ecom Ads GroupFR</v>
      </c>
      <c r="K130" s="4" t="n">
        <f aca="false">IFERROR(I130*60,"")</f>
        <v>129.798</v>
      </c>
    </row>
    <row r="131" customFormat="false" ht="15" hidden="false" customHeight="false" outlineLevel="0" collapsed="false">
      <c r="A131" s="4" t="s">
        <v>15</v>
      </c>
      <c r="B131" s="4" t="s">
        <v>56</v>
      </c>
      <c r="C131" s="4" t="s">
        <v>81</v>
      </c>
      <c r="D131" s="4" t="s">
        <v>216</v>
      </c>
      <c r="E131" s="4" t="s">
        <v>63</v>
      </c>
      <c r="F131" s="4" t="s">
        <v>63</v>
      </c>
      <c r="G131" s="4" t="s">
        <v>217</v>
      </c>
      <c r="H131" s="4"/>
      <c r="I131" s="4" t="n">
        <v>0.3492</v>
      </c>
      <c r="J131" s="4" t="str">
        <f aca="false">TRIM(E131) &amp; TRIM(C131) &amp; TRIM(D131)</f>
        <v>First ReviewBid TextPY</v>
      </c>
      <c r="K131" s="4" t="n">
        <f aca="false">IFERROR(I131*60,"")</f>
        <v>20.952</v>
      </c>
    </row>
    <row r="132" customFormat="false" ht="15" hidden="false" customHeight="false" outlineLevel="0" collapsed="false">
      <c r="A132" s="4" t="s">
        <v>15</v>
      </c>
      <c r="B132" s="4" t="s">
        <v>56</v>
      </c>
      <c r="C132" s="4" t="s">
        <v>72</v>
      </c>
      <c r="D132" s="4" t="s">
        <v>178</v>
      </c>
      <c r="E132" s="4" t="s">
        <v>63</v>
      </c>
      <c r="F132" s="4" t="s">
        <v>63</v>
      </c>
      <c r="G132" s="4" t="s">
        <v>218</v>
      </c>
      <c r="H132" s="4"/>
      <c r="I132" s="4" t="n">
        <v>0.3145</v>
      </c>
      <c r="J132" s="4" t="str">
        <f aca="false">TRIM(E132) &amp; TRIM(C132) &amp; TRIM(D132)</f>
        <v>First ReviewBid ImageBO</v>
      </c>
      <c r="K132" s="4" t="n">
        <f aca="false">IFERROR(I132*60,"")</f>
        <v>18.87</v>
      </c>
    </row>
    <row r="133" customFormat="false" ht="15" hidden="false" customHeight="false" outlineLevel="0" collapsed="false">
      <c r="A133" s="4" t="s">
        <v>15</v>
      </c>
      <c r="B133" s="4" t="s">
        <v>56</v>
      </c>
      <c r="C133" s="4" t="s">
        <v>57</v>
      </c>
      <c r="D133" s="4" t="s">
        <v>117</v>
      </c>
      <c r="E133" s="4" t="s">
        <v>66</v>
      </c>
      <c r="F133" s="4" t="s">
        <v>67</v>
      </c>
      <c r="G133" s="4" t="s">
        <v>219</v>
      </c>
      <c r="H133" s="4"/>
      <c r="I133" s="4" t="n">
        <v>1.2931</v>
      </c>
      <c r="J133" s="4" t="str">
        <f aca="false">TRIM(E133) &amp; TRIM(C133) &amp; TRIM(D133)</f>
        <v>Posted RecallBid Ad GroupAR</v>
      </c>
      <c r="K133" s="4" t="n">
        <f aca="false">IFERROR(I133*60,"")</f>
        <v>77.586</v>
      </c>
    </row>
    <row r="134" customFormat="false" ht="15" hidden="false" customHeight="false" outlineLevel="0" collapsed="false">
      <c r="A134" s="4" t="s">
        <v>15</v>
      </c>
      <c r="B134" s="4" t="s">
        <v>56</v>
      </c>
      <c r="C134" s="4" t="s">
        <v>57</v>
      </c>
      <c r="D134" s="4" t="s">
        <v>95</v>
      </c>
      <c r="E134" s="4" t="s">
        <v>63</v>
      </c>
      <c r="F134" s="4" t="s">
        <v>63</v>
      </c>
      <c r="G134" s="4" t="s">
        <v>220</v>
      </c>
      <c r="H134" s="4"/>
      <c r="I134" s="4" t="n">
        <v>3.6805</v>
      </c>
      <c r="J134" s="4" t="str">
        <f aca="false">TRIM(E134) &amp; TRIM(C134) &amp; TRIM(D134)</f>
        <v>First ReviewBid Ad GroupVN</v>
      </c>
      <c r="K134" s="4" t="n">
        <f aca="false">IFERROR(I134*60,"")</f>
        <v>220.83</v>
      </c>
    </row>
    <row r="135" customFormat="false" ht="15" hidden="false" customHeight="false" outlineLevel="0" collapsed="false">
      <c r="A135" s="4" t="s">
        <v>15</v>
      </c>
      <c r="B135" s="4" t="s">
        <v>56</v>
      </c>
      <c r="C135" s="4" t="s">
        <v>57</v>
      </c>
      <c r="D135" s="4" t="s">
        <v>221</v>
      </c>
      <c r="E135" s="4" t="s">
        <v>66</v>
      </c>
      <c r="F135" s="4" t="s">
        <v>67</v>
      </c>
      <c r="G135" s="4" t="s">
        <v>222</v>
      </c>
      <c r="H135" s="4"/>
      <c r="I135" s="4" t="n">
        <v>1.632</v>
      </c>
      <c r="J135" s="4" t="str">
        <f aca="false">TRIM(E135) &amp; TRIM(C135) &amp; TRIM(D135)</f>
        <v>Posted RecallBid Ad GroupOM</v>
      </c>
      <c r="K135" s="4" t="n">
        <f aca="false">IFERROR(I135*60,"")</f>
        <v>97.92</v>
      </c>
    </row>
    <row r="136" customFormat="false" ht="15" hidden="false" customHeight="false" outlineLevel="0" collapsed="false">
      <c r="A136" s="4" t="s">
        <v>15</v>
      </c>
      <c r="B136" s="4" t="s">
        <v>56</v>
      </c>
      <c r="C136" s="4" t="s">
        <v>61</v>
      </c>
      <c r="D136" s="4" t="s">
        <v>82</v>
      </c>
      <c r="E136" s="4" t="s">
        <v>63</v>
      </c>
      <c r="F136" s="4" t="s">
        <v>63</v>
      </c>
      <c r="G136" s="4" t="s">
        <v>223</v>
      </c>
      <c r="H136" s="4"/>
      <c r="I136" s="4" t="n">
        <v>0.3129</v>
      </c>
      <c r="J136" s="4" t="str">
        <f aca="false">TRIM(E136) &amp; TRIM(C136) &amp; TRIM(D136)</f>
        <v>First ReviewBid Ecom URLKH</v>
      </c>
      <c r="K136" s="4" t="n">
        <f aca="false">IFERROR(I136*60,"")</f>
        <v>18.774</v>
      </c>
    </row>
    <row r="137" customFormat="false" ht="15" hidden="false" customHeight="false" outlineLevel="0" collapsed="false">
      <c r="A137" s="4" t="s">
        <v>15</v>
      </c>
      <c r="B137" s="4" t="s">
        <v>56</v>
      </c>
      <c r="C137" s="4" t="s">
        <v>57</v>
      </c>
      <c r="D137" s="4" t="s">
        <v>130</v>
      </c>
      <c r="E137" s="4" t="s">
        <v>66</v>
      </c>
      <c r="F137" s="4" t="s">
        <v>67</v>
      </c>
      <c r="G137" s="4" t="s">
        <v>224</v>
      </c>
      <c r="H137" s="4"/>
      <c r="I137" s="4" t="n">
        <v>1.8309</v>
      </c>
      <c r="J137" s="4" t="str">
        <f aca="false">TRIM(E137) &amp; TRIM(C137) &amp; TRIM(D137)</f>
        <v>Posted RecallBid Ad GroupMA</v>
      </c>
      <c r="K137" s="4" t="n">
        <f aca="false">IFERROR(I137*60,"")</f>
        <v>109.854</v>
      </c>
    </row>
    <row r="138" customFormat="false" ht="15" hidden="false" customHeight="false" outlineLevel="0" collapsed="false">
      <c r="A138" s="4" t="s">
        <v>15</v>
      </c>
      <c r="B138" s="4" t="s">
        <v>56</v>
      </c>
      <c r="C138" s="4" t="s">
        <v>93</v>
      </c>
      <c r="D138" s="4" t="s">
        <v>106</v>
      </c>
      <c r="E138" s="4" t="s">
        <v>63</v>
      </c>
      <c r="F138" s="4" t="s">
        <v>63</v>
      </c>
      <c r="G138" s="4" t="s">
        <v>225</v>
      </c>
      <c r="H138" s="4"/>
      <c r="I138" s="4" t="n">
        <v>0.422</v>
      </c>
      <c r="J138" s="4" t="str">
        <f aca="false">TRIM(E138) &amp; TRIM(C138) &amp; TRIM(D138)</f>
        <v>First ReviewBid AudioMY</v>
      </c>
      <c r="K138" s="4" t="n">
        <f aca="false">IFERROR(I138*60,"")</f>
        <v>25.32</v>
      </c>
    </row>
    <row r="139" customFormat="false" ht="15" hidden="false" customHeight="false" outlineLevel="0" collapsed="false">
      <c r="A139" s="4" t="s">
        <v>15</v>
      </c>
      <c r="B139" s="4" t="s">
        <v>56</v>
      </c>
      <c r="C139" s="4" t="s">
        <v>78</v>
      </c>
      <c r="D139" s="4" t="s">
        <v>221</v>
      </c>
      <c r="E139" s="4" t="s">
        <v>63</v>
      </c>
      <c r="F139" s="4" t="s">
        <v>63</v>
      </c>
      <c r="G139" s="4" t="s">
        <v>226</v>
      </c>
      <c r="H139" s="4"/>
      <c r="I139" s="4" t="n">
        <v>1.1099</v>
      </c>
      <c r="J139" s="4" t="str">
        <f aca="false">TRIM(E139) &amp; TRIM(C139) &amp; TRIM(D139)</f>
        <v>First ReviewBid VideoOM</v>
      </c>
      <c r="K139" s="4" t="n">
        <f aca="false">IFERROR(I139*60,"")</f>
        <v>66.594</v>
      </c>
    </row>
    <row r="140" customFormat="false" ht="15" hidden="false" customHeight="false" outlineLevel="0" collapsed="false">
      <c r="A140" s="4" t="s">
        <v>15</v>
      </c>
      <c r="B140" s="4" t="s">
        <v>56</v>
      </c>
      <c r="C140" s="4" t="s">
        <v>78</v>
      </c>
      <c r="D140" s="4" t="s">
        <v>203</v>
      </c>
      <c r="E140" s="4" t="s">
        <v>63</v>
      </c>
      <c r="F140" s="4" t="s">
        <v>63</v>
      </c>
      <c r="G140" s="4" t="s">
        <v>227</v>
      </c>
      <c r="H140" s="4"/>
      <c r="I140" s="4" t="n">
        <v>1.4315</v>
      </c>
      <c r="J140" s="4" t="str">
        <f aca="false">TRIM(E140) &amp; TRIM(C140) &amp; TRIM(D140)</f>
        <v>First ReviewBid VideoCA</v>
      </c>
      <c r="K140" s="4" t="n">
        <f aca="false">IFERROR(I140*60,"")</f>
        <v>85.89</v>
      </c>
    </row>
    <row r="141" customFormat="false" ht="15" hidden="false" customHeight="false" outlineLevel="0" collapsed="false">
      <c r="A141" s="4" t="s">
        <v>15</v>
      </c>
      <c r="B141" s="4" t="s">
        <v>56</v>
      </c>
      <c r="C141" s="4" t="s">
        <v>75</v>
      </c>
      <c r="D141" s="4" t="s">
        <v>97</v>
      </c>
      <c r="E141" s="4" t="s">
        <v>59</v>
      </c>
      <c r="F141" s="4" t="s">
        <v>59</v>
      </c>
      <c r="G141" s="4" t="s">
        <v>228</v>
      </c>
      <c r="H141" s="4"/>
      <c r="I141" s="4" t="n">
        <v>7.5502</v>
      </c>
      <c r="J141" s="4" t="str">
        <f aca="false">TRIM(E141) &amp; TRIM(C141) &amp; TRIM(D141)</f>
        <v>Re-reviewBid Ecom Ads GroupBR</v>
      </c>
      <c r="K141" s="4" t="n">
        <f aca="false">IFERROR(I141*60,"")</f>
        <v>453.012</v>
      </c>
    </row>
    <row r="142" customFormat="false" ht="15" hidden="false" customHeight="false" outlineLevel="0" collapsed="false">
      <c r="A142" s="4" t="s">
        <v>15</v>
      </c>
      <c r="B142" s="4" t="s">
        <v>56</v>
      </c>
      <c r="C142" s="4" t="s">
        <v>57</v>
      </c>
      <c r="D142" s="4" t="s">
        <v>102</v>
      </c>
      <c r="E142" s="4" t="s">
        <v>66</v>
      </c>
      <c r="F142" s="4" t="s">
        <v>67</v>
      </c>
      <c r="G142" s="4" t="s">
        <v>229</v>
      </c>
      <c r="H142" s="4"/>
      <c r="I142" s="4" t="n">
        <v>1.0688</v>
      </c>
      <c r="J142" s="4" t="str">
        <f aca="false">TRIM(E142) &amp; TRIM(C142) &amp; TRIM(D142)</f>
        <v>Posted RecallBid Ad GroupSE</v>
      </c>
      <c r="K142" s="4" t="n">
        <f aca="false">IFERROR(I142*60,"")</f>
        <v>64.128</v>
      </c>
    </row>
    <row r="143" customFormat="false" ht="15" hidden="false" customHeight="false" outlineLevel="0" collapsed="false">
      <c r="A143" s="4" t="s">
        <v>15</v>
      </c>
      <c r="B143" s="4" t="s">
        <v>56</v>
      </c>
      <c r="C143" s="4" t="s">
        <v>57</v>
      </c>
      <c r="D143" s="4" t="s">
        <v>159</v>
      </c>
      <c r="E143" s="4" t="s">
        <v>59</v>
      </c>
      <c r="F143" s="4" t="s">
        <v>59</v>
      </c>
      <c r="G143" s="4" t="s">
        <v>230</v>
      </c>
      <c r="H143" s="4"/>
      <c r="I143" s="4" t="n">
        <v>4.2174</v>
      </c>
      <c r="J143" s="4" t="str">
        <f aca="false">TRIM(E143) &amp; TRIM(C143) &amp; TRIM(D143)</f>
        <v>Re-reviewBid Ad GroupDO</v>
      </c>
      <c r="K143" s="4" t="n">
        <f aca="false">IFERROR(I143*60,"")</f>
        <v>253.044</v>
      </c>
    </row>
    <row r="144" customFormat="false" ht="15" hidden="false" customHeight="false" outlineLevel="0" collapsed="false">
      <c r="A144" s="4" t="s">
        <v>15</v>
      </c>
      <c r="B144" s="4" t="s">
        <v>56</v>
      </c>
      <c r="C144" s="4" t="s">
        <v>75</v>
      </c>
      <c r="D144" s="4" t="s">
        <v>231</v>
      </c>
      <c r="E144" s="4" t="s">
        <v>66</v>
      </c>
      <c r="F144" s="4" t="s">
        <v>67</v>
      </c>
      <c r="G144" s="4" t="s">
        <v>232</v>
      </c>
      <c r="H144" s="4"/>
      <c r="I144" s="4" t="n">
        <v>2.6314</v>
      </c>
      <c r="J144" s="4" t="str">
        <f aca="false">TRIM(E144) &amp; TRIM(C144) &amp; TRIM(D144)</f>
        <v>Posted RecallBid Ecom Ads GroupIL</v>
      </c>
      <c r="K144" s="4" t="n">
        <f aca="false">IFERROR(I144*60,"")</f>
        <v>157.884</v>
      </c>
    </row>
    <row r="145" customFormat="false" ht="15" hidden="false" customHeight="false" outlineLevel="0" collapsed="false">
      <c r="A145" s="4" t="s">
        <v>15</v>
      </c>
      <c r="B145" s="4" t="s">
        <v>56</v>
      </c>
      <c r="C145" s="4" t="s">
        <v>69</v>
      </c>
      <c r="D145" s="4" t="s">
        <v>154</v>
      </c>
      <c r="E145" s="4" t="s">
        <v>63</v>
      </c>
      <c r="F145" s="4" t="s">
        <v>63</v>
      </c>
      <c r="G145" s="4" t="s">
        <v>233</v>
      </c>
      <c r="H145" s="4"/>
      <c r="I145" s="4" t="n">
        <v>0.7869</v>
      </c>
      <c r="J145" s="4" t="str">
        <f aca="false">TRIM(E145) &amp; TRIM(C145) &amp; TRIM(D145)</f>
        <v>First ReviewBid LinkES</v>
      </c>
      <c r="K145" s="4" t="n">
        <f aca="false">IFERROR(I145*60,"")</f>
        <v>47.214</v>
      </c>
    </row>
    <row r="146" customFormat="false" ht="15" hidden="false" customHeight="false" outlineLevel="0" collapsed="false">
      <c r="A146" s="4" t="s">
        <v>15</v>
      </c>
      <c r="B146" s="4" t="s">
        <v>56</v>
      </c>
      <c r="C146" s="4" t="s">
        <v>78</v>
      </c>
      <c r="D146" s="4" t="s">
        <v>124</v>
      </c>
      <c r="E146" s="4" t="s">
        <v>63</v>
      </c>
      <c r="F146" s="4" t="s">
        <v>63</v>
      </c>
      <c r="G146" s="4" t="s">
        <v>234</v>
      </c>
      <c r="H146" s="4"/>
      <c r="I146" s="4" t="n">
        <v>1.8558</v>
      </c>
      <c r="J146" s="4" t="str">
        <f aca="false">TRIM(E146) &amp; TRIM(C146) &amp; TRIM(D146)</f>
        <v>First ReviewBid VideoPT</v>
      </c>
      <c r="K146" s="4" t="n">
        <f aca="false">IFERROR(I146*60,"")</f>
        <v>111.348</v>
      </c>
    </row>
    <row r="147" customFormat="false" ht="15" hidden="false" customHeight="false" outlineLevel="0" collapsed="false">
      <c r="A147" s="4" t="s">
        <v>15</v>
      </c>
      <c r="B147" s="4" t="s">
        <v>56</v>
      </c>
      <c r="C147" s="4" t="s">
        <v>78</v>
      </c>
      <c r="D147" s="4" t="s">
        <v>235</v>
      </c>
      <c r="E147" s="4" t="s">
        <v>63</v>
      </c>
      <c r="F147" s="4" t="s">
        <v>63</v>
      </c>
      <c r="G147" s="4" t="s">
        <v>236</v>
      </c>
      <c r="H147" s="4"/>
      <c r="I147" s="4" t="n">
        <v>1.8953</v>
      </c>
      <c r="J147" s="4" t="str">
        <f aca="false">TRIM(E147) &amp; TRIM(C147) &amp; TRIM(D147)</f>
        <v>First ReviewBid VideoJP</v>
      </c>
      <c r="K147" s="4" t="n">
        <f aca="false">IFERROR(I147*60,"")</f>
        <v>113.718</v>
      </c>
    </row>
    <row r="148" customFormat="false" ht="15" hidden="false" customHeight="false" outlineLevel="0" collapsed="false">
      <c r="A148" s="4" t="s">
        <v>15</v>
      </c>
      <c r="B148" s="4" t="s">
        <v>56</v>
      </c>
      <c r="C148" s="4" t="s">
        <v>75</v>
      </c>
      <c r="D148" s="4" t="s">
        <v>89</v>
      </c>
      <c r="E148" s="4" t="s">
        <v>59</v>
      </c>
      <c r="F148" s="4" t="s">
        <v>59</v>
      </c>
      <c r="G148" s="4" t="s">
        <v>177</v>
      </c>
      <c r="H148" s="4"/>
      <c r="I148" s="4" t="n">
        <v>8.8449</v>
      </c>
      <c r="J148" s="4" t="str">
        <f aca="false">TRIM(E148) &amp; TRIM(C148) &amp; TRIM(D148)</f>
        <v>Re-reviewBid Ecom Ads GroupFI</v>
      </c>
      <c r="K148" s="4" t="n">
        <f aca="false">IFERROR(I148*60,"")</f>
        <v>530.694</v>
      </c>
    </row>
    <row r="149" customFormat="false" ht="15" hidden="false" customHeight="false" outlineLevel="0" collapsed="false">
      <c r="A149" s="4" t="s">
        <v>15</v>
      </c>
      <c r="B149" s="4" t="s">
        <v>56</v>
      </c>
      <c r="C149" s="4" t="s">
        <v>119</v>
      </c>
      <c r="D149" s="4" t="s">
        <v>111</v>
      </c>
      <c r="E149" s="4" t="s">
        <v>63</v>
      </c>
      <c r="F149" s="4" t="s">
        <v>63</v>
      </c>
      <c r="G149" s="4" t="s">
        <v>237</v>
      </c>
      <c r="H149" s="4"/>
      <c r="I149" s="4" t="n">
        <v>2.0151</v>
      </c>
      <c r="J149" s="4" t="str">
        <f aca="false">TRIM(E149) &amp; TRIM(C149) &amp; TRIM(D149)</f>
        <v>First ReviewBid Pre ApprovalUS</v>
      </c>
      <c r="K149" s="4" t="n">
        <f aca="false">IFERROR(I149*60,"")</f>
        <v>120.906</v>
      </c>
    </row>
    <row r="150" customFormat="false" ht="15" hidden="false" customHeight="false" outlineLevel="0" collapsed="false">
      <c r="A150" s="4" t="s">
        <v>15</v>
      </c>
      <c r="B150" s="4" t="s">
        <v>56</v>
      </c>
      <c r="C150" s="4" t="s">
        <v>57</v>
      </c>
      <c r="D150" s="4" t="s">
        <v>238</v>
      </c>
      <c r="E150" s="4" t="s">
        <v>63</v>
      </c>
      <c r="F150" s="4" t="s">
        <v>63</v>
      </c>
      <c r="G150" s="4" t="s">
        <v>239</v>
      </c>
      <c r="H150" s="4"/>
      <c r="I150" s="4" t="n">
        <v>1.7444</v>
      </c>
      <c r="J150" s="4" t="str">
        <f aca="false">TRIM(E150) &amp; TRIM(C150) &amp; TRIM(D150)</f>
        <v>First ReviewBid Ad GroupCH</v>
      </c>
      <c r="K150" s="4" t="n">
        <f aca="false">IFERROR(I150*60,"")</f>
        <v>104.664</v>
      </c>
    </row>
    <row r="151" customFormat="false" ht="15" hidden="false" customHeight="false" outlineLevel="0" collapsed="false">
      <c r="A151" s="4" t="s">
        <v>15</v>
      </c>
      <c r="B151" s="4" t="s">
        <v>56</v>
      </c>
      <c r="C151" s="4" t="s">
        <v>81</v>
      </c>
      <c r="D151" s="4" t="s">
        <v>141</v>
      </c>
      <c r="E151" s="4" t="s">
        <v>63</v>
      </c>
      <c r="F151" s="4" t="s">
        <v>63</v>
      </c>
      <c r="G151" s="4" t="s">
        <v>240</v>
      </c>
      <c r="H151" s="4"/>
      <c r="I151" s="4" t="n">
        <v>0.1015</v>
      </c>
      <c r="J151" s="4" t="str">
        <f aca="false">TRIM(E151) &amp; TRIM(C151) &amp; TRIM(D151)</f>
        <v>First ReviewBid TextAZ</v>
      </c>
      <c r="K151" s="4" t="n">
        <f aca="false">IFERROR(I151*60,"")</f>
        <v>6.09</v>
      </c>
    </row>
    <row r="152" customFormat="false" ht="15" hidden="false" customHeight="false" outlineLevel="0" collapsed="false">
      <c r="A152" s="4" t="s">
        <v>15</v>
      </c>
      <c r="B152" s="4" t="s">
        <v>56</v>
      </c>
      <c r="C152" s="4" t="s">
        <v>69</v>
      </c>
      <c r="D152" s="4" t="s">
        <v>206</v>
      </c>
      <c r="E152" s="4" t="s">
        <v>63</v>
      </c>
      <c r="F152" s="4" t="s">
        <v>63</v>
      </c>
      <c r="G152" s="4" t="s">
        <v>241</v>
      </c>
      <c r="H152" s="4"/>
      <c r="I152" s="4" t="n">
        <v>1.1164</v>
      </c>
      <c r="J152" s="4" t="str">
        <f aca="false">TRIM(E152) &amp; TRIM(C152) &amp; TRIM(D152)</f>
        <v>First ReviewBid LinkDZ</v>
      </c>
      <c r="K152" s="4" t="n">
        <f aca="false">IFERROR(I152*60,"")</f>
        <v>66.984</v>
      </c>
    </row>
    <row r="153" customFormat="false" ht="15" hidden="false" customHeight="false" outlineLevel="0" collapsed="false">
      <c r="A153" s="4" t="s">
        <v>15</v>
      </c>
      <c r="B153" s="4" t="s">
        <v>56</v>
      </c>
      <c r="C153" s="4" t="s">
        <v>84</v>
      </c>
      <c r="D153" s="4" t="s">
        <v>206</v>
      </c>
      <c r="E153" s="4" t="s">
        <v>63</v>
      </c>
      <c r="F153" s="4" t="s">
        <v>63</v>
      </c>
      <c r="G153" s="4" t="s">
        <v>242</v>
      </c>
      <c r="H153" s="4"/>
      <c r="I153" s="4" t="n">
        <v>0.478</v>
      </c>
      <c r="J153" s="4" t="str">
        <f aca="false">TRIM(E153) &amp; TRIM(C153) &amp; TRIM(D153)</f>
        <v>First ReviewBid Ecom VideoDZ</v>
      </c>
      <c r="K153" s="4" t="n">
        <f aca="false">IFERROR(I153*60,"")</f>
        <v>28.68</v>
      </c>
    </row>
    <row r="154" customFormat="false" ht="15" hidden="false" customHeight="false" outlineLevel="0" collapsed="false">
      <c r="A154" s="4" t="s">
        <v>15</v>
      </c>
      <c r="B154" s="4" t="s">
        <v>56</v>
      </c>
      <c r="C154" s="4" t="s">
        <v>81</v>
      </c>
      <c r="D154" s="4" t="s">
        <v>243</v>
      </c>
      <c r="E154" s="4" t="s">
        <v>63</v>
      </c>
      <c r="F154" s="4" t="s">
        <v>63</v>
      </c>
      <c r="G154" s="4" t="s">
        <v>244</v>
      </c>
      <c r="H154" s="4"/>
      <c r="I154" s="4" t="n">
        <v>0.563</v>
      </c>
      <c r="J154" s="4" t="str">
        <f aca="false">TRIM(E154) &amp; TRIM(C154) &amp; TRIM(D154)</f>
        <v>First ReviewBid TextBY</v>
      </c>
      <c r="K154" s="4" t="n">
        <f aca="false">IFERROR(I154*60,"")</f>
        <v>33.78</v>
      </c>
    </row>
    <row r="155" customFormat="false" ht="15" hidden="false" customHeight="false" outlineLevel="0" collapsed="false">
      <c r="A155" s="4" t="s">
        <v>15</v>
      </c>
      <c r="B155" s="4" t="s">
        <v>56</v>
      </c>
      <c r="C155" s="4" t="s">
        <v>61</v>
      </c>
      <c r="D155" s="4" t="s">
        <v>150</v>
      </c>
      <c r="E155" s="4" t="s">
        <v>63</v>
      </c>
      <c r="F155" s="4" t="s">
        <v>63</v>
      </c>
      <c r="G155" s="4" t="s">
        <v>245</v>
      </c>
      <c r="H155" s="4"/>
      <c r="I155" s="4" t="n">
        <v>1.0297</v>
      </c>
      <c r="J155" s="4" t="str">
        <f aca="false">TRIM(E155) &amp; TRIM(C155) &amp; TRIM(D155)</f>
        <v>First ReviewBid Ecom URLDE</v>
      </c>
      <c r="K155" s="4" t="n">
        <f aca="false">IFERROR(I155*60,"")</f>
        <v>61.782</v>
      </c>
    </row>
    <row r="156" customFormat="false" ht="15" hidden="false" customHeight="false" outlineLevel="0" collapsed="false">
      <c r="A156" s="4" t="s">
        <v>15</v>
      </c>
      <c r="B156" s="4" t="s">
        <v>56</v>
      </c>
      <c r="C156" s="4" t="s">
        <v>57</v>
      </c>
      <c r="D156" s="4" t="s">
        <v>246</v>
      </c>
      <c r="E156" s="4" t="s">
        <v>59</v>
      </c>
      <c r="F156" s="4" t="s">
        <v>59</v>
      </c>
      <c r="G156" s="4" t="s">
        <v>247</v>
      </c>
      <c r="H156" s="4"/>
      <c r="I156" s="4" t="n">
        <v>7.3178</v>
      </c>
      <c r="J156" s="4" t="str">
        <f aca="false">TRIM(E156) &amp; TRIM(C156) &amp; TRIM(D156)</f>
        <v>Re-reviewBid Ad GroupLV</v>
      </c>
      <c r="K156" s="4" t="n">
        <f aca="false">IFERROR(I156*60,"")</f>
        <v>439.068</v>
      </c>
    </row>
    <row r="157" customFormat="false" ht="15" hidden="false" customHeight="false" outlineLevel="0" collapsed="false">
      <c r="A157" s="4" t="s">
        <v>15</v>
      </c>
      <c r="B157" s="4" t="s">
        <v>56</v>
      </c>
      <c r="C157" s="4" t="s">
        <v>57</v>
      </c>
      <c r="D157" s="4" t="s">
        <v>159</v>
      </c>
      <c r="E157" s="4" t="s">
        <v>66</v>
      </c>
      <c r="F157" s="4" t="s">
        <v>67</v>
      </c>
      <c r="G157" s="4" t="s">
        <v>230</v>
      </c>
      <c r="H157" s="4"/>
      <c r="I157" s="4" t="n">
        <v>1.1665</v>
      </c>
      <c r="J157" s="4" t="str">
        <f aca="false">TRIM(E157) &amp; TRIM(C157) &amp; TRIM(D157)</f>
        <v>Posted RecallBid Ad GroupDO</v>
      </c>
      <c r="K157" s="4" t="n">
        <f aca="false">IFERROR(I157*60,"")</f>
        <v>69.99</v>
      </c>
    </row>
    <row r="158" customFormat="false" ht="15" hidden="false" customHeight="false" outlineLevel="0" collapsed="false">
      <c r="A158" s="4" t="s">
        <v>15</v>
      </c>
      <c r="B158" s="4" t="s">
        <v>56</v>
      </c>
      <c r="C158" s="4" t="s">
        <v>75</v>
      </c>
      <c r="D158" s="4" t="s">
        <v>181</v>
      </c>
      <c r="E158" s="4" t="s">
        <v>66</v>
      </c>
      <c r="F158" s="4" t="s">
        <v>67</v>
      </c>
      <c r="G158" s="4" t="s">
        <v>182</v>
      </c>
      <c r="H158" s="4"/>
      <c r="I158" s="4" t="n">
        <v>3.5801</v>
      </c>
      <c r="J158" s="4" t="str">
        <f aca="false">TRIM(E158) &amp; TRIM(C158) &amp; TRIM(D158)</f>
        <v>Posted RecallBid Ecom Ads GroupLB</v>
      </c>
      <c r="K158" s="4" t="n">
        <f aca="false">IFERROR(I158*60,"")</f>
        <v>214.806</v>
      </c>
    </row>
    <row r="159" customFormat="false" ht="15" hidden="false" customHeight="false" outlineLevel="0" collapsed="false">
      <c r="A159" s="4" t="s">
        <v>15</v>
      </c>
      <c r="B159" s="4" t="s">
        <v>56</v>
      </c>
      <c r="C159" s="4" t="s">
        <v>78</v>
      </c>
      <c r="D159" s="4" t="s">
        <v>190</v>
      </c>
      <c r="E159" s="4" t="s">
        <v>63</v>
      </c>
      <c r="F159" s="4" t="s">
        <v>63</v>
      </c>
      <c r="G159" s="4" t="s">
        <v>248</v>
      </c>
      <c r="H159" s="4"/>
      <c r="I159" s="4" t="n">
        <v>0.6668</v>
      </c>
      <c r="J159" s="4" t="str">
        <f aca="false">TRIM(E159) &amp; TRIM(C159) &amp; TRIM(D159)</f>
        <v>First ReviewBid VideoPH</v>
      </c>
      <c r="K159" s="4" t="n">
        <f aca="false">IFERROR(I159*60,"")</f>
        <v>40.008</v>
      </c>
    </row>
    <row r="160" customFormat="false" ht="15" hidden="false" customHeight="false" outlineLevel="0" collapsed="false">
      <c r="A160" s="4" t="s">
        <v>15</v>
      </c>
      <c r="B160" s="4" t="s">
        <v>56</v>
      </c>
      <c r="C160" s="4" t="s">
        <v>57</v>
      </c>
      <c r="D160" s="4" t="s">
        <v>243</v>
      </c>
      <c r="E160" s="4" t="s">
        <v>66</v>
      </c>
      <c r="F160" s="4" t="s">
        <v>67</v>
      </c>
      <c r="G160" s="4" t="s">
        <v>249</v>
      </c>
      <c r="H160" s="4"/>
      <c r="I160" s="4" t="n">
        <v>2.2455</v>
      </c>
      <c r="J160" s="4" t="str">
        <f aca="false">TRIM(E160) &amp; TRIM(C160) &amp; TRIM(D160)</f>
        <v>Posted RecallBid Ad GroupBY</v>
      </c>
      <c r="K160" s="4" t="n">
        <f aca="false">IFERROR(I160*60,"")</f>
        <v>134.73</v>
      </c>
    </row>
    <row r="161" customFormat="false" ht="15" hidden="false" customHeight="false" outlineLevel="0" collapsed="false">
      <c r="A161" s="4" t="s">
        <v>15</v>
      </c>
      <c r="B161" s="4" t="s">
        <v>56</v>
      </c>
      <c r="C161" s="4" t="s">
        <v>81</v>
      </c>
      <c r="D161" s="4" t="s">
        <v>79</v>
      </c>
      <c r="E161" s="4" t="s">
        <v>63</v>
      </c>
      <c r="F161" s="4" t="s">
        <v>63</v>
      </c>
      <c r="G161" s="4" t="s">
        <v>250</v>
      </c>
      <c r="H161" s="4"/>
      <c r="I161" s="4" t="n">
        <v>0.5279</v>
      </c>
      <c r="J161" s="4" t="str">
        <f aca="false">TRIM(E161) &amp; TRIM(C161) &amp; TRIM(D161)</f>
        <v>First ReviewBid TextZA</v>
      </c>
      <c r="K161" s="4" t="n">
        <f aca="false">IFERROR(I161*60,"")</f>
        <v>31.674</v>
      </c>
    </row>
    <row r="162" customFormat="false" ht="15" hidden="false" customHeight="false" outlineLevel="0" collapsed="false">
      <c r="A162" s="4" t="s">
        <v>15</v>
      </c>
      <c r="B162" s="4" t="s">
        <v>56</v>
      </c>
      <c r="C162" s="4" t="s">
        <v>57</v>
      </c>
      <c r="D162" s="4" t="s">
        <v>251</v>
      </c>
      <c r="E162" s="4" t="s">
        <v>66</v>
      </c>
      <c r="F162" s="4" t="s">
        <v>67</v>
      </c>
      <c r="G162" s="4" t="s">
        <v>252</v>
      </c>
      <c r="H162" s="4"/>
      <c r="I162" s="4" t="n">
        <v>1.847</v>
      </c>
      <c r="J162" s="4" t="str">
        <f aca="false">TRIM(E162) &amp; TRIM(C162) &amp; TRIM(D162)</f>
        <v>Posted RecallBid Ad GroupRO</v>
      </c>
      <c r="K162" s="4" t="n">
        <f aca="false">IFERROR(I162*60,"")</f>
        <v>110.82</v>
      </c>
    </row>
    <row r="163" customFormat="false" ht="15" hidden="false" customHeight="false" outlineLevel="0" collapsed="false">
      <c r="A163" s="4" t="s">
        <v>15</v>
      </c>
      <c r="B163" s="4" t="s">
        <v>56</v>
      </c>
      <c r="C163" s="4" t="s">
        <v>119</v>
      </c>
      <c r="D163" s="4" t="s">
        <v>154</v>
      </c>
      <c r="E163" s="4" t="s">
        <v>63</v>
      </c>
      <c r="F163" s="4" t="s">
        <v>63</v>
      </c>
      <c r="G163" s="4" t="s">
        <v>253</v>
      </c>
      <c r="H163" s="4"/>
      <c r="I163" s="4" t="n">
        <v>3.659</v>
      </c>
      <c r="J163" s="4" t="str">
        <f aca="false">TRIM(E163) &amp; TRIM(C163) &amp; TRIM(D163)</f>
        <v>First ReviewBid Pre ApprovalES</v>
      </c>
      <c r="K163" s="4" t="n">
        <f aca="false">IFERROR(I163*60,"")</f>
        <v>219.54</v>
      </c>
    </row>
    <row r="164" customFormat="false" ht="15" hidden="false" customHeight="false" outlineLevel="0" collapsed="false">
      <c r="A164" s="4" t="s">
        <v>15</v>
      </c>
      <c r="B164" s="4" t="s">
        <v>56</v>
      </c>
      <c r="C164" s="4" t="s">
        <v>84</v>
      </c>
      <c r="D164" s="4" t="s">
        <v>70</v>
      </c>
      <c r="E164" s="4" t="s">
        <v>63</v>
      </c>
      <c r="F164" s="4" t="s">
        <v>63</v>
      </c>
      <c r="G164" s="4" t="s">
        <v>254</v>
      </c>
      <c r="H164" s="4"/>
      <c r="I164" s="4" t="n">
        <v>0.7488</v>
      </c>
      <c r="J164" s="4" t="str">
        <f aca="false">TRIM(E164) &amp; TRIM(C164) &amp; TRIM(D164)</f>
        <v>First ReviewBid Ecom VideoBE</v>
      </c>
      <c r="K164" s="4" t="n">
        <f aca="false">IFERROR(I164*60,"")</f>
        <v>44.928</v>
      </c>
    </row>
    <row r="165" customFormat="false" ht="15" hidden="false" customHeight="false" outlineLevel="0" collapsed="false">
      <c r="A165" s="4" t="s">
        <v>15</v>
      </c>
      <c r="B165" s="4" t="s">
        <v>56</v>
      </c>
      <c r="C165" s="4" t="s">
        <v>57</v>
      </c>
      <c r="D165" s="4" t="s">
        <v>255</v>
      </c>
      <c r="E165" s="4" t="s">
        <v>59</v>
      </c>
      <c r="F165" s="4" t="s">
        <v>59</v>
      </c>
      <c r="G165" s="4" t="s">
        <v>256</v>
      </c>
      <c r="H165" s="4"/>
      <c r="I165" s="4" t="n">
        <v>6.0118</v>
      </c>
      <c r="J165" s="4" t="str">
        <f aca="false">TRIM(E165) &amp; TRIM(C165) &amp; TRIM(D165)</f>
        <v>Re-reviewBid Ad GroupNZ</v>
      </c>
      <c r="K165" s="4" t="n">
        <f aca="false">IFERROR(I165*60,"")</f>
        <v>360.708</v>
      </c>
    </row>
    <row r="166" customFormat="false" ht="15" hidden="false" customHeight="false" outlineLevel="0" collapsed="false">
      <c r="A166" s="4" t="s">
        <v>15</v>
      </c>
      <c r="B166" s="4" t="s">
        <v>56</v>
      </c>
      <c r="C166" s="4" t="s">
        <v>75</v>
      </c>
      <c r="D166" s="4" t="s">
        <v>124</v>
      </c>
      <c r="E166" s="4" t="s">
        <v>66</v>
      </c>
      <c r="F166" s="4" t="s">
        <v>67</v>
      </c>
      <c r="G166" s="4" t="s">
        <v>257</v>
      </c>
      <c r="H166" s="4"/>
      <c r="I166" s="4" t="n">
        <v>2.4039</v>
      </c>
      <c r="J166" s="4" t="str">
        <f aca="false">TRIM(E166) &amp; TRIM(C166) &amp; TRIM(D166)</f>
        <v>Posted RecallBid Ecom Ads GroupPT</v>
      </c>
      <c r="K166" s="4" t="n">
        <f aca="false">IFERROR(I166*60,"")</f>
        <v>144.234</v>
      </c>
    </row>
    <row r="167" customFormat="false" ht="15" hidden="false" customHeight="false" outlineLevel="0" collapsed="false">
      <c r="A167" s="4" t="s">
        <v>15</v>
      </c>
      <c r="B167" s="4" t="s">
        <v>56</v>
      </c>
      <c r="C167" s="4" t="s">
        <v>78</v>
      </c>
      <c r="D167" s="4" t="s">
        <v>121</v>
      </c>
      <c r="E167" s="4" t="s">
        <v>63</v>
      </c>
      <c r="F167" s="4" t="s">
        <v>63</v>
      </c>
      <c r="G167" s="4" t="s">
        <v>258</v>
      </c>
      <c r="H167" s="4"/>
      <c r="I167" s="4" t="n">
        <v>2.0458</v>
      </c>
      <c r="J167" s="4" t="str">
        <f aca="false">TRIM(E167) &amp; TRIM(C167) &amp; TRIM(D167)</f>
        <v>First ReviewBid VideoKR</v>
      </c>
      <c r="K167" s="4" t="n">
        <f aca="false">IFERROR(I167*60,"")</f>
        <v>122.748</v>
      </c>
    </row>
    <row r="168" customFormat="false" ht="15" hidden="false" customHeight="false" outlineLevel="0" collapsed="false">
      <c r="A168" s="4" t="s">
        <v>15</v>
      </c>
      <c r="B168" s="4" t="s">
        <v>56</v>
      </c>
      <c r="C168" s="4" t="s">
        <v>75</v>
      </c>
      <c r="D168" s="4" t="s">
        <v>243</v>
      </c>
      <c r="E168" s="4" t="s">
        <v>59</v>
      </c>
      <c r="F168" s="4" t="s">
        <v>59</v>
      </c>
      <c r="G168" s="4" t="s">
        <v>259</v>
      </c>
      <c r="H168" s="4"/>
      <c r="I168" s="4" t="n">
        <v>8.1041</v>
      </c>
      <c r="J168" s="4" t="str">
        <f aca="false">TRIM(E168) &amp; TRIM(C168) &amp; TRIM(D168)</f>
        <v>Re-reviewBid Ecom Ads GroupBY</v>
      </c>
      <c r="K168" s="4" t="n">
        <f aca="false">IFERROR(I168*60,"")</f>
        <v>486.246</v>
      </c>
    </row>
    <row r="169" customFormat="false" ht="15" hidden="false" customHeight="false" outlineLevel="0" collapsed="false">
      <c r="A169" s="4" t="s">
        <v>15</v>
      </c>
      <c r="B169" s="4" t="s">
        <v>56</v>
      </c>
      <c r="C169" s="4" t="s">
        <v>75</v>
      </c>
      <c r="D169" s="4" t="s">
        <v>85</v>
      </c>
      <c r="E169" s="4" t="s">
        <v>59</v>
      </c>
      <c r="F169" s="4" t="s">
        <v>59</v>
      </c>
      <c r="G169" s="4" t="s">
        <v>260</v>
      </c>
      <c r="H169" s="4"/>
      <c r="I169" s="4" t="n">
        <v>7.9972</v>
      </c>
      <c r="J169" s="4" t="str">
        <f aca="false">TRIM(E169) &amp; TRIM(C169) &amp; TRIM(D169)</f>
        <v>Re-reviewBid Ecom Ads GroupEC</v>
      </c>
      <c r="K169" s="4" t="n">
        <f aca="false">IFERROR(I169*60,"")</f>
        <v>479.832</v>
      </c>
    </row>
    <row r="170" customFormat="false" ht="15" hidden="false" customHeight="false" outlineLevel="0" collapsed="false">
      <c r="A170" s="4" t="s">
        <v>15</v>
      </c>
      <c r="B170" s="4" t="s">
        <v>56</v>
      </c>
      <c r="C170" s="4" t="s">
        <v>75</v>
      </c>
      <c r="D170" s="4" t="s">
        <v>139</v>
      </c>
      <c r="E170" s="4" t="s">
        <v>63</v>
      </c>
      <c r="F170" s="4" t="s">
        <v>63</v>
      </c>
      <c r="G170" s="4" t="s">
        <v>261</v>
      </c>
      <c r="H170" s="4"/>
      <c r="I170" s="4" t="n">
        <v>2.5992</v>
      </c>
      <c r="J170" s="4" t="str">
        <f aca="false">TRIM(E170) &amp; TRIM(C170) &amp; TRIM(D170)</f>
        <v>First ReviewBid Ecom Ads GroupEG</v>
      </c>
      <c r="K170" s="4" t="n">
        <f aca="false">IFERROR(I170*60,"")</f>
        <v>155.952</v>
      </c>
    </row>
    <row r="171" customFormat="false" ht="15" hidden="false" customHeight="false" outlineLevel="0" collapsed="false">
      <c r="A171" s="4" t="s">
        <v>15</v>
      </c>
      <c r="B171" s="4" t="s">
        <v>56</v>
      </c>
      <c r="C171" s="4" t="s">
        <v>72</v>
      </c>
      <c r="D171" s="4" t="s">
        <v>262</v>
      </c>
      <c r="E171" s="4" t="s">
        <v>63</v>
      </c>
      <c r="F171" s="4" t="s">
        <v>63</v>
      </c>
      <c r="G171" s="4" t="s">
        <v>263</v>
      </c>
      <c r="H171" s="4"/>
      <c r="I171" s="4" t="n">
        <v>0.8399</v>
      </c>
      <c r="J171" s="4" t="str">
        <f aca="false">TRIM(E171) &amp; TRIM(C171) &amp; TRIM(D171)</f>
        <v>First ReviewBid ImageSI</v>
      </c>
      <c r="K171" s="4" t="n">
        <f aca="false">IFERROR(I171*60,"")</f>
        <v>50.394</v>
      </c>
    </row>
    <row r="172" customFormat="false" ht="15" hidden="false" customHeight="false" outlineLevel="0" collapsed="false">
      <c r="A172" s="4" t="s">
        <v>15</v>
      </c>
      <c r="B172" s="4" t="s">
        <v>56</v>
      </c>
      <c r="C172" s="4" t="s">
        <v>57</v>
      </c>
      <c r="D172" s="4" t="s">
        <v>111</v>
      </c>
      <c r="E172" s="4" t="s">
        <v>59</v>
      </c>
      <c r="F172" s="4" t="s">
        <v>59</v>
      </c>
      <c r="G172" s="4" t="s">
        <v>264</v>
      </c>
      <c r="H172" s="4"/>
      <c r="I172" s="4" t="n">
        <v>6.2876</v>
      </c>
      <c r="J172" s="4" t="str">
        <f aca="false">TRIM(E172) &amp; TRIM(C172) &amp; TRIM(D172)</f>
        <v>Re-reviewBid Ad GroupUS</v>
      </c>
      <c r="K172" s="4" t="n">
        <f aca="false">IFERROR(I172*60,"")</f>
        <v>377.256</v>
      </c>
    </row>
    <row r="173" customFormat="false" ht="15" hidden="false" customHeight="false" outlineLevel="0" collapsed="false">
      <c r="A173" s="4" t="s">
        <v>15</v>
      </c>
      <c r="B173" s="4" t="s">
        <v>56</v>
      </c>
      <c r="C173" s="4" t="s">
        <v>78</v>
      </c>
      <c r="D173" s="4" t="s">
        <v>265</v>
      </c>
      <c r="E173" s="4" t="s">
        <v>63</v>
      </c>
      <c r="F173" s="4" t="s">
        <v>63</v>
      </c>
      <c r="G173" s="4" t="s">
        <v>266</v>
      </c>
      <c r="H173" s="4"/>
      <c r="I173" s="4" t="n">
        <v>1.1435</v>
      </c>
      <c r="J173" s="4" t="str">
        <f aca="false">TRIM(E173) &amp; TRIM(C173) &amp; TRIM(D173)</f>
        <v>First ReviewBid VideoNO</v>
      </c>
      <c r="K173" s="4" t="n">
        <f aca="false">IFERROR(I173*60,"")</f>
        <v>68.61</v>
      </c>
    </row>
    <row r="174" customFormat="false" ht="15" hidden="false" customHeight="false" outlineLevel="0" collapsed="false">
      <c r="A174" s="4" t="s">
        <v>15</v>
      </c>
      <c r="B174" s="4" t="s">
        <v>56</v>
      </c>
      <c r="C174" s="4" t="s">
        <v>93</v>
      </c>
      <c r="D174" s="4" t="s">
        <v>267</v>
      </c>
      <c r="E174" s="4" t="s">
        <v>63</v>
      </c>
      <c r="F174" s="4" t="s">
        <v>63</v>
      </c>
      <c r="G174" s="4" t="s">
        <v>268</v>
      </c>
      <c r="H174" s="4"/>
      <c r="I174" s="4" t="n">
        <v>0.7574</v>
      </c>
      <c r="J174" s="4" t="str">
        <f aca="false">TRIM(E174) &amp; TRIM(C174) &amp; TRIM(D174)</f>
        <v>First ReviewBid AudioID</v>
      </c>
      <c r="K174" s="4" t="n">
        <f aca="false">IFERROR(I174*60,"")</f>
        <v>45.444</v>
      </c>
    </row>
    <row r="175" customFormat="false" ht="15" hidden="false" customHeight="false" outlineLevel="0" collapsed="false">
      <c r="A175" s="4" t="s">
        <v>15</v>
      </c>
      <c r="B175" s="4" t="s">
        <v>56</v>
      </c>
      <c r="C175" s="4" t="s">
        <v>75</v>
      </c>
      <c r="D175" s="4" t="s">
        <v>73</v>
      </c>
      <c r="E175" s="4" t="s">
        <v>66</v>
      </c>
      <c r="F175" s="4" t="s">
        <v>67</v>
      </c>
      <c r="G175" s="4" t="s">
        <v>183</v>
      </c>
      <c r="H175" s="4"/>
      <c r="I175" s="4" t="n">
        <v>3.6302</v>
      </c>
      <c r="J175" s="4" t="str">
        <f aca="false">TRIM(E175) &amp; TRIM(C175) &amp; TRIM(D175)</f>
        <v>Posted RecallBid Ecom Ads GroupIQ</v>
      </c>
      <c r="K175" s="4" t="n">
        <f aca="false">IFERROR(I175*60,"")</f>
        <v>217.812</v>
      </c>
    </row>
    <row r="176" customFormat="false" ht="15" hidden="false" customHeight="false" outlineLevel="0" collapsed="false">
      <c r="A176" s="4" t="s">
        <v>15</v>
      </c>
      <c r="B176" s="4" t="s">
        <v>56</v>
      </c>
      <c r="C176" s="4" t="s">
        <v>57</v>
      </c>
      <c r="D176" s="4" t="s">
        <v>168</v>
      </c>
      <c r="E176" s="4" t="s">
        <v>59</v>
      </c>
      <c r="F176" s="4" t="s">
        <v>59</v>
      </c>
      <c r="G176" s="4" t="s">
        <v>269</v>
      </c>
      <c r="H176" s="4"/>
      <c r="I176" s="4" t="n">
        <v>13.5887</v>
      </c>
      <c r="J176" s="4" t="str">
        <f aca="false">TRIM(E176) &amp; TRIM(C176) &amp; TRIM(D176)</f>
        <v>Re-reviewBid Ad GroupKZ</v>
      </c>
      <c r="K176" s="4" t="n">
        <f aca="false">IFERROR(I176*60,"")</f>
        <v>815.322</v>
      </c>
    </row>
    <row r="177" customFormat="false" ht="15" hidden="false" customHeight="false" outlineLevel="0" collapsed="false">
      <c r="A177" s="4" t="s">
        <v>15</v>
      </c>
      <c r="B177" s="4" t="s">
        <v>56</v>
      </c>
      <c r="C177" s="4" t="s">
        <v>75</v>
      </c>
      <c r="D177" s="4" t="s">
        <v>210</v>
      </c>
      <c r="E177" s="4" t="s">
        <v>66</v>
      </c>
      <c r="F177" s="4" t="s">
        <v>67</v>
      </c>
      <c r="G177" s="4" t="s">
        <v>270</v>
      </c>
      <c r="H177" s="4"/>
      <c r="I177" s="4" t="n">
        <v>3.2789</v>
      </c>
      <c r="J177" s="4" t="str">
        <f aca="false">TRIM(E177) &amp; TRIM(C177) &amp; TRIM(D177)</f>
        <v>Posted RecallBid Ecom Ads GroupPK</v>
      </c>
      <c r="K177" s="4" t="n">
        <f aca="false">IFERROR(I177*60,"")</f>
        <v>196.734</v>
      </c>
    </row>
    <row r="178" customFormat="false" ht="15" hidden="false" customHeight="false" outlineLevel="0" collapsed="false">
      <c r="A178" s="4" t="s">
        <v>15</v>
      </c>
      <c r="B178" s="4" t="s">
        <v>56</v>
      </c>
      <c r="C178" s="4" t="s">
        <v>57</v>
      </c>
      <c r="D178" s="4" t="s">
        <v>251</v>
      </c>
      <c r="E178" s="4" t="s">
        <v>59</v>
      </c>
      <c r="F178" s="4" t="s">
        <v>59</v>
      </c>
      <c r="G178" s="4" t="s">
        <v>252</v>
      </c>
      <c r="H178" s="4"/>
      <c r="I178" s="4" t="n">
        <v>9.4161</v>
      </c>
      <c r="J178" s="4" t="str">
        <f aca="false">TRIM(E178) &amp; TRIM(C178) &amp; TRIM(D178)</f>
        <v>Re-reviewBid Ad GroupRO</v>
      </c>
      <c r="K178" s="4" t="n">
        <f aca="false">IFERROR(I178*60,"")</f>
        <v>564.966</v>
      </c>
    </row>
    <row r="179" customFormat="false" ht="15" hidden="false" customHeight="false" outlineLevel="0" collapsed="false">
      <c r="A179" s="4" t="s">
        <v>15</v>
      </c>
      <c r="B179" s="4" t="s">
        <v>56</v>
      </c>
      <c r="C179" s="4" t="s">
        <v>57</v>
      </c>
      <c r="D179" s="4" t="s">
        <v>271</v>
      </c>
      <c r="E179" s="4" t="s">
        <v>66</v>
      </c>
      <c r="F179" s="4" t="s">
        <v>67</v>
      </c>
      <c r="G179" s="4" t="s">
        <v>272</v>
      </c>
      <c r="H179" s="4"/>
      <c r="I179" s="4" t="n">
        <v>2.3792</v>
      </c>
      <c r="J179" s="4" t="str">
        <f aca="false">TRIM(E179) &amp; TRIM(C179) &amp; TRIM(D179)</f>
        <v>Posted RecallBid Ad GroupKW</v>
      </c>
      <c r="K179" s="4" t="n">
        <f aca="false">IFERROR(I179*60,"")</f>
        <v>142.752</v>
      </c>
    </row>
    <row r="180" customFormat="false" ht="15" hidden="false" customHeight="false" outlineLevel="0" collapsed="false">
      <c r="A180" s="4" t="s">
        <v>15</v>
      </c>
      <c r="B180" s="4" t="s">
        <v>56</v>
      </c>
      <c r="C180" s="4" t="s">
        <v>57</v>
      </c>
      <c r="D180" s="4" t="s">
        <v>111</v>
      </c>
      <c r="E180" s="4" t="s">
        <v>66</v>
      </c>
      <c r="F180" s="4" t="s">
        <v>67</v>
      </c>
      <c r="G180" s="4" t="s">
        <v>264</v>
      </c>
      <c r="H180" s="4"/>
      <c r="I180" s="4" t="n">
        <v>1.8041</v>
      </c>
      <c r="J180" s="4" t="str">
        <f aca="false">TRIM(E180) &amp; TRIM(C180) &amp; TRIM(D180)</f>
        <v>Posted RecallBid Ad GroupUS</v>
      </c>
      <c r="K180" s="4" t="n">
        <f aca="false">IFERROR(I180*60,"")</f>
        <v>108.246</v>
      </c>
    </row>
    <row r="181" customFormat="false" ht="15" hidden="false" customHeight="false" outlineLevel="0" collapsed="false">
      <c r="A181" s="4" t="s">
        <v>15</v>
      </c>
      <c r="B181" s="4" t="s">
        <v>56</v>
      </c>
      <c r="C181" s="4" t="s">
        <v>84</v>
      </c>
      <c r="D181" s="4" t="s">
        <v>126</v>
      </c>
      <c r="E181" s="4" t="s">
        <v>63</v>
      </c>
      <c r="F181" s="4" t="s">
        <v>63</v>
      </c>
      <c r="G181" s="4" t="s">
        <v>273</v>
      </c>
      <c r="H181" s="4"/>
      <c r="I181" s="4" t="n">
        <v>1.1466</v>
      </c>
      <c r="J181" s="4" t="str">
        <f aca="false">TRIM(E181) &amp; TRIM(C181) &amp; TRIM(D181)</f>
        <v>First ReviewBid Ecom VideoMX</v>
      </c>
      <c r="K181" s="4" t="n">
        <f aca="false">IFERROR(I181*60,"")</f>
        <v>68.796</v>
      </c>
    </row>
    <row r="182" customFormat="false" ht="15" hidden="false" customHeight="false" outlineLevel="0" collapsed="false">
      <c r="A182" s="4" t="s">
        <v>15</v>
      </c>
      <c r="B182" s="4" t="s">
        <v>56</v>
      </c>
      <c r="C182" s="4" t="s">
        <v>78</v>
      </c>
      <c r="D182" s="4" t="s">
        <v>87</v>
      </c>
      <c r="E182" s="4" t="s">
        <v>63</v>
      </c>
      <c r="F182" s="4" t="s">
        <v>63</v>
      </c>
      <c r="G182" s="4" t="s">
        <v>274</v>
      </c>
      <c r="H182" s="4"/>
      <c r="I182" s="4" t="n">
        <v>0.8832</v>
      </c>
      <c r="J182" s="4" t="str">
        <f aca="false">TRIM(E182) &amp; TRIM(C182) &amp; TRIM(D182)</f>
        <v>First ReviewBid VideoAE</v>
      </c>
      <c r="K182" s="4" t="n">
        <f aca="false">IFERROR(I182*60,"")</f>
        <v>52.992</v>
      </c>
    </row>
    <row r="183" customFormat="false" ht="15" hidden="false" customHeight="false" outlineLevel="0" collapsed="false">
      <c r="A183" s="4" t="s">
        <v>15</v>
      </c>
      <c r="B183" s="4" t="s">
        <v>56</v>
      </c>
      <c r="C183" s="4" t="s">
        <v>75</v>
      </c>
      <c r="D183" s="4" t="s">
        <v>275</v>
      </c>
      <c r="E183" s="4" t="s">
        <v>66</v>
      </c>
      <c r="F183" s="4" t="s">
        <v>67</v>
      </c>
      <c r="G183" s="4" t="s">
        <v>276</v>
      </c>
      <c r="H183" s="4"/>
      <c r="I183" s="4" t="n">
        <v>1.9106</v>
      </c>
      <c r="J183" s="4" t="str">
        <f aca="false">TRIM(E183) &amp; TRIM(C183) &amp; TRIM(D183)</f>
        <v>Posted RecallBid Ecom Ads GroupGB</v>
      </c>
      <c r="K183" s="4" t="n">
        <f aca="false">IFERROR(I183*60,"")</f>
        <v>114.636</v>
      </c>
    </row>
    <row r="184" customFormat="false" ht="15" hidden="false" customHeight="false" outlineLevel="0" collapsed="false">
      <c r="A184" s="4" t="s">
        <v>15</v>
      </c>
      <c r="B184" s="4" t="s">
        <v>56</v>
      </c>
      <c r="C184" s="4" t="s">
        <v>57</v>
      </c>
      <c r="D184" s="4" t="s">
        <v>210</v>
      </c>
      <c r="E184" s="4" t="s">
        <v>63</v>
      </c>
      <c r="F184" s="4" t="s">
        <v>63</v>
      </c>
      <c r="G184" s="4" t="s">
        <v>277</v>
      </c>
      <c r="H184" s="4"/>
      <c r="I184" s="4" t="n">
        <v>1.9095</v>
      </c>
      <c r="J184" s="4" t="str">
        <f aca="false">TRIM(E184) &amp; TRIM(C184) &amp; TRIM(D184)</f>
        <v>First ReviewBid Ad GroupPK</v>
      </c>
      <c r="K184" s="4" t="n">
        <f aca="false">IFERROR(I184*60,"")</f>
        <v>114.57</v>
      </c>
    </row>
    <row r="185" customFormat="false" ht="15" hidden="false" customHeight="false" outlineLevel="0" collapsed="false">
      <c r="A185" s="4" t="s">
        <v>15</v>
      </c>
      <c r="B185" s="4" t="s">
        <v>56</v>
      </c>
      <c r="C185" s="4" t="s">
        <v>72</v>
      </c>
      <c r="D185" s="4" t="s">
        <v>208</v>
      </c>
      <c r="E185" s="4" t="s">
        <v>63</v>
      </c>
      <c r="F185" s="4" t="s">
        <v>63</v>
      </c>
      <c r="G185" s="4" t="s">
        <v>278</v>
      </c>
      <c r="H185" s="4"/>
      <c r="I185" s="4" t="n">
        <v>0.2592</v>
      </c>
      <c r="J185" s="4" t="str">
        <f aca="false">TRIM(E185) &amp; TRIM(C185) &amp; TRIM(D185)</f>
        <v>First ReviewBid ImageCO</v>
      </c>
      <c r="K185" s="4" t="n">
        <f aca="false">IFERROR(I185*60,"")</f>
        <v>15.552</v>
      </c>
    </row>
    <row r="186" customFormat="false" ht="15" hidden="false" customHeight="false" outlineLevel="0" collapsed="false">
      <c r="A186" s="4" t="s">
        <v>15</v>
      </c>
      <c r="B186" s="4" t="s">
        <v>56</v>
      </c>
      <c r="C186" s="4" t="s">
        <v>57</v>
      </c>
      <c r="D186" s="4" t="s">
        <v>235</v>
      </c>
      <c r="E186" s="4" t="s">
        <v>66</v>
      </c>
      <c r="F186" s="4" t="s">
        <v>67</v>
      </c>
      <c r="G186" s="4" t="s">
        <v>279</v>
      </c>
      <c r="H186" s="4"/>
      <c r="I186" s="4" t="n">
        <v>1.6774</v>
      </c>
      <c r="J186" s="4" t="str">
        <f aca="false">TRIM(E186) &amp; TRIM(C186) &amp; TRIM(D186)</f>
        <v>Posted RecallBid Ad GroupJP</v>
      </c>
      <c r="K186" s="4" t="n">
        <f aca="false">IFERROR(I186*60,"")</f>
        <v>100.644</v>
      </c>
    </row>
    <row r="187" customFormat="false" ht="15" hidden="false" customHeight="false" outlineLevel="0" collapsed="false">
      <c r="A187" s="4" t="s">
        <v>15</v>
      </c>
      <c r="B187" s="4" t="s">
        <v>56</v>
      </c>
      <c r="C187" s="4" t="s">
        <v>61</v>
      </c>
      <c r="D187" s="4" t="s">
        <v>89</v>
      </c>
      <c r="E187" s="4" t="s">
        <v>63</v>
      </c>
      <c r="F187" s="4" t="s">
        <v>63</v>
      </c>
      <c r="G187" s="4" t="s">
        <v>280</v>
      </c>
      <c r="H187" s="4"/>
      <c r="I187" s="4" t="n">
        <v>2.7902</v>
      </c>
      <c r="J187" s="4" t="str">
        <f aca="false">TRIM(E187) &amp; TRIM(C187) &amp; TRIM(D187)</f>
        <v>First ReviewBid Ecom URLFI</v>
      </c>
      <c r="K187" s="4" t="n">
        <f aca="false">IFERROR(I187*60,"")</f>
        <v>167.412</v>
      </c>
    </row>
    <row r="188" customFormat="false" ht="15" hidden="false" customHeight="false" outlineLevel="0" collapsed="false">
      <c r="A188" s="4" t="s">
        <v>15</v>
      </c>
      <c r="B188" s="4" t="s">
        <v>56</v>
      </c>
      <c r="C188" s="4" t="s">
        <v>119</v>
      </c>
      <c r="D188" s="4" t="s">
        <v>106</v>
      </c>
      <c r="E188" s="4" t="s">
        <v>63</v>
      </c>
      <c r="F188" s="4" t="s">
        <v>63</v>
      </c>
      <c r="G188" s="4" t="s">
        <v>281</v>
      </c>
      <c r="H188" s="4"/>
      <c r="I188" s="4" t="n">
        <v>3.1007</v>
      </c>
      <c r="J188" s="4" t="str">
        <f aca="false">TRIM(E188) &amp; TRIM(C188) &amp; TRIM(D188)</f>
        <v>First ReviewBid Pre ApprovalMY</v>
      </c>
      <c r="K188" s="4" t="n">
        <f aca="false">IFERROR(I188*60,"")</f>
        <v>186.042</v>
      </c>
    </row>
    <row r="189" customFormat="false" ht="15" hidden="false" customHeight="false" outlineLevel="0" collapsed="false">
      <c r="A189" s="4" t="s">
        <v>15</v>
      </c>
      <c r="B189" s="4" t="s">
        <v>56</v>
      </c>
      <c r="C189" s="4" t="s">
        <v>81</v>
      </c>
      <c r="D189" s="4" t="s">
        <v>76</v>
      </c>
      <c r="E189" s="4" t="s">
        <v>63</v>
      </c>
      <c r="F189" s="4" t="s">
        <v>63</v>
      </c>
      <c r="G189" s="4" t="s">
        <v>282</v>
      </c>
      <c r="H189" s="4"/>
      <c r="I189" s="4" t="n">
        <v>0.7309</v>
      </c>
      <c r="J189" s="4" t="str">
        <f aca="false">TRIM(E189) &amp; TRIM(C189) &amp; TRIM(D189)</f>
        <v>First ReviewBid TextLT</v>
      </c>
      <c r="K189" s="4" t="n">
        <f aca="false">IFERROR(I189*60,"")</f>
        <v>43.854</v>
      </c>
    </row>
    <row r="190" customFormat="false" ht="15" hidden="false" customHeight="false" outlineLevel="0" collapsed="false">
      <c r="A190" s="4" t="s">
        <v>15</v>
      </c>
      <c r="B190" s="4" t="s">
        <v>56</v>
      </c>
      <c r="C190" s="4" t="s">
        <v>75</v>
      </c>
      <c r="D190" s="4" t="s">
        <v>154</v>
      </c>
      <c r="E190" s="4" t="s">
        <v>63</v>
      </c>
      <c r="F190" s="4" t="s">
        <v>63</v>
      </c>
      <c r="G190" s="4" t="s">
        <v>283</v>
      </c>
      <c r="H190" s="4"/>
      <c r="I190" s="4" t="n">
        <v>4.7645</v>
      </c>
      <c r="J190" s="4" t="str">
        <f aca="false">TRIM(E190) &amp; TRIM(C190) &amp; TRIM(D190)</f>
        <v>First ReviewBid Ecom Ads GroupES</v>
      </c>
      <c r="K190" s="4" t="n">
        <f aca="false">IFERROR(I190*60,"")</f>
        <v>285.87</v>
      </c>
    </row>
    <row r="191" customFormat="false" ht="15" hidden="false" customHeight="false" outlineLevel="0" collapsed="false">
      <c r="A191" s="4" t="s">
        <v>15</v>
      </c>
      <c r="B191" s="4" t="s">
        <v>56</v>
      </c>
      <c r="C191" s="4" t="s">
        <v>72</v>
      </c>
      <c r="D191" s="4" t="s">
        <v>284</v>
      </c>
      <c r="E191" s="4" t="s">
        <v>63</v>
      </c>
      <c r="F191" s="4" t="s">
        <v>63</v>
      </c>
      <c r="G191" s="4" t="s">
        <v>285</v>
      </c>
      <c r="H191" s="4"/>
      <c r="I191" s="4" t="n">
        <v>0.5974</v>
      </c>
      <c r="J191" s="4" t="str">
        <f aca="false">TRIM(E191) &amp; TRIM(C191) &amp; TRIM(D191)</f>
        <v>First ReviewBid ImageTR</v>
      </c>
      <c r="K191" s="4" t="n">
        <f aca="false">IFERROR(I191*60,"")</f>
        <v>35.844</v>
      </c>
    </row>
    <row r="192" customFormat="false" ht="15" hidden="false" customHeight="false" outlineLevel="0" collapsed="false">
      <c r="A192" s="4" t="s">
        <v>15</v>
      </c>
      <c r="B192" s="4" t="s">
        <v>56</v>
      </c>
      <c r="C192" s="4" t="s">
        <v>84</v>
      </c>
      <c r="D192" s="4" t="s">
        <v>62</v>
      </c>
      <c r="E192" s="4" t="s">
        <v>63</v>
      </c>
      <c r="F192" s="4" t="s">
        <v>63</v>
      </c>
      <c r="G192" s="4" t="s">
        <v>286</v>
      </c>
      <c r="H192" s="4"/>
      <c r="I192" s="4" t="n">
        <v>1.6356</v>
      </c>
      <c r="J192" s="4" t="str">
        <f aca="false">TRIM(E192) &amp; TRIM(C192) &amp; TRIM(D192)</f>
        <v>First ReviewBid Ecom VideoCL</v>
      </c>
      <c r="K192" s="4" t="n">
        <f aca="false">IFERROR(I192*60,"")</f>
        <v>98.136</v>
      </c>
    </row>
    <row r="193" customFormat="false" ht="15" hidden="false" customHeight="false" outlineLevel="0" collapsed="false">
      <c r="A193" s="4" t="s">
        <v>15</v>
      </c>
      <c r="B193" s="4" t="s">
        <v>56</v>
      </c>
      <c r="C193" s="4" t="s">
        <v>119</v>
      </c>
      <c r="D193" s="4" t="s">
        <v>255</v>
      </c>
      <c r="E193" s="4" t="s">
        <v>63</v>
      </c>
      <c r="F193" s="4" t="s">
        <v>63</v>
      </c>
      <c r="G193" s="4" t="s">
        <v>287</v>
      </c>
      <c r="H193" s="4"/>
      <c r="I193" s="4" t="n">
        <v>7.5584</v>
      </c>
      <c r="J193" s="4" t="str">
        <f aca="false">TRIM(E193) &amp; TRIM(C193) &amp; TRIM(D193)</f>
        <v>First ReviewBid Pre ApprovalNZ</v>
      </c>
      <c r="K193" s="4" t="n">
        <f aca="false">IFERROR(I193*60,"")</f>
        <v>453.504</v>
      </c>
    </row>
    <row r="194" customFormat="false" ht="15" hidden="false" customHeight="false" outlineLevel="0" collapsed="false">
      <c r="A194" s="4" t="s">
        <v>15</v>
      </c>
      <c r="B194" s="4" t="s">
        <v>56</v>
      </c>
      <c r="C194" s="4" t="s">
        <v>75</v>
      </c>
      <c r="D194" s="4" t="s">
        <v>238</v>
      </c>
      <c r="E194" s="4" t="s">
        <v>63</v>
      </c>
      <c r="F194" s="4" t="s">
        <v>63</v>
      </c>
      <c r="G194" s="4" t="s">
        <v>288</v>
      </c>
      <c r="H194" s="4"/>
      <c r="I194" s="4" t="n">
        <v>1.8614</v>
      </c>
      <c r="J194" s="4" t="str">
        <f aca="false">TRIM(E194) &amp; TRIM(C194) &amp; TRIM(D194)</f>
        <v>First ReviewBid Ecom Ads GroupCH</v>
      </c>
      <c r="K194" s="4" t="n">
        <f aca="false">IFERROR(I194*60,"")</f>
        <v>111.684</v>
      </c>
    </row>
    <row r="195" customFormat="false" ht="15" hidden="false" customHeight="false" outlineLevel="0" collapsed="false">
      <c r="A195" s="4" t="s">
        <v>15</v>
      </c>
      <c r="B195" s="4" t="s">
        <v>56</v>
      </c>
      <c r="C195" s="4" t="s">
        <v>57</v>
      </c>
      <c r="D195" s="4" t="s">
        <v>289</v>
      </c>
      <c r="E195" s="4" t="s">
        <v>59</v>
      </c>
      <c r="F195" s="4" t="s">
        <v>59</v>
      </c>
      <c r="G195" s="4" t="s">
        <v>290</v>
      </c>
      <c r="H195" s="4"/>
      <c r="I195" s="4" t="n">
        <v>0.7848</v>
      </c>
      <c r="J195" s="4" t="str">
        <f aca="false">TRIM(E195) &amp; TRIM(C195) &amp; TRIM(D195)</f>
        <v>Re-reviewBid Ad GroupLK</v>
      </c>
      <c r="K195" s="4" t="n">
        <f aca="false">IFERROR(I195*60,"")</f>
        <v>47.088</v>
      </c>
    </row>
    <row r="196" customFormat="false" ht="15" hidden="false" customHeight="false" outlineLevel="0" collapsed="false">
      <c r="A196" s="4" t="s">
        <v>15</v>
      </c>
      <c r="B196" s="4" t="s">
        <v>56</v>
      </c>
      <c r="C196" s="4" t="s">
        <v>84</v>
      </c>
      <c r="D196" s="4" t="s">
        <v>73</v>
      </c>
      <c r="E196" s="4" t="s">
        <v>63</v>
      </c>
      <c r="F196" s="4" t="s">
        <v>63</v>
      </c>
      <c r="G196" s="4" t="s">
        <v>291</v>
      </c>
      <c r="H196" s="4"/>
      <c r="I196" s="4" t="n">
        <v>0.853</v>
      </c>
      <c r="J196" s="4" t="str">
        <f aca="false">TRIM(E196) &amp; TRIM(C196) &amp; TRIM(D196)</f>
        <v>First ReviewBid Ecom VideoIQ</v>
      </c>
      <c r="K196" s="4" t="n">
        <f aca="false">IFERROR(I196*60,"")</f>
        <v>51.18</v>
      </c>
    </row>
    <row r="197" customFormat="false" ht="15" hidden="false" customHeight="false" outlineLevel="0" collapsed="false">
      <c r="A197" s="4" t="s">
        <v>15</v>
      </c>
      <c r="B197" s="4" t="s">
        <v>56</v>
      </c>
      <c r="C197" s="4" t="s">
        <v>57</v>
      </c>
      <c r="D197" s="4" t="s">
        <v>292</v>
      </c>
      <c r="E197" s="4" t="s">
        <v>63</v>
      </c>
      <c r="F197" s="4" t="s">
        <v>63</v>
      </c>
      <c r="G197" s="4" t="s">
        <v>293</v>
      </c>
      <c r="H197" s="4"/>
      <c r="I197" s="4" t="n">
        <v>1.5253</v>
      </c>
      <c r="J197" s="4" t="str">
        <f aca="false">TRIM(E197) &amp; TRIM(C197) &amp; TRIM(D197)</f>
        <v>First ReviewBid Ad GroupOTHERS</v>
      </c>
      <c r="K197" s="4" t="n">
        <f aca="false">IFERROR(I197*60,"")</f>
        <v>91.518</v>
      </c>
    </row>
    <row r="198" customFormat="false" ht="15" hidden="false" customHeight="false" outlineLevel="0" collapsed="false">
      <c r="A198" s="4" t="s">
        <v>15</v>
      </c>
      <c r="B198" s="4" t="s">
        <v>56</v>
      </c>
      <c r="C198" s="4" t="s">
        <v>57</v>
      </c>
      <c r="D198" s="4" t="s">
        <v>136</v>
      </c>
      <c r="E198" s="4" t="s">
        <v>66</v>
      </c>
      <c r="F198" s="4" t="s">
        <v>67</v>
      </c>
      <c r="G198" s="4" t="s">
        <v>294</v>
      </c>
      <c r="H198" s="4"/>
      <c r="I198" s="4" t="n">
        <v>1.3294</v>
      </c>
      <c r="J198" s="4" t="str">
        <f aca="false">TRIM(E198) &amp; TRIM(C198) &amp; TRIM(D198)</f>
        <v>Posted RecallBid Ad GroupPE</v>
      </c>
      <c r="K198" s="4" t="n">
        <f aca="false">IFERROR(I198*60,"")</f>
        <v>79.764</v>
      </c>
    </row>
    <row r="199" customFormat="false" ht="15" hidden="false" customHeight="false" outlineLevel="0" collapsed="false">
      <c r="A199" s="4" t="s">
        <v>15</v>
      </c>
      <c r="B199" s="4" t="s">
        <v>56</v>
      </c>
      <c r="C199" s="4" t="s">
        <v>78</v>
      </c>
      <c r="D199" s="4" t="s">
        <v>238</v>
      </c>
      <c r="E199" s="4" t="s">
        <v>63</v>
      </c>
      <c r="F199" s="4" t="s">
        <v>63</v>
      </c>
      <c r="G199" s="4" t="s">
        <v>295</v>
      </c>
      <c r="H199" s="4"/>
      <c r="I199" s="4" t="n">
        <v>1.8318</v>
      </c>
      <c r="J199" s="4" t="str">
        <f aca="false">TRIM(E199) &amp; TRIM(C199) &amp; TRIM(D199)</f>
        <v>First ReviewBid VideoCH</v>
      </c>
      <c r="K199" s="4" t="n">
        <f aca="false">IFERROR(I199*60,"")</f>
        <v>109.908</v>
      </c>
    </row>
    <row r="200" customFormat="false" ht="15" hidden="false" customHeight="false" outlineLevel="0" collapsed="false">
      <c r="A200" s="4" t="s">
        <v>15</v>
      </c>
      <c r="B200" s="4" t="s">
        <v>56</v>
      </c>
      <c r="C200" s="4" t="s">
        <v>75</v>
      </c>
      <c r="D200" s="4" t="s">
        <v>130</v>
      </c>
      <c r="E200" s="4" t="s">
        <v>59</v>
      </c>
      <c r="F200" s="4" t="s">
        <v>59</v>
      </c>
      <c r="G200" s="4" t="s">
        <v>296</v>
      </c>
      <c r="H200" s="4"/>
      <c r="I200" s="4" t="n">
        <v>8.0589</v>
      </c>
      <c r="J200" s="4" t="str">
        <f aca="false">TRIM(E200) &amp; TRIM(C200) &amp; TRIM(D200)</f>
        <v>Re-reviewBid Ecom Ads GroupMA</v>
      </c>
      <c r="K200" s="4" t="n">
        <f aca="false">IFERROR(I200*60,"")</f>
        <v>483.534</v>
      </c>
    </row>
    <row r="201" customFormat="false" ht="15" hidden="false" customHeight="false" outlineLevel="0" collapsed="false">
      <c r="A201" s="4" t="s">
        <v>15</v>
      </c>
      <c r="B201" s="4" t="s">
        <v>56</v>
      </c>
      <c r="C201" s="4" t="s">
        <v>75</v>
      </c>
      <c r="D201" s="4" t="s">
        <v>190</v>
      </c>
      <c r="E201" s="4" t="s">
        <v>59</v>
      </c>
      <c r="F201" s="4" t="s">
        <v>59</v>
      </c>
      <c r="G201" s="4" t="s">
        <v>297</v>
      </c>
      <c r="H201" s="4"/>
      <c r="I201" s="4" t="n">
        <v>1.6151</v>
      </c>
      <c r="J201" s="4" t="str">
        <f aca="false">TRIM(E201) &amp; TRIM(C201) &amp; TRIM(D201)</f>
        <v>Re-reviewBid Ecom Ads GroupPH</v>
      </c>
      <c r="K201" s="4" t="n">
        <f aca="false">IFERROR(I201*60,"")</f>
        <v>96.906</v>
      </c>
    </row>
    <row r="202" customFormat="false" ht="15" hidden="false" customHeight="false" outlineLevel="0" collapsed="false">
      <c r="A202" s="4" t="s">
        <v>15</v>
      </c>
      <c r="B202" s="4" t="s">
        <v>56</v>
      </c>
      <c r="C202" s="4" t="s">
        <v>84</v>
      </c>
      <c r="D202" s="4" t="s">
        <v>178</v>
      </c>
      <c r="E202" s="4" t="s">
        <v>63</v>
      </c>
      <c r="F202" s="4" t="s">
        <v>63</v>
      </c>
      <c r="G202" s="4" t="s">
        <v>298</v>
      </c>
      <c r="H202" s="4"/>
      <c r="I202" s="4" t="n">
        <v>1.2907</v>
      </c>
      <c r="J202" s="4" t="str">
        <f aca="false">TRIM(E202) &amp; TRIM(C202) &amp; TRIM(D202)</f>
        <v>First ReviewBid Ecom VideoBO</v>
      </c>
      <c r="K202" s="4" t="n">
        <f aca="false">IFERROR(I202*60,"")</f>
        <v>77.442</v>
      </c>
    </row>
    <row r="203" customFormat="false" ht="15" hidden="false" customHeight="false" outlineLevel="0" collapsed="false">
      <c r="A203" s="4" t="s">
        <v>15</v>
      </c>
      <c r="B203" s="4" t="s">
        <v>56</v>
      </c>
      <c r="C203" s="4" t="s">
        <v>57</v>
      </c>
      <c r="D203" s="4" t="s">
        <v>299</v>
      </c>
      <c r="E203" s="4" t="s">
        <v>63</v>
      </c>
      <c r="F203" s="4" t="s">
        <v>63</v>
      </c>
      <c r="G203" s="4" t="s">
        <v>300</v>
      </c>
      <c r="H203" s="4"/>
      <c r="I203" s="4" t="n">
        <v>1.6586</v>
      </c>
      <c r="J203" s="4" t="str">
        <f aca="false">TRIM(E203) &amp; TRIM(C203) &amp; TRIM(D203)</f>
        <v>First ReviewBid Ad GroupQA</v>
      </c>
      <c r="K203" s="4" t="n">
        <f aca="false">IFERROR(I203*60,"")</f>
        <v>99.516</v>
      </c>
    </row>
    <row r="204" customFormat="false" ht="15" hidden="false" customHeight="false" outlineLevel="0" collapsed="false">
      <c r="A204" s="4" t="s">
        <v>15</v>
      </c>
      <c r="B204" s="4" t="s">
        <v>56</v>
      </c>
      <c r="C204" s="4" t="s">
        <v>72</v>
      </c>
      <c r="D204" s="4" t="s">
        <v>106</v>
      </c>
      <c r="E204" s="4" t="s">
        <v>63</v>
      </c>
      <c r="F204" s="4" t="s">
        <v>63</v>
      </c>
      <c r="G204" s="4" t="s">
        <v>301</v>
      </c>
      <c r="H204" s="4"/>
      <c r="I204" s="4" t="n">
        <v>0.3185</v>
      </c>
      <c r="J204" s="4" t="str">
        <f aca="false">TRIM(E204) &amp; TRIM(C204) &amp; TRIM(D204)</f>
        <v>First ReviewBid ImageMY</v>
      </c>
      <c r="K204" s="4" t="n">
        <f aca="false">IFERROR(I204*60,"")</f>
        <v>19.11</v>
      </c>
    </row>
    <row r="205" customFormat="false" ht="15" hidden="false" customHeight="false" outlineLevel="0" collapsed="false">
      <c r="A205" s="4" t="s">
        <v>15</v>
      </c>
      <c r="B205" s="4" t="s">
        <v>56</v>
      </c>
      <c r="C205" s="4" t="s">
        <v>57</v>
      </c>
      <c r="D205" s="4" t="s">
        <v>203</v>
      </c>
      <c r="E205" s="4" t="s">
        <v>66</v>
      </c>
      <c r="F205" s="4" t="s">
        <v>67</v>
      </c>
      <c r="G205" s="4" t="s">
        <v>302</v>
      </c>
      <c r="H205" s="4"/>
      <c r="I205" s="4" t="n">
        <v>2.82</v>
      </c>
      <c r="J205" s="4" t="str">
        <f aca="false">TRIM(E205) &amp; TRIM(C205) &amp; TRIM(D205)</f>
        <v>Posted RecallBid Ad GroupCA</v>
      </c>
      <c r="K205" s="4" t="n">
        <f aca="false">IFERROR(I205*60,"")</f>
        <v>169.2</v>
      </c>
    </row>
    <row r="206" customFormat="false" ht="15" hidden="false" customHeight="false" outlineLevel="0" collapsed="false">
      <c r="A206" s="4" t="s">
        <v>15</v>
      </c>
      <c r="B206" s="4" t="s">
        <v>56</v>
      </c>
      <c r="C206" s="4" t="s">
        <v>75</v>
      </c>
      <c r="D206" s="4" t="s">
        <v>255</v>
      </c>
      <c r="E206" s="4" t="s">
        <v>63</v>
      </c>
      <c r="F206" s="4" t="s">
        <v>63</v>
      </c>
      <c r="G206" s="4" t="s">
        <v>303</v>
      </c>
      <c r="H206" s="4"/>
      <c r="I206" s="4" t="n">
        <v>2.8663</v>
      </c>
      <c r="J206" s="4" t="str">
        <f aca="false">TRIM(E206) &amp; TRIM(C206) &amp; TRIM(D206)</f>
        <v>First ReviewBid Ecom Ads GroupNZ</v>
      </c>
      <c r="K206" s="4" t="n">
        <f aca="false">IFERROR(I206*60,"")</f>
        <v>171.978</v>
      </c>
    </row>
    <row r="207" customFormat="false" ht="15" hidden="false" customHeight="false" outlineLevel="0" collapsed="false">
      <c r="A207" s="4" t="s">
        <v>15</v>
      </c>
      <c r="B207" s="4" t="s">
        <v>56</v>
      </c>
      <c r="C207" s="4" t="s">
        <v>69</v>
      </c>
      <c r="D207" s="4" t="s">
        <v>255</v>
      </c>
      <c r="E207" s="4" t="s">
        <v>63</v>
      </c>
      <c r="F207" s="4" t="s">
        <v>63</v>
      </c>
      <c r="G207" s="4" t="s">
        <v>304</v>
      </c>
      <c r="H207" s="4"/>
      <c r="I207" s="4" t="n">
        <v>0.8986</v>
      </c>
      <c r="J207" s="4" t="str">
        <f aca="false">TRIM(E207) &amp; TRIM(C207) &amp; TRIM(D207)</f>
        <v>First ReviewBid LinkNZ</v>
      </c>
      <c r="K207" s="4" t="n">
        <f aca="false">IFERROR(I207*60,"")</f>
        <v>53.916</v>
      </c>
    </row>
    <row r="208" customFormat="false" ht="15" hidden="false" customHeight="false" outlineLevel="0" collapsed="false">
      <c r="A208" s="4" t="s">
        <v>15</v>
      </c>
      <c r="B208" s="4" t="s">
        <v>56</v>
      </c>
      <c r="C208" s="4" t="s">
        <v>78</v>
      </c>
      <c r="D208" s="4" t="s">
        <v>168</v>
      </c>
      <c r="E208" s="4" t="s">
        <v>63</v>
      </c>
      <c r="F208" s="4" t="s">
        <v>63</v>
      </c>
      <c r="G208" s="4" t="s">
        <v>305</v>
      </c>
      <c r="H208" s="4"/>
      <c r="I208" s="4" t="n">
        <v>1.513</v>
      </c>
      <c r="J208" s="4" t="str">
        <f aca="false">TRIM(E208) &amp; TRIM(C208) &amp; TRIM(D208)</f>
        <v>First ReviewBid VideoKZ</v>
      </c>
      <c r="K208" s="4" t="n">
        <f aca="false">IFERROR(I208*60,"")</f>
        <v>90.78</v>
      </c>
    </row>
    <row r="209" customFormat="false" ht="15" hidden="false" customHeight="false" outlineLevel="0" collapsed="false">
      <c r="A209" s="4" t="s">
        <v>15</v>
      </c>
      <c r="B209" s="4" t="s">
        <v>56</v>
      </c>
      <c r="C209" s="4" t="s">
        <v>119</v>
      </c>
      <c r="D209" s="4" t="s">
        <v>306</v>
      </c>
      <c r="E209" s="4" t="s">
        <v>63</v>
      </c>
      <c r="F209" s="4" t="s">
        <v>63</v>
      </c>
      <c r="G209" s="4" t="s">
        <v>307</v>
      </c>
      <c r="H209" s="4"/>
      <c r="I209" s="4" t="n">
        <v>1.0963</v>
      </c>
      <c r="J209" s="4" t="str">
        <f aca="false">TRIM(E209) &amp; TRIM(C209) &amp; TRIM(D209)</f>
        <v>First ReviewBid Pre ApprovalTH</v>
      </c>
      <c r="K209" s="4" t="n">
        <f aca="false">IFERROR(I209*60,"")</f>
        <v>65.778</v>
      </c>
    </row>
    <row r="210" customFormat="false" ht="15" hidden="false" customHeight="false" outlineLevel="0" collapsed="false">
      <c r="A210" s="4" t="s">
        <v>15</v>
      </c>
      <c r="B210" s="4" t="s">
        <v>56</v>
      </c>
      <c r="C210" s="4" t="s">
        <v>57</v>
      </c>
      <c r="D210" s="4" t="s">
        <v>91</v>
      </c>
      <c r="E210" s="4" t="s">
        <v>59</v>
      </c>
      <c r="F210" s="4" t="s">
        <v>59</v>
      </c>
      <c r="G210" s="4" t="s">
        <v>92</v>
      </c>
      <c r="H210" s="4"/>
      <c r="I210" s="4" t="n">
        <v>6.5937</v>
      </c>
      <c r="J210" s="4" t="str">
        <f aca="false">TRIM(E210) &amp; TRIM(C210) &amp; TRIM(D210)</f>
        <v>Re-reviewBid Ad GroupHR</v>
      </c>
      <c r="K210" s="4" t="n">
        <f aca="false">IFERROR(I210*60,"")</f>
        <v>395.622</v>
      </c>
    </row>
    <row r="211" customFormat="false" ht="15" hidden="false" customHeight="false" outlineLevel="0" collapsed="false">
      <c r="A211" s="4" t="s">
        <v>15</v>
      </c>
      <c r="B211" s="4" t="s">
        <v>56</v>
      </c>
      <c r="C211" s="4" t="s">
        <v>93</v>
      </c>
      <c r="D211" s="4" t="s">
        <v>308</v>
      </c>
      <c r="E211" s="4" t="s">
        <v>63</v>
      </c>
      <c r="F211" s="4" t="s">
        <v>63</v>
      </c>
      <c r="G211" s="4" t="s">
        <v>309</v>
      </c>
      <c r="H211" s="4"/>
      <c r="I211" s="4" t="n">
        <v>1.929</v>
      </c>
      <c r="J211" s="4" t="str">
        <f aca="false">TRIM(E211) &amp; TRIM(C211) &amp; TRIM(D211)</f>
        <v>First ReviewBid AudioPL</v>
      </c>
      <c r="K211" s="4" t="n">
        <f aca="false">IFERROR(I211*60,"")</f>
        <v>115.74</v>
      </c>
    </row>
    <row r="212" customFormat="false" ht="15" hidden="false" customHeight="false" outlineLevel="0" collapsed="false">
      <c r="A212" s="4" t="s">
        <v>15</v>
      </c>
      <c r="B212" s="4" t="s">
        <v>56</v>
      </c>
      <c r="C212" s="4" t="s">
        <v>72</v>
      </c>
      <c r="D212" s="4" t="s">
        <v>310</v>
      </c>
      <c r="E212" s="4" t="s">
        <v>63</v>
      </c>
      <c r="F212" s="4" t="s">
        <v>63</v>
      </c>
      <c r="G212" s="4" t="s">
        <v>311</v>
      </c>
      <c r="H212" s="4"/>
      <c r="I212" s="4" t="n">
        <v>0.2659</v>
      </c>
      <c r="J212" s="4" t="str">
        <f aca="false">TRIM(E212) &amp; TRIM(C212) &amp; TRIM(D212)</f>
        <v>First ReviewBid ImageUY</v>
      </c>
      <c r="K212" s="4" t="n">
        <f aca="false">IFERROR(I212*60,"")</f>
        <v>15.954</v>
      </c>
    </row>
    <row r="213" customFormat="false" ht="15" hidden="false" customHeight="false" outlineLevel="0" collapsed="false">
      <c r="A213" s="4" t="s">
        <v>15</v>
      </c>
      <c r="B213" s="4" t="s">
        <v>56</v>
      </c>
      <c r="C213" s="4" t="s">
        <v>81</v>
      </c>
      <c r="D213" s="4" t="s">
        <v>65</v>
      </c>
      <c r="E213" s="4" t="s">
        <v>63</v>
      </c>
      <c r="F213" s="4" t="s">
        <v>63</v>
      </c>
      <c r="G213" s="4" t="s">
        <v>312</v>
      </c>
      <c r="H213" s="4"/>
      <c r="I213" s="4" t="n">
        <v>0.9399</v>
      </c>
      <c r="J213" s="4" t="str">
        <f aca="false">TRIM(E213) &amp; TRIM(C213) &amp; TRIM(D213)</f>
        <v>First ReviewBid TextEE</v>
      </c>
      <c r="K213" s="4" t="n">
        <f aca="false">IFERROR(I213*60,"")</f>
        <v>56.394</v>
      </c>
    </row>
    <row r="214" customFormat="false" ht="15" hidden="false" customHeight="false" outlineLevel="0" collapsed="false">
      <c r="A214" s="4" t="s">
        <v>15</v>
      </c>
      <c r="B214" s="4" t="s">
        <v>56</v>
      </c>
      <c r="C214" s="4" t="s">
        <v>84</v>
      </c>
      <c r="D214" s="4" t="s">
        <v>102</v>
      </c>
      <c r="E214" s="4" t="s">
        <v>63</v>
      </c>
      <c r="F214" s="4" t="s">
        <v>63</v>
      </c>
      <c r="G214" s="4" t="s">
        <v>313</v>
      </c>
      <c r="H214" s="4"/>
      <c r="I214" s="4" t="n">
        <v>4.021</v>
      </c>
      <c r="J214" s="4" t="str">
        <f aca="false">TRIM(E214) &amp; TRIM(C214) &amp; TRIM(D214)</f>
        <v>First ReviewBid Ecom VideoSE</v>
      </c>
      <c r="K214" s="4" t="n">
        <f aca="false">IFERROR(I214*60,"")</f>
        <v>241.26</v>
      </c>
    </row>
    <row r="215" customFormat="false" ht="15" hidden="false" customHeight="false" outlineLevel="0" collapsed="false">
      <c r="A215" s="4" t="s">
        <v>15</v>
      </c>
      <c r="B215" s="4" t="s">
        <v>56</v>
      </c>
      <c r="C215" s="4" t="s">
        <v>69</v>
      </c>
      <c r="D215" s="4" t="s">
        <v>58</v>
      </c>
      <c r="E215" s="4" t="s">
        <v>63</v>
      </c>
      <c r="F215" s="4" t="s">
        <v>63</v>
      </c>
      <c r="G215" s="4" t="s">
        <v>314</v>
      </c>
      <c r="H215" s="4"/>
      <c r="I215" s="4" t="n">
        <v>0.851</v>
      </c>
      <c r="J215" s="4" t="str">
        <f aca="false">TRIM(E215) &amp; TRIM(C215) &amp; TRIM(D215)</f>
        <v>First ReviewBid LinkSG</v>
      </c>
      <c r="K215" s="4" t="n">
        <f aca="false">IFERROR(I215*60,"")</f>
        <v>51.06</v>
      </c>
    </row>
    <row r="216" customFormat="false" ht="15" hidden="false" customHeight="false" outlineLevel="0" collapsed="false">
      <c r="A216" s="4" t="s">
        <v>15</v>
      </c>
      <c r="B216" s="4" t="s">
        <v>56</v>
      </c>
      <c r="C216" s="4" t="s">
        <v>81</v>
      </c>
      <c r="D216" s="4" t="s">
        <v>58</v>
      </c>
      <c r="E216" s="4" t="s">
        <v>63</v>
      </c>
      <c r="F216" s="4" t="s">
        <v>63</v>
      </c>
      <c r="G216" s="4" t="s">
        <v>315</v>
      </c>
      <c r="H216" s="4"/>
      <c r="I216" s="4" t="n">
        <v>0.2648</v>
      </c>
      <c r="J216" s="4" t="str">
        <f aca="false">TRIM(E216) &amp; TRIM(C216) &amp; TRIM(D216)</f>
        <v>First ReviewBid TextSG</v>
      </c>
      <c r="K216" s="4" t="n">
        <f aca="false">IFERROR(I216*60,"")</f>
        <v>15.888</v>
      </c>
    </row>
    <row r="217" customFormat="false" ht="15" hidden="false" customHeight="false" outlineLevel="0" collapsed="false">
      <c r="A217" s="4" t="s">
        <v>15</v>
      </c>
      <c r="B217" s="4" t="s">
        <v>56</v>
      </c>
      <c r="C217" s="4" t="s">
        <v>78</v>
      </c>
      <c r="D217" s="4" t="s">
        <v>154</v>
      </c>
      <c r="E217" s="4" t="s">
        <v>63</v>
      </c>
      <c r="F217" s="4" t="s">
        <v>63</v>
      </c>
      <c r="G217" s="4" t="s">
        <v>316</v>
      </c>
      <c r="H217" s="4"/>
      <c r="I217" s="4" t="n">
        <v>1.9249</v>
      </c>
      <c r="J217" s="4" t="str">
        <f aca="false">TRIM(E217) &amp; TRIM(C217) &amp; TRIM(D217)</f>
        <v>First ReviewBid VideoES</v>
      </c>
      <c r="K217" s="4" t="n">
        <f aca="false">IFERROR(I217*60,"")</f>
        <v>115.494</v>
      </c>
    </row>
    <row r="218" customFormat="false" ht="15" hidden="false" customHeight="false" outlineLevel="0" collapsed="false">
      <c r="A218" s="4" t="s">
        <v>15</v>
      </c>
      <c r="B218" s="4" t="s">
        <v>56</v>
      </c>
      <c r="C218" s="4" t="s">
        <v>78</v>
      </c>
      <c r="D218" s="4" t="s">
        <v>89</v>
      </c>
      <c r="E218" s="4" t="s">
        <v>63</v>
      </c>
      <c r="F218" s="4" t="s">
        <v>63</v>
      </c>
      <c r="G218" s="4" t="s">
        <v>317</v>
      </c>
      <c r="H218" s="4"/>
      <c r="I218" s="4" t="n">
        <v>1.8807</v>
      </c>
      <c r="J218" s="4" t="str">
        <f aca="false">TRIM(E218) &amp; TRIM(C218) &amp; TRIM(D218)</f>
        <v>First ReviewBid VideoFI</v>
      </c>
      <c r="K218" s="4" t="n">
        <f aca="false">IFERROR(I218*60,"")</f>
        <v>112.842</v>
      </c>
    </row>
    <row r="219" customFormat="false" ht="15" hidden="false" customHeight="false" outlineLevel="0" collapsed="false">
      <c r="A219" s="4" t="s">
        <v>15</v>
      </c>
      <c r="B219" s="4" t="s">
        <v>56</v>
      </c>
      <c r="C219" s="4" t="s">
        <v>84</v>
      </c>
      <c r="D219" s="4" t="s">
        <v>221</v>
      </c>
      <c r="E219" s="4" t="s">
        <v>63</v>
      </c>
      <c r="F219" s="4" t="s">
        <v>63</v>
      </c>
      <c r="G219" s="4" t="s">
        <v>318</v>
      </c>
      <c r="H219" s="4"/>
      <c r="I219" s="4" t="n">
        <v>1.0956</v>
      </c>
      <c r="J219" s="4" t="str">
        <f aca="false">TRIM(E219) &amp; TRIM(C219) &amp; TRIM(D219)</f>
        <v>First ReviewBid Ecom VideoOM</v>
      </c>
      <c r="K219" s="4" t="n">
        <f aca="false">IFERROR(I219*60,"")</f>
        <v>65.736</v>
      </c>
    </row>
    <row r="220" customFormat="false" ht="15" hidden="false" customHeight="false" outlineLevel="0" collapsed="false">
      <c r="A220" s="4" t="s">
        <v>15</v>
      </c>
      <c r="B220" s="4" t="s">
        <v>56</v>
      </c>
      <c r="C220" s="4" t="s">
        <v>75</v>
      </c>
      <c r="D220" s="4" t="s">
        <v>319</v>
      </c>
      <c r="E220" s="4" t="s">
        <v>59</v>
      </c>
      <c r="F220" s="4" t="s">
        <v>59</v>
      </c>
      <c r="G220" s="4" t="s">
        <v>320</v>
      </c>
      <c r="H220" s="4"/>
      <c r="I220" s="4" t="n">
        <v>14.3747</v>
      </c>
      <c r="J220" s="4" t="str">
        <f aca="false">TRIM(E220) &amp; TRIM(C220) &amp; TRIM(D220)</f>
        <v>Re-reviewBid Ecom Ads GroupSK</v>
      </c>
      <c r="K220" s="4" t="n">
        <f aca="false">IFERROR(I220*60,"")</f>
        <v>862.482</v>
      </c>
    </row>
    <row r="221" customFormat="false" ht="15" hidden="false" customHeight="false" outlineLevel="0" collapsed="false">
      <c r="A221" s="4" t="s">
        <v>15</v>
      </c>
      <c r="B221" s="4" t="s">
        <v>56</v>
      </c>
      <c r="C221" s="4" t="s">
        <v>75</v>
      </c>
      <c r="D221" s="4" t="s">
        <v>251</v>
      </c>
      <c r="E221" s="4" t="s">
        <v>63</v>
      </c>
      <c r="F221" s="4" t="s">
        <v>63</v>
      </c>
      <c r="G221" s="4" t="s">
        <v>321</v>
      </c>
      <c r="H221" s="4"/>
      <c r="I221" s="4" t="n">
        <v>3.3158</v>
      </c>
      <c r="J221" s="4" t="str">
        <f aca="false">TRIM(E221) &amp; TRIM(C221) &amp; TRIM(D221)</f>
        <v>First ReviewBid Ecom Ads GroupRO</v>
      </c>
      <c r="K221" s="4" t="n">
        <f aca="false">IFERROR(I221*60,"")</f>
        <v>198.948</v>
      </c>
    </row>
    <row r="222" customFormat="false" ht="15" hidden="false" customHeight="false" outlineLevel="0" collapsed="false">
      <c r="A222" s="4" t="s">
        <v>15</v>
      </c>
      <c r="B222" s="4" t="s">
        <v>56</v>
      </c>
      <c r="C222" s="4" t="s">
        <v>57</v>
      </c>
      <c r="D222" s="4" t="s">
        <v>246</v>
      </c>
      <c r="E222" s="4" t="s">
        <v>63</v>
      </c>
      <c r="F222" s="4" t="s">
        <v>63</v>
      </c>
      <c r="G222" s="4" t="s">
        <v>247</v>
      </c>
      <c r="H222" s="4"/>
      <c r="I222" s="4" t="n">
        <v>3.1749</v>
      </c>
      <c r="J222" s="4" t="str">
        <f aca="false">TRIM(E222) &amp; TRIM(C222) &amp; TRIM(D222)</f>
        <v>First ReviewBid Ad GroupLV</v>
      </c>
      <c r="K222" s="4" t="n">
        <f aca="false">IFERROR(I222*60,"")</f>
        <v>190.494</v>
      </c>
    </row>
    <row r="223" customFormat="false" ht="15" hidden="false" customHeight="false" outlineLevel="0" collapsed="false">
      <c r="A223" s="4" t="s">
        <v>15</v>
      </c>
      <c r="B223" s="4" t="s">
        <v>56</v>
      </c>
      <c r="C223" s="4" t="s">
        <v>69</v>
      </c>
      <c r="D223" s="4" t="s">
        <v>306</v>
      </c>
      <c r="E223" s="4" t="s">
        <v>63</v>
      </c>
      <c r="F223" s="4" t="s">
        <v>63</v>
      </c>
      <c r="G223" s="4" t="s">
        <v>322</v>
      </c>
      <c r="H223" s="4"/>
      <c r="I223" s="4" t="n">
        <v>0.4652</v>
      </c>
      <c r="J223" s="4" t="str">
        <f aca="false">TRIM(E223) &amp; TRIM(C223) &amp; TRIM(D223)</f>
        <v>First ReviewBid LinkTH</v>
      </c>
      <c r="K223" s="4" t="n">
        <f aca="false">IFERROR(I223*60,"")</f>
        <v>27.912</v>
      </c>
    </row>
    <row r="224" customFormat="false" ht="15" hidden="false" customHeight="false" outlineLevel="0" collapsed="false">
      <c r="A224" s="4" t="s">
        <v>15</v>
      </c>
      <c r="B224" s="4" t="s">
        <v>56</v>
      </c>
      <c r="C224" s="4" t="s">
        <v>57</v>
      </c>
      <c r="D224" s="4" t="s">
        <v>284</v>
      </c>
      <c r="E224" s="4" t="s">
        <v>66</v>
      </c>
      <c r="F224" s="4" t="s">
        <v>67</v>
      </c>
      <c r="G224" s="4" t="s">
        <v>323</v>
      </c>
      <c r="H224" s="4"/>
      <c r="I224" s="4" t="n">
        <v>1.4285</v>
      </c>
      <c r="J224" s="4" t="str">
        <f aca="false">TRIM(E224) &amp; TRIM(C224) &amp; TRIM(D224)</f>
        <v>Posted RecallBid Ad GroupTR</v>
      </c>
      <c r="K224" s="4" t="n">
        <f aca="false">IFERROR(I224*60,"")</f>
        <v>85.71</v>
      </c>
    </row>
    <row r="225" customFormat="false" ht="15" hidden="false" customHeight="false" outlineLevel="0" collapsed="false">
      <c r="A225" s="4" t="s">
        <v>15</v>
      </c>
      <c r="B225" s="4" t="s">
        <v>56</v>
      </c>
      <c r="C225" s="4" t="s">
        <v>61</v>
      </c>
      <c r="D225" s="4" t="s">
        <v>85</v>
      </c>
      <c r="E225" s="4" t="s">
        <v>63</v>
      </c>
      <c r="F225" s="4" t="s">
        <v>63</v>
      </c>
      <c r="G225" s="4" t="s">
        <v>324</v>
      </c>
      <c r="H225" s="4"/>
      <c r="I225" s="4" t="n">
        <v>1.6759</v>
      </c>
      <c r="J225" s="4" t="str">
        <f aca="false">TRIM(E225) &amp; TRIM(C225) &amp; TRIM(D225)</f>
        <v>First ReviewBid Ecom URLEC</v>
      </c>
      <c r="K225" s="4" t="n">
        <f aca="false">IFERROR(I225*60,"")</f>
        <v>100.554</v>
      </c>
    </row>
    <row r="226" customFormat="false" ht="15" hidden="false" customHeight="false" outlineLevel="0" collapsed="false">
      <c r="A226" s="4" t="s">
        <v>15</v>
      </c>
      <c r="B226" s="4" t="s">
        <v>56</v>
      </c>
      <c r="C226" s="4" t="s">
        <v>57</v>
      </c>
      <c r="D226" s="4" t="s">
        <v>275</v>
      </c>
      <c r="E226" s="4" t="s">
        <v>66</v>
      </c>
      <c r="F226" s="4" t="s">
        <v>67</v>
      </c>
      <c r="G226" s="4" t="s">
        <v>325</v>
      </c>
      <c r="H226" s="4"/>
      <c r="I226" s="4" t="n">
        <v>1.9858</v>
      </c>
      <c r="J226" s="4" t="str">
        <f aca="false">TRIM(E226) &amp; TRIM(C226) &amp; TRIM(D226)</f>
        <v>Posted RecallBid Ad GroupGB</v>
      </c>
      <c r="K226" s="4" t="n">
        <f aca="false">IFERROR(I226*60,"")</f>
        <v>119.148</v>
      </c>
    </row>
    <row r="227" customFormat="false" ht="15" hidden="false" customHeight="false" outlineLevel="0" collapsed="false">
      <c r="A227" s="4" t="s">
        <v>15</v>
      </c>
      <c r="B227" s="4" t="s">
        <v>56</v>
      </c>
      <c r="C227" s="4" t="s">
        <v>78</v>
      </c>
      <c r="D227" s="4" t="s">
        <v>130</v>
      </c>
      <c r="E227" s="4" t="s">
        <v>63</v>
      </c>
      <c r="F227" s="4" t="s">
        <v>63</v>
      </c>
      <c r="G227" s="4" t="s">
        <v>326</v>
      </c>
      <c r="H227" s="4"/>
      <c r="I227" s="4" t="n">
        <v>1.0739</v>
      </c>
      <c r="J227" s="4" t="str">
        <f aca="false">TRIM(E227) &amp; TRIM(C227) &amp; TRIM(D227)</f>
        <v>First ReviewBid VideoMA</v>
      </c>
      <c r="K227" s="4" t="n">
        <f aca="false">IFERROR(I227*60,"")</f>
        <v>64.434</v>
      </c>
    </row>
    <row r="228" customFormat="false" ht="15" hidden="false" customHeight="false" outlineLevel="0" collapsed="false">
      <c r="A228" s="4" t="s">
        <v>15</v>
      </c>
      <c r="B228" s="4" t="s">
        <v>56</v>
      </c>
      <c r="C228" s="4" t="s">
        <v>61</v>
      </c>
      <c r="D228" s="4" t="s">
        <v>284</v>
      </c>
      <c r="E228" s="4" t="s">
        <v>63</v>
      </c>
      <c r="F228" s="4" t="s">
        <v>63</v>
      </c>
      <c r="G228" s="4" t="s">
        <v>327</v>
      </c>
      <c r="H228" s="4"/>
      <c r="I228" s="4" t="n">
        <v>1.0822</v>
      </c>
      <c r="J228" s="4" t="str">
        <f aca="false">TRIM(E228) &amp; TRIM(C228) &amp; TRIM(D228)</f>
        <v>First ReviewBid Ecom URLTR</v>
      </c>
      <c r="K228" s="4" t="n">
        <f aca="false">IFERROR(I228*60,"")</f>
        <v>64.932</v>
      </c>
    </row>
    <row r="229" customFormat="false" ht="15" hidden="false" customHeight="false" outlineLevel="0" collapsed="false">
      <c r="A229" s="4" t="s">
        <v>15</v>
      </c>
      <c r="B229" s="4" t="s">
        <v>56</v>
      </c>
      <c r="C229" s="4" t="s">
        <v>81</v>
      </c>
      <c r="D229" s="4" t="s">
        <v>181</v>
      </c>
      <c r="E229" s="4" t="s">
        <v>63</v>
      </c>
      <c r="F229" s="4" t="s">
        <v>63</v>
      </c>
      <c r="G229" s="4" t="s">
        <v>328</v>
      </c>
      <c r="H229" s="4"/>
      <c r="I229" s="4" t="n">
        <v>0.3455</v>
      </c>
      <c r="J229" s="4" t="str">
        <f aca="false">TRIM(E229) &amp; TRIM(C229) &amp; TRIM(D229)</f>
        <v>First ReviewBid TextLB</v>
      </c>
      <c r="K229" s="4" t="n">
        <f aca="false">IFERROR(I229*60,"")</f>
        <v>20.73</v>
      </c>
    </row>
    <row r="230" customFormat="false" ht="15" hidden="false" customHeight="false" outlineLevel="0" collapsed="false">
      <c r="A230" s="4" t="s">
        <v>15</v>
      </c>
      <c r="B230" s="4" t="s">
        <v>56</v>
      </c>
      <c r="C230" s="4" t="s">
        <v>57</v>
      </c>
      <c r="D230" s="4" t="s">
        <v>117</v>
      </c>
      <c r="E230" s="4" t="s">
        <v>59</v>
      </c>
      <c r="F230" s="4" t="s">
        <v>59</v>
      </c>
      <c r="G230" s="4" t="s">
        <v>219</v>
      </c>
      <c r="H230" s="4"/>
      <c r="I230" s="4" t="n">
        <v>3.5474</v>
      </c>
      <c r="J230" s="4" t="str">
        <f aca="false">TRIM(E230) &amp; TRIM(C230) &amp; TRIM(D230)</f>
        <v>Re-reviewBid Ad GroupAR</v>
      </c>
      <c r="K230" s="4" t="n">
        <f aca="false">IFERROR(I230*60,"")</f>
        <v>212.844</v>
      </c>
    </row>
    <row r="231" customFormat="false" ht="15" hidden="false" customHeight="false" outlineLevel="0" collapsed="false">
      <c r="A231" s="4" t="s">
        <v>15</v>
      </c>
      <c r="B231" s="4" t="s">
        <v>56</v>
      </c>
      <c r="C231" s="4" t="s">
        <v>61</v>
      </c>
      <c r="D231" s="4" t="s">
        <v>275</v>
      </c>
      <c r="E231" s="4" t="s">
        <v>63</v>
      </c>
      <c r="F231" s="4" t="s">
        <v>63</v>
      </c>
      <c r="G231" s="4" t="s">
        <v>329</v>
      </c>
      <c r="H231" s="4"/>
      <c r="I231" s="4" t="n">
        <v>1.2338</v>
      </c>
      <c r="J231" s="4" t="str">
        <f aca="false">TRIM(E231) &amp; TRIM(C231) &amp; TRIM(D231)</f>
        <v>First ReviewBid Ecom URLGB</v>
      </c>
      <c r="K231" s="4" t="n">
        <f aca="false">IFERROR(I231*60,"")</f>
        <v>74.028</v>
      </c>
    </row>
    <row r="232" customFormat="false" ht="15" hidden="false" customHeight="false" outlineLevel="0" collapsed="false">
      <c r="A232" s="4" t="s">
        <v>15</v>
      </c>
      <c r="B232" s="4" t="s">
        <v>56</v>
      </c>
      <c r="C232" s="4" t="s">
        <v>57</v>
      </c>
      <c r="D232" s="4" t="s">
        <v>85</v>
      </c>
      <c r="E232" s="4" t="s">
        <v>66</v>
      </c>
      <c r="F232" s="4" t="s">
        <v>67</v>
      </c>
      <c r="G232" s="4" t="s">
        <v>330</v>
      </c>
      <c r="H232" s="4"/>
      <c r="I232" s="4" t="n">
        <v>1.4472</v>
      </c>
      <c r="J232" s="4" t="str">
        <f aca="false">TRIM(E232) &amp; TRIM(C232) &amp; TRIM(D232)</f>
        <v>Posted RecallBid Ad GroupEC</v>
      </c>
      <c r="K232" s="4" t="n">
        <f aca="false">IFERROR(I232*60,"")</f>
        <v>86.832</v>
      </c>
    </row>
    <row r="233" customFormat="false" ht="15" hidden="false" customHeight="false" outlineLevel="0" collapsed="false">
      <c r="A233" s="4" t="s">
        <v>15</v>
      </c>
      <c r="B233" s="4" t="s">
        <v>56</v>
      </c>
      <c r="C233" s="4" t="s">
        <v>84</v>
      </c>
      <c r="D233" s="4" t="s">
        <v>216</v>
      </c>
      <c r="E233" s="4" t="s">
        <v>63</v>
      </c>
      <c r="F233" s="4" t="s">
        <v>63</v>
      </c>
      <c r="G233" s="4" t="s">
        <v>331</v>
      </c>
      <c r="H233" s="4"/>
      <c r="I233" s="4" t="n">
        <v>2.0973</v>
      </c>
      <c r="J233" s="4" t="str">
        <f aca="false">TRIM(E233) &amp; TRIM(C233) &amp; TRIM(D233)</f>
        <v>First ReviewBid Ecom VideoPY</v>
      </c>
      <c r="K233" s="4" t="n">
        <f aca="false">IFERROR(I233*60,"")</f>
        <v>125.838</v>
      </c>
    </row>
    <row r="234" customFormat="false" ht="15" hidden="false" customHeight="false" outlineLevel="0" collapsed="false">
      <c r="A234" s="4" t="s">
        <v>15</v>
      </c>
      <c r="B234" s="4" t="s">
        <v>56</v>
      </c>
      <c r="C234" s="4" t="s">
        <v>57</v>
      </c>
      <c r="D234" s="4" t="s">
        <v>164</v>
      </c>
      <c r="E234" s="4" t="s">
        <v>59</v>
      </c>
      <c r="F234" s="4" t="s">
        <v>59</v>
      </c>
      <c r="G234" s="4" t="s">
        <v>332</v>
      </c>
      <c r="H234" s="4"/>
      <c r="I234" s="4" t="n">
        <v>4.5419</v>
      </c>
      <c r="J234" s="4" t="str">
        <f aca="false">TRIM(E234) &amp; TRIM(C234) &amp; TRIM(D234)</f>
        <v>Re-reviewBid Ad GroupCR</v>
      </c>
      <c r="K234" s="4" t="n">
        <f aca="false">IFERROR(I234*60,"")</f>
        <v>272.514</v>
      </c>
    </row>
    <row r="235" customFormat="false" ht="15" hidden="false" customHeight="false" outlineLevel="0" collapsed="false">
      <c r="A235" s="4" t="s">
        <v>15</v>
      </c>
      <c r="B235" s="4" t="s">
        <v>56</v>
      </c>
      <c r="C235" s="4" t="s">
        <v>57</v>
      </c>
      <c r="D235" s="4" t="s">
        <v>267</v>
      </c>
      <c r="E235" s="4" t="s">
        <v>66</v>
      </c>
      <c r="F235" s="4" t="s">
        <v>67</v>
      </c>
      <c r="G235" s="4" t="s">
        <v>333</v>
      </c>
      <c r="H235" s="4"/>
      <c r="I235" s="4" t="n">
        <v>2.5379</v>
      </c>
      <c r="J235" s="4" t="str">
        <f aca="false">TRIM(E235) &amp; TRIM(C235) &amp; TRIM(D235)</f>
        <v>Posted RecallBid Ad GroupID</v>
      </c>
      <c r="K235" s="4" t="n">
        <f aca="false">IFERROR(I235*60,"")</f>
        <v>152.274</v>
      </c>
    </row>
    <row r="236" customFormat="false" ht="15" hidden="false" customHeight="false" outlineLevel="0" collapsed="false">
      <c r="A236" s="4" t="s">
        <v>15</v>
      </c>
      <c r="B236" s="4" t="s">
        <v>56</v>
      </c>
      <c r="C236" s="4" t="s">
        <v>57</v>
      </c>
      <c r="D236" s="4" t="s">
        <v>87</v>
      </c>
      <c r="E236" s="4" t="s">
        <v>63</v>
      </c>
      <c r="F236" s="4" t="s">
        <v>63</v>
      </c>
      <c r="G236" s="4" t="s">
        <v>123</v>
      </c>
      <c r="H236" s="4"/>
      <c r="I236" s="4" t="n">
        <v>1.662</v>
      </c>
      <c r="J236" s="4" t="str">
        <f aca="false">TRIM(E236) &amp; TRIM(C236) &amp; TRIM(D236)</f>
        <v>First ReviewBid Ad GroupAE</v>
      </c>
      <c r="K236" s="4" t="n">
        <f aca="false">IFERROR(I236*60,"")</f>
        <v>99.72</v>
      </c>
    </row>
    <row r="237" customFormat="false" ht="15" hidden="false" customHeight="false" outlineLevel="0" collapsed="false">
      <c r="A237" s="4" t="s">
        <v>15</v>
      </c>
      <c r="B237" s="4" t="s">
        <v>56</v>
      </c>
      <c r="C237" s="4" t="s">
        <v>61</v>
      </c>
      <c r="D237" s="4" t="s">
        <v>102</v>
      </c>
      <c r="E237" s="4" t="s">
        <v>63</v>
      </c>
      <c r="F237" s="4" t="s">
        <v>63</v>
      </c>
      <c r="G237" s="4" t="s">
        <v>334</v>
      </c>
      <c r="H237" s="4"/>
      <c r="I237" s="4" t="n">
        <v>1.9434</v>
      </c>
      <c r="J237" s="4" t="str">
        <f aca="false">TRIM(E237) &amp; TRIM(C237) &amp; TRIM(D237)</f>
        <v>First ReviewBid Ecom URLSE</v>
      </c>
      <c r="K237" s="4" t="n">
        <f aca="false">IFERROR(I237*60,"")</f>
        <v>116.604</v>
      </c>
    </row>
    <row r="238" customFormat="false" ht="15" hidden="false" customHeight="false" outlineLevel="0" collapsed="false">
      <c r="A238" s="4" t="s">
        <v>15</v>
      </c>
      <c r="B238" s="4" t="s">
        <v>56</v>
      </c>
      <c r="C238" s="4" t="s">
        <v>69</v>
      </c>
      <c r="D238" s="4" t="s">
        <v>73</v>
      </c>
      <c r="E238" s="4" t="s">
        <v>63</v>
      </c>
      <c r="F238" s="4" t="s">
        <v>63</v>
      </c>
      <c r="G238" s="4" t="s">
        <v>335</v>
      </c>
      <c r="H238" s="4"/>
      <c r="I238" s="4" t="n">
        <v>0.7265</v>
      </c>
      <c r="J238" s="4" t="str">
        <f aca="false">TRIM(E238) &amp; TRIM(C238) &amp; TRIM(D238)</f>
        <v>First ReviewBid LinkIQ</v>
      </c>
      <c r="K238" s="4" t="n">
        <f aca="false">IFERROR(I238*60,"")</f>
        <v>43.59</v>
      </c>
    </row>
    <row r="239" customFormat="false" ht="15" hidden="false" customHeight="false" outlineLevel="0" collapsed="false">
      <c r="A239" s="4" t="s">
        <v>15</v>
      </c>
      <c r="B239" s="4" t="s">
        <v>56</v>
      </c>
      <c r="C239" s="4" t="s">
        <v>84</v>
      </c>
      <c r="D239" s="4" t="s">
        <v>82</v>
      </c>
      <c r="E239" s="4" t="s">
        <v>63</v>
      </c>
      <c r="F239" s="4" t="s">
        <v>63</v>
      </c>
      <c r="G239" s="4" t="s">
        <v>336</v>
      </c>
      <c r="H239" s="4"/>
      <c r="I239" s="4" t="n">
        <v>1.0382</v>
      </c>
      <c r="J239" s="4" t="str">
        <f aca="false">TRIM(E239) &amp; TRIM(C239) &amp; TRIM(D239)</f>
        <v>First ReviewBid Ecom VideoKH</v>
      </c>
      <c r="K239" s="4" t="n">
        <f aca="false">IFERROR(I239*60,"")</f>
        <v>62.292</v>
      </c>
    </row>
    <row r="240" customFormat="false" ht="15" hidden="false" customHeight="false" outlineLevel="0" collapsed="false">
      <c r="A240" s="4" t="s">
        <v>15</v>
      </c>
      <c r="B240" s="4" t="s">
        <v>56</v>
      </c>
      <c r="C240" s="4" t="s">
        <v>69</v>
      </c>
      <c r="D240" s="4" t="s">
        <v>262</v>
      </c>
      <c r="E240" s="4" t="s">
        <v>63</v>
      </c>
      <c r="F240" s="4" t="s">
        <v>63</v>
      </c>
      <c r="G240" s="4" t="s">
        <v>337</v>
      </c>
      <c r="H240" s="4"/>
      <c r="I240" s="4" t="n">
        <v>1.0321</v>
      </c>
      <c r="J240" s="4" t="str">
        <f aca="false">TRIM(E240) &amp; TRIM(C240) &amp; TRIM(D240)</f>
        <v>First ReviewBid LinkSI</v>
      </c>
      <c r="K240" s="4" t="n">
        <f aca="false">IFERROR(I240*60,"")</f>
        <v>61.926</v>
      </c>
    </row>
    <row r="241" customFormat="false" ht="15" hidden="false" customHeight="false" outlineLevel="0" collapsed="false">
      <c r="A241" s="4" t="s">
        <v>15</v>
      </c>
      <c r="B241" s="4" t="s">
        <v>56</v>
      </c>
      <c r="C241" s="4" t="s">
        <v>75</v>
      </c>
      <c r="D241" s="4" t="s">
        <v>262</v>
      </c>
      <c r="E241" s="4" t="s">
        <v>66</v>
      </c>
      <c r="F241" s="4" t="s">
        <v>67</v>
      </c>
      <c r="G241" s="4" t="s">
        <v>338</v>
      </c>
      <c r="H241" s="4"/>
      <c r="I241" s="4" t="n">
        <v>2.0034</v>
      </c>
      <c r="J241" s="4" t="str">
        <f aca="false">TRIM(E241) &amp; TRIM(C241) &amp; TRIM(D241)</f>
        <v>Posted RecallBid Ecom Ads GroupSI</v>
      </c>
      <c r="K241" s="4" t="n">
        <f aca="false">IFERROR(I241*60,"")</f>
        <v>120.204</v>
      </c>
    </row>
    <row r="242" customFormat="false" ht="15" hidden="false" customHeight="false" outlineLevel="0" collapsed="false">
      <c r="A242" s="4" t="s">
        <v>15</v>
      </c>
      <c r="B242" s="4" t="s">
        <v>56</v>
      </c>
      <c r="C242" s="4" t="s">
        <v>75</v>
      </c>
      <c r="D242" s="4" t="s">
        <v>267</v>
      </c>
      <c r="E242" s="4" t="s">
        <v>66</v>
      </c>
      <c r="F242" s="4" t="s">
        <v>67</v>
      </c>
      <c r="G242" s="4" t="s">
        <v>339</v>
      </c>
      <c r="H242" s="4"/>
      <c r="I242" s="4" t="n">
        <v>1.2443</v>
      </c>
      <c r="J242" s="4" t="str">
        <f aca="false">TRIM(E242) &amp; TRIM(C242) &amp; TRIM(D242)</f>
        <v>Posted RecallBid Ecom Ads GroupID</v>
      </c>
      <c r="K242" s="4" t="n">
        <f aca="false">IFERROR(I242*60,"")</f>
        <v>74.658</v>
      </c>
    </row>
    <row r="243" customFormat="false" ht="15" hidden="false" customHeight="false" outlineLevel="0" collapsed="false">
      <c r="A243" s="4" t="s">
        <v>15</v>
      </c>
      <c r="B243" s="4" t="s">
        <v>56</v>
      </c>
      <c r="C243" s="4" t="s">
        <v>57</v>
      </c>
      <c r="D243" s="4" t="s">
        <v>124</v>
      </c>
      <c r="E243" s="4" t="s">
        <v>63</v>
      </c>
      <c r="F243" s="4" t="s">
        <v>63</v>
      </c>
      <c r="G243" s="4" t="s">
        <v>125</v>
      </c>
      <c r="H243" s="4"/>
      <c r="I243" s="4" t="n">
        <v>2.0746</v>
      </c>
      <c r="J243" s="4" t="str">
        <f aca="false">TRIM(E243) &amp; TRIM(C243) &amp; TRIM(D243)</f>
        <v>First ReviewBid Ad GroupPT</v>
      </c>
      <c r="K243" s="4" t="n">
        <f aca="false">IFERROR(I243*60,"")</f>
        <v>124.476</v>
      </c>
    </row>
    <row r="244" customFormat="false" ht="15" hidden="false" customHeight="false" outlineLevel="0" collapsed="false">
      <c r="A244" s="4" t="s">
        <v>15</v>
      </c>
      <c r="B244" s="4" t="s">
        <v>56</v>
      </c>
      <c r="C244" s="4" t="s">
        <v>57</v>
      </c>
      <c r="D244" s="4" t="s">
        <v>126</v>
      </c>
      <c r="E244" s="4" t="s">
        <v>66</v>
      </c>
      <c r="F244" s="4" t="s">
        <v>67</v>
      </c>
      <c r="G244" s="4" t="s">
        <v>340</v>
      </c>
      <c r="H244" s="4"/>
      <c r="I244" s="4" t="n">
        <v>1.2834</v>
      </c>
      <c r="J244" s="4" t="str">
        <f aca="false">TRIM(E244) &amp; TRIM(C244) &amp; TRIM(D244)</f>
        <v>Posted RecallBid Ad GroupMX</v>
      </c>
      <c r="K244" s="4" t="n">
        <f aca="false">IFERROR(I244*60,"")</f>
        <v>77.004</v>
      </c>
    </row>
    <row r="245" customFormat="false" ht="15" hidden="false" customHeight="false" outlineLevel="0" collapsed="false">
      <c r="A245" s="4" t="s">
        <v>15</v>
      </c>
      <c r="B245" s="4" t="s">
        <v>56</v>
      </c>
      <c r="C245" s="4" t="s">
        <v>72</v>
      </c>
      <c r="D245" s="4" t="s">
        <v>341</v>
      </c>
      <c r="E245" s="4" t="s">
        <v>63</v>
      </c>
      <c r="F245" s="4" t="s">
        <v>63</v>
      </c>
      <c r="G245" s="4" t="s">
        <v>342</v>
      </c>
      <c r="H245" s="4"/>
      <c r="I245" s="4" t="n">
        <v>0.2175</v>
      </c>
      <c r="J245" s="4" t="str">
        <f aca="false">TRIM(E245) &amp; TRIM(C245) &amp; TRIM(D245)</f>
        <v>First ReviewBid ImageBG</v>
      </c>
      <c r="K245" s="4" t="n">
        <f aca="false">IFERROR(I245*60,"")</f>
        <v>13.05</v>
      </c>
    </row>
    <row r="246" customFormat="false" ht="15" hidden="false" customHeight="false" outlineLevel="0" collapsed="false">
      <c r="A246" s="4" t="s">
        <v>15</v>
      </c>
      <c r="B246" s="4" t="s">
        <v>56</v>
      </c>
      <c r="C246" s="4" t="s">
        <v>81</v>
      </c>
      <c r="D246" s="4" t="s">
        <v>128</v>
      </c>
      <c r="E246" s="4" t="s">
        <v>63</v>
      </c>
      <c r="F246" s="4" t="s">
        <v>63</v>
      </c>
      <c r="G246" s="4" t="s">
        <v>343</v>
      </c>
      <c r="H246" s="4"/>
      <c r="I246" s="4" t="n">
        <v>2.2334</v>
      </c>
      <c r="J246" s="4" t="str">
        <f aca="false">TRIM(E246) &amp; TRIM(C246) &amp; TRIM(D246)</f>
        <v>First ReviewBid TextBD</v>
      </c>
      <c r="K246" s="4" t="n">
        <f aca="false">IFERROR(I246*60,"")</f>
        <v>134.004</v>
      </c>
    </row>
    <row r="247" customFormat="false" ht="15" hidden="false" customHeight="false" outlineLevel="0" collapsed="false">
      <c r="A247" s="4" t="s">
        <v>15</v>
      </c>
      <c r="B247" s="4" t="s">
        <v>56</v>
      </c>
      <c r="C247" s="4" t="s">
        <v>75</v>
      </c>
      <c r="D247" s="4" t="s">
        <v>70</v>
      </c>
      <c r="E247" s="4" t="s">
        <v>59</v>
      </c>
      <c r="F247" s="4" t="s">
        <v>59</v>
      </c>
      <c r="G247" s="4" t="s">
        <v>189</v>
      </c>
      <c r="H247" s="4"/>
      <c r="I247" s="4" t="n">
        <v>7.5715</v>
      </c>
      <c r="J247" s="4" t="str">
        <f aca="false">TRIM(E247) &amp; TRIM(C247) &amp; TRIM(D247)</f>
        <v>Re-reviewBid Ecom Ads GroupBE</v>
      </c>
      <c r="K247" s="4" t="n">
        <f aca="false">IFERROR(I247*60,"")</f>
        <v>454.29</v>
      </c>
    </row>
    <row r="248" customFormat="false" ht="15" hidden="false" customHeight="false" outlineLevel="0" collapsed="false">
      <c r="A248" s="4" t="s">
        <v>15</v>
      </c>
      <c r="B248" s="4" t="s">
        <v>56</v>
      </c>
      <c r="C248" s="4" t="s">
        <v>78</v>
      </c>
      <c r="D248" s="4" t="s">
        <v>246</v>
      </c>
      <c r="E248" s="4" t="s">
        <v>63</v>
      </c>
      <c r="F248" s="4" t="s">
        <v>63</v>
      </c>
      <c r="G248" s="4" t="s">
        <v>344</v>
      </c>
      <c r="H248" s="4"/>
      <c r="I248" s="4" t="n">
        <v>0.6235</v>
      </c>
      <c r="J248" s="4" t="str">
        <f aca="false">TRIM(E248) &amp; TRIM(C248) &amp; TRIM(D248)</f>
        <v>First ReviewBid VideoLV</v>
      </c>
      <c r="K248" s="4" t="n">
        <f aca="false">IFERROR(I248*60,"")</f>
        <v>37.41</v>
      </c>
    </row>
    <row r="249" customFormat="false" ht="15" hidden="false" customHeight="false" outlineLevel="0" collapsed="false">
      <c r="A249" s="4" t="s">
        <v>15</v>
      </c>
      <c r="B249" s="4" t="s">
        <v>56</v>
      </c>
      <c r="C249" s="4" t="s">
        <v>69</v>
      </c>
      <c r="D249" s="4" t="s">
        <v>243</v>
      </c>
      <c r="E249" s="4" t="s">
        <v>63</v>
      </c>
      <c r="F249" s="4" t="s">
        <v>63</v>
      </c>
      <c r="G249" s="4" t="s">
        <v>345</v>
      </c>
      <c r="H249" s="4"/>
      <c r="I249" s="4" t="n">
        <v>1.0364</v>
      </c>
      <c r="J249" s="4" t="str">
        <f aca="false">TRIM(E249) &amp; TRIM(C249) &amp; TRIM(D249)</f>
        <v>First ReviewBid LinkBY</v>
      </c>
      <c r="K249" s="4" t="n">
        <f aca="false">IFERROR(I249*60,"")</f>
        <v>62.184</v>
      </c>
    </row>
    <row r="250" customFormat="false" ht="15" hidden="false" customHeight="false" outlineLevel="0" collapsed="false">
      <c r="A250" s="4" t="s">
        <v>15</v>
      </c>
      <c r="B250" s="4" t="s">
        <v>56</v>
      </c>
      <c r="C250" s="4" t="s">
        <v>93</v>
      </c>
      <c r="D250" s="4" t="s">
        <v>157</v>
      </c>
      <c r="E250" s="4" t="s">
        <v>63</v>
      </c>
      <c r="F250" s="4" t="s">
        <v>63</v>
      </c>
      <c r="G250" s="4" t="s">
        <v>346</v>
      </c>
      <c r="H250" s="4"/>
      <c r="I250" s="4" t="n">
        <v>0.2656</v>
      </c>
      <c r="J250" s="4" t="str">
        <f aca="false">TRIM(E250) &amp; TRIM(C250) &amp; TRIM(D250)</f>
        <v>First ReviewBid AudioSA</v>
      </c>
      <c r="K250" s="4" t="n">
        <f aca="false">IFERROR(I250*60,"")</f>
        <v>15.936</v>
      </c>
    </row>
    <row r="251" customFormat="false" ht="15" hidden="false" customHeight="false" outlineLevel="0" collapsed="false">
      <c r="A251" s="4" t="s">
        <v>15</v>
      </c>
      <c r="B251" s="4" t="s">
        <v>56</v>
      </c>
      <c r="C251" s="4" t="s">
        <v>72</v>
      </c>
      <c r="D251" s="4" t="s">
        <v>308</v>
      </c>
      <c r="E251" s="4" t="s">
        <v>63</v>
      </c>
      <c r="F251" s="4" t="s">
        <v>63</v>
      </c>
      <c r="G251" s="4" t="s">
        <v>347</v>
      </c>
      <c r="H251" s="4"/>
      <c r="I251" s="4" t="n">
        <v>0.8449</v>
      </c>
      <c r="J251" s="4" t="str">
        <f aca="false">TRIM(E251) &amp; TRIM(C251) &amp; TRIM(D251)</f>
        <v>First ReviewBid ImagePL</v>
      </c>
      <c r="K251" s="4" t="n">
        <f aca="false">IFERROR(I251*60,"")</f>
        <v>50.694</v>
      </c>
    </row>
    <row r="252" customFormat="false" ht="15" hidden="false" customHeight="false" outlineLevel="0" collapsed="false">
      <c r="A252" s="4" t="s">
        <v>15</v>
      </c>
      <c r="B252" s="4" t="s">
        <v>56</v>
      </c>
      <c r="C252" s="4" t="s">
        <v>61</v>
      </c>
      <c r="D252" s="4" t="s">
        <v>115</v>
      </c>
      <c r="E252" s="4" t="s">
        <v>63</v>
      </c>
      <c r="F252" s="4" t="s">
        <v>63</v>
      </c>
      <c r="G252" s="4" t="s">
        <v>348</v>
      </c>
      <c r="H252" s="4"/>
      <c r="I252" s="4" t="n">
        <v>1.108</v>
      </c>
      <c r="J252" s="4" t="str">
        <f aca="false">TRIM(E252) &amp; TRIM(C252) &amp; TRIM(D252)</f>
        <v>First ReviewBid Ecom URLAT</v>
      </c>
      <c r="K252" s="4" t="n">
        <f aca="false">IFERROR(I252*60,"")</f>
        <v>66.48</v>
      </c>
    </row>
    <row r="253" customFormat="false" ht="15" hidden="false" customHeight="false" outlineLevel="0" collapsed="false">
      <c r="A253" s="4" t="s">
        <v>15</v>
      </c>
      <c r="B253" s="4" t="s">
        <v>56</v>
      </c>
      <c r="C253" s="4" t="s">
        <v>72</v>
      </c>
      <c r="D253" s="4" t="s">
        <v>82</v>
      </c>
      <c r="E253" s="4" t="s">
        <v>63</v>
      </c>
      <c r="F253" s="4" t="s">
        <v>63</v>
      </c>
      <c r="G253" s="4" t="s">
        <v>349</v>
      </c>
      <c r="H253" s="4"/>
      <c r="I253" s="4" t="n">
        <v>0.4488</v>
      </c>
      <c r="J253" s="4" t="str">
        <f aca="false">TRIM(E253) &amp; TRIM(C253) &amp; TRIM(D253)</f>
        <v>First ReviewBid ImageKH</v>
      </c>
      <c r="K253" s="4" t="n">
        <f aca="false">IFERROR(I253*60,"")</f>
        <v>26.928</v>
      </c>
    </row>
    <row r="254" customFormat="false" ht="15" hidden="false" customHeight="false" outlineLevel="0" collapsed="false">
      <c r="A254" s="4" t="s">
        <v>15</v>
      </c>
      <c r="B254" s="4" t="s">
        <v>56</v>
      </c>
      <c r="C254" s="4" t="s">
        <v>93</v>
      </c>
      <c r="D254" s="4" t="s">
        <v>104</v>
      </c>
      <c r="E254" s="4" t="s">
        <v>63</v>
      </c>
      <c r="F254" s="4" t="s">
        <v>63</v>
      </c>
      <c r="G254" s="4" t="s">
        <v>350</v>
      </c>
      <c r="H254" s="4"/>
      <c r="I254" s="4" t="n">
        <v>1.0463</v>
      </c>
      <c r="J254" s="4" t="str">
        <f aca="false">TRIM(E254) &amp; TRIM(C254) &amp; TRIM(D254)</f>
        <v>First ReviewBid AudioIE</v>
      </c>
      <c r="K254" s="4" t="n">
        <f aca="false">IFERROR(I254*60,"")</f>
        <v>62.778</v>
      </c>
    </row>
    <row r="255" customFormat="false" ht="15" hidden="false" customHeight="false" outlineLevel="0" collapsed="false">
      <c r="A255" s="4" t="s">
        <v>15</v>
      </c>
      <c r="B255" s="4" t="s">
        <v>56</v>
      </c>
      <c r="C255" s="4" t="s">
        <v>75</v>
      </c>
      <c r="D255" s="4" t="s">
        <v>310</v>
      </c>
      <c r="E255" s="4" t="s">
        <v>66</v>
      </c>
      <c r="F255" s="4" t="s">
        <v>67</v>
      </c>
      <c r="G255" s="4" t="s">
        <v>351</v>
      </c>
      <c r="H255" s="4"/>
      <c r="I255" s="4" t="n">
        <v>1.8396</v>
      </c>
      <c r="J255" s="4" t="str">
        <f aca="false">TRIM(E255) &amp; TRIM(C255) &amp; TRIM(D255)</f>
        <v>Posted RecallBid Ecom Ads GroupUY</v>
      </c>
      <c r="K255" s="4" t="n">
        <f aca="false">IFERROR(I255*60,"")</f>
        <v>110.376</v>
      </c>
    </row>
    <row r="256" customFormat="false" ht="15" hidden="false" customHeight="false" outlineLevel="0" collapsed="false">
      <c r="A256" s="4" t="s">
        <v>15</v>
      </c>
      <c r="B256" s="4" t="s">
        <v>56</v>
      </c>
      <c r="C256" s="4" t="s">
        <v>57</v>
      </c>
      <c r="D256" s="4" t="s">
        <v>136</v>
      </c>
      <c r="E256" s="4" t="s">
        <v>59</v>
      </c>
      <c r="F256" s="4" t="s">
        <v>59</v>
      </c>
      <c r="G256" s="4" t="s">
        <v>294</v>
      </c>
      <c r="H256" s="4"/>
      <c r="I256" s="4" t="n">
        <v>5.0743</v>
      </c>
      <c r="J256" s="4" t="str">
        <f aca="false">TRIM(E256) &amp; TRIM(C256) &amp; TRIM(D256)</f>
        <v>Re-reviewBid Ad GroupPE</v>
      </c>
      <c r="K256" s="4" t="n">
        <f aca="false">IFERROR(I256*60,"")</f>
        <v>304.458</v>
      </c>
    </row>
    <row r="257" customFormat="false" ht="15" hidden="false" customHeight="false" outlineLevel="0" collapsed="false">
      <c r="A257" s="4" t="s">
        <v>15</v>
      </c>
      <c r="B257" s="4" t="s">
        <v>56</v>
      </c>
      <c r="C257" s="4" t="s">
        <v>75</v>
      </c>
      <c r="D257" s="4" t="s">
        <v>197</v>
      </c>
      <c r="E257" s="4" t="s">
        <v>63</v>
      </c>
      <c r="F257" s="4" t="s">
        <v>63</v>
      </c>
      <c r="G257" s="4" t="s">
        <v>352</v>
      </c>
      <c r="H257" s="4"/>
      <c r="I257" s="4" t="n">
        <v>2.1827</v>
      </c>
      <c r="J257" s="4" t="str">
        <f aca="false">TRIM(E257) &amp; TRIM(C257) &amp; TRIM(D257)</f>
        <v>First ReviewBid Ecom Ads GroupGR</v>
      </c>
      <c r="K257" s="4" t="n">
        <f aca="false">IFERROR(I257*60,"")</f>
        <v>130.962</v>
      </c>
    </row>
    <row r="258" customFormat="false" ht="15" hidden="false" customHeight="false" outlineLevel="0" collapsed="false">
      <c r="A258" s="4" t="s">
        <v>15</v>
      </c>
      <c r="B258" s="4" t="s">
        <v>56</v>
      </c>
      <c r="C258" s="4" t="s">
        <v>93</v>
      </c>
      <c r="D258" s="4" t="s">
        <v>62</v>
      </c>
      <c r="E258" s="4" t="s">
        <v>63</v>
      </c>
      <c r="F258" s="4" t="s">
        <v>63</v>
      </c>
      <c r="G258" s="4" t="s">
        <v>353</v>
      </c>
      <c r="H258" s="4"/>
      <c r="I258" s="4" t="n">
        <v>0.6188</v>
      </c>
      <c r="J258" s="4" t="str">
        <f aca="false">TRIM(E258) &amp; TRIM(C258) &amp; TRIM(D258)</f>
        <v>First ReviewBid AudioCL</v>
      </c>
      <c r="K258" s="4" t="n">
        <f aca="false">IFERROR(I258*60,"")</f>
        <v>37.128</v>
      </c>
    </row>
    <row r="259" customFormat="false" ht="15" hidden="false" customHeight="false" outlineLevel="0" collapsed="false">
      <c r="A259" s="4" t="s">
        <v>15</v>
      </c>
      <c r="B259" s="4" t="s">
        <v>56</v>
      </c>
      <c r="C259" s="4" t="s">
        <v>57</v>
      </c>
      <c r="D259" s="4" t="s">
        <v>208</v>
      </c>
      <c r="E259" s="4" t="s">
        <v>59</v>
      </c>
      <c r="F259" s="4" t="s">
        <v>59</v>
      </c>
      <c r="G259" s="4" t="s">
        <v>354</v>
      </c>
      <c r="H259" s="4"/>
      <c r="I259" s="4" t="n">
        <v>4.1561</v>
      </c>
      <c r="J259" s="4" t="str">
        <f aca="false">TRIM(E259) &amp; TRIM(C259) &amp; TRIM(D259)</f>
        <v>Re-reviewBid Ad GroupCO</v>
      </c>
      <c r="K259" s="4" t="n">
        <f aca="false">IFERROR(I259*60,"")</f>
        <v>249.366</v>
      </c>
    </row>
    <row r="260" customFormat="false" ht="15" hidden="false" customHeight="false" outlineLevel="0" collapsed="false">
      <c r="A260" s="4" t="s">
        <v>15</v>
      </c>
      <c r="B260" s="4" t="s">
        <v>56</v>
      </c>
      <c r="C260" s="4" t="s">
        <v>69</v>
      </c>
      <c r="D260" s="4" t="s">
        <v>79</v>
      </c>
      <c r="E260" s="4" t="s">
        <v>63</v>
      </c>
      <c r="F260" s="4" t="s">
        <v>63</v>
      </c>
      <c r="G260" s="4" t="s">
        <v>355</v>
      </c>
      <c r="H260" s="4"/>
      <c r="I260" s="4" t="n">
        <v>0.7777</v>
      </c>
      <c r="J260" s="4" t="str">
        <f aca="false">TRIM(E260) &amp; TRIM(C260) &amp; TRIM(D260)</f>
        <v>First ReviewBid LinkZA</v>
      </c>
      <c r="K260" s="4" t="n">
        <f aca="false">IFERROR(I260*60,"")</f>
        <v>46.662</v>
      </c>
    </row>
    <row r="261" customFormat="false" ht="15" hidden="false" customHeight="false" outlineLevel="0" collapsed="false">
      <c r="A261" s="4" t="s">
        <v>15</v>
      </c>
      <c r="B261" s="4" t="s">
        <v>56</v>
      </c>
      <c r="C261" s="4" t="s">
        <v>57</v>
      </c>
      <c r="D261" s="4" t="s">
        <v>164</v>
      </c>
      <c r="E261" s="4" t="s">
        <v>66</v>
      </c>
      <c r="F261" s="4" t="s">
        <v>67</v>
      </c>
      <c r="G261" s="4" t="s">
        <v>332</v>
      </c>
      <c r="H261" s="4"/>
      <c r="I261" s="4" t="n">
        <v>1.1248</v>
      </c>
      <c r="J261" s="4" t="str">
        <f aca="false">TRIM(E261) &amp; TRIM(C261) &amp; TRIM(D261)</f>
        <v>Posted RecallBid Ad GroupCR</v>
      </c>
      <c r="K261" s="4" t="n">
        <f aca="false">IFERROR(I261*60,"")</f>
        <v>67.488</v>
      </c>
    </row>
    <row r="262" customFormat="false" ht="15" hidden="false" customHeight="false" outlineLevel="0" collapsed="false">
      <c r="A262" s="4" t="s">
        <v>15</v>
      </c>
      <c r="B262" s="4" t="s">
        <v>56</v>
      </c>
      <c r="C262" s="4" t="s">
        <v>84</v>
      </c>
      <c r="D262" s="4" t="s">
        <v>145</v>
      </c>
      <c r="E262" s="4" t="s">
        <v>63</v>
      </c>
      <c r="F262" s="4" t="s">
        <v>63</v>
      </c>
      <c r="G262" s="4" t="s">
        <v>356</v>
      </c>
      <c r="H262" s="4"/>
      <c r="I262" s="4" t="n">
        <v>1.3602</v>
      </c>
      <c r="J262" s="4" t="str">
        <f aca="false">TRIM(E262) &amp; TRIM(C262) &amp; TRIM(D262)</f>
        <v>First ReviewBid Ecom VideoRS</v>
      </c>
      <c r="K262" s="4" t="n">
        <f aca="false">IFERROR(I262*60,"")</f>
        <v>81.612</v>
      </c>
    </row>
    <row r="263" customFormat="false" ht="15" hidden="false" customHeight="false" outlineLevel="0" collapsed="false">
      <c r="A263" s="4" t="s">
        <v>15</v>
      </c>
      <c r="B263" s="4" t="s">
        <v>56</v>
      </c>
      <c r="C263" s="4" t="s">
        <v>78</v>
      </c>
      <c r="D263" s="4" t="s">
        <v>357</v>
      </c>
      <c r="E263" s="4" t="s">
        <v>63</v>
      </c>
      <c r="F263" s="4" t="s">
        <v>63</v>
      </c>
      <c r="G263" s="4" t="s">
        <v>358</v>
      </c>
      <c r="H263" s="4"/>
      <c r="I263" s="4" t="n">
        <v>0.9928</v>
      </c>
      <c r="J263" s="4" t="str">
        <f aca="false">TRIM(E263) &amp; TRIM(C263) &amp; TRIM(D263)</f>
        <v>First ReviewBid VideoHU</v>
      </c>
      <c r="K263" s="4" t="n">
        <f aca="false">IFERROR(I263*60,"")</f>
        <v>59.568</v>
      </c>
    </row>
    <row r="264" customFormat="false" ht="15" hidden="false" customHeight="false" outlineLevel="0" collapsed="false">
      <c r="A264" s="4" t="s">
        <v>15</v>
      </c>
      <c r="B264" s="4" t="s">
        <v>56</v>
      </c>
      <c r="C264" s="4" t="s">
        <v>75</v>
      </c>
      <c r="D264" s="4" t="s">
        <v>192</v>
      </c>
      <c r="E264" s="4" t="s">
        <v>59</v>
      </c>
      <c r="F264" s="4" t="s">
        <v>59</v>
      </c>
      <c r="G264" s="4" t="s">
        <v>359</v>
      </c>
      <c r="H264" s="4"/>
      <c r="I264" s="4" t="n">
        <v>9.495</v>
      </c>
      <c r="J264" s="4" t="str">
        <f aca="false">TRIM(E264) &amp; TRIM(C264) &amp; TRIM(D264)</f>
        <v>Re-reviewBid Ecom Ads GroupGT</v>
      </c>
      <c r="K264" s="4" t="n">
        <f aca="false">IFERROR(I264*60,"")</f>
        <v>569.7</v>
      </c>
    </row>
    <row r="265" customFormat="false" ht="15" hidden="false" customHeight="false" outlineLevel="0" collapsed="false">
      <c r="A265" s="4" t="s">
        <v>15</v>
      </c>
      <c r="B265" s="4" t="s">
        <v>56</v>
      </c>
      <c r="C265" s="4" t="s">
        <v>69</v>
      </c>
      <c r="D265" s="4" t="s">
        <v>91</v>
      </c>
      <c r="E265" s="4" t="s">
        <v>63</v>
      </c>
      <c r="F265" s="4" t="s">
        <v>63</v>
      </c>
      <c r="G265" s="4" t="s">
        <v>360</v>
      </c>
      <c r="H265" s="4"/>
      <c r="I265" s="4" t="n">
        <v>1.6071</v>
      </c>
      <c r="J265" s="4" t="str">
        <f aca="false">TRIM(E265) &amp; TRIM(C265) &amp; TRIM(D265)</f>
        <v>First ReviewBid LinkHR</v>
      </c>
      <c r="K265" s="4" t="n">
        <f aca="false">IFERROR(I265*60,"")</f>
        <v>96.426</v>
      </c>
    </row>
    <row r="266" customFormat="false" ht="15" hidden="false" customHeight="false" outlineLevel="0" collapsed="false">
      <c r="A266" s="4" t="s">
        <v>15</v>
      </c>
      <c r="B266" s="4" t="s">
        <v>56</v>
      </c>
      <c r="C266" s="4" t="s">
        <v>61</v>
      </c>
      <c r="D266" s="4" t="s">
        <v>113</v>
      </c>
      <c r="E266" s="4" t="s">
        <v>63</v>
      </c>
      <c r="F266" s="4" t="s">
        <v>63</v>
      </c>
      <c r="G266" s="4" t="s">
        <v>361</v>
      </c>
      <c r="H266" s="4"/>
      <c r="I266" s="4" t="n">
        <v>1.5431</v>
      </c>
      <c r="J266" s="4" t="str">
        <f aca="false">TRIM(E266) &amp; TRIM(C266) &amp; TRIM(D266)</f>
        <v>First ReviewBid Ecom URLNL</v>
      </c>
      <c r="K266" s="4" t="n">
        <f aca="false">IFERROR(I266*60,"")</f>
        <v>92.586</v>
      </c>
    </row>
    <row r="267" customFormat="false" ht="15" hidden="false" customHeight="false" outlineLevel="0" collapsed="false">
      <c r="A267" s="4" t="s">
        <v>15</v>
      </c>
      <c r="B267" s="4" t="s">
        <v>56</v>
      </c>
      <c r="C267" s="4" t="s">
        <v>57</v>
      </c>
      <c r="D267" s="4" t="s">
        <v>362</v>
      </c>
      <c r="E267" s="4" t="s">
        <v>63</v>
      </c>
      <c r="F267" s="4" t="s">
        <v>63</v>
      </c>
      <c r="G267" s="4" t="s">
        <v>363</v>
      </c>
      <c r="H267" s="4"/>
      <c r="I267" s="4" t="n">
        <v>2.4798</v>
      </c>
      <c r="J267" s="4" t="str">
        <f aca="false">TRIM(E267) &amp; TRIM(C267) &amp; TRIM(D267)</f>
        <v>First ReviewBid Ad GroupPA</v>
      </c>
      <c r="K267" s="4" t="n">
        <f aca="false">IFERROR(I267*60,"")</f>
        <v>148.788</v>
      </c>
    </row>
    <row r="268" customFormat="false" ht="15" hidden="false" customHeight="false" outlineLevel="0" collapsed="false">
      <c r="A268" s="4" t="s">
        <v>15</v>
      </c>
      <c r="B268" s="4" t="s">
        <v>56</v>
      </c>
      <c r="C268" s="4" t="s">
        <v>57</v>
      </c>
      <c r="D268" s="4" t="s">
        <v>113</v>
      </c>
      <c r="E268" s="4" t="s">
        <v>59</v>
      </c>
      <c r="F268" s="4" t="s">
        <v>59</v>
      </c>
      <c r="G268" s="4" t="s">
        <v>364</v>
      </c>
      <c r="H268" s="4"/>
      <c r="I268" s="4" t="n">
        <v>8.1161</v>
      </c>
      <c r="J268" s="4" t="str">
        <f aca="false">TRIM(E268) &amp; TRIM(C268) &amp; TRIM(D268)</f>
        <v>Re-reviewBid Ad GroupNL</v>
      </c>
      <c r="K268" s="4" t="n">
        <f aca="false">IFERROR(I268*60,"")</f>
        <v>486.966</v>
      </c>
    </row>
    <row r="269" customFormat="false" ht="15" hidden="false" customHeight="false" outlineLevel="0" collapsed="false">
      <c r="A269" s="4" t="s">
        <v>15</v>
      </c>
      <c r="B269" s="4" t="s">
        <v>56</v>
      </c>
      <c r="C269" s="4" t="s">
        <v>81</v>
      </c>
      <c r="D269" s="4" t="s">
        <v>89</v>
      </c>
      <c r="E269" s="4" t="s">
        <v>63</v>
      </c>
      <c r="F269" s="4" t="s">
        <v>63</v>
      </c>
      <c r="G269" s="4" t="s">
        <v>365</v>
      </c>
      <c r="H269" s="4"/>
      <c r="I269" s="4" t="n">
        <v>1.0722</v>
      </c>
      <c r="J269" s="4" t="str">
        <f aca="false">TRIM(E269) &amp; TRIM(C269) &amp; TRIM(D269)</f>
        <v>First ReviewBid TextFI</v>
      </c>
      <c r="K269" s="4" t="n">
        <f aca="false">IFERROR(I269*60,"")</f>
        <v>64.332</v>
      </c>
    </row>
    <row r="270" customFormat="false" ht="15" hidden="false" customHeight="false" outlineLevel="0" collapsed="false">
      <c r="A270" s="4" t="s">
        <v>15</v>
      </c>
      <c r="B270" s="4" t="s">
        <v>56</v>
      </c>
      <c r="C270" s="4" t="s">
        <v>93</v>
      </c>
      <c r="D270" s="4" t="s">
        <v>231</v>
      </c>
      <c r="E270" s="4" t="s">
        <v>63</v>
      </c>
      <c r="F270" s="4" t="s">
        <v>63</v>
      </c>
      <c r="G270" s="4" t="s">
        <v>366</v>
      </c>
      <c r="H270" s="4"/>
      <c r="I270" s="4" t="n">
        <v>0.8223</v>
      </c>
      <c r="J270" s="4" t="str">
        <f aca="false">TRIM(E270) &amp; TRIM(C270) &amp; TRIM(D270)</f>
        <v>First ReviewBid AudioIL</v>
      </c>
      <c r="K270" s="4" t="n">
        <f aca="false">IFERROR(I270*60,"")</f>
        <v>49.338</v>
      </c>
    </row>
    <row r="271" customFormat="false" ht="15" hidden="false" customHeight="false" outlineLevel="0" collapsed="false">
      <c r="A271" s="4" t="s">
        <v>15</v>
      </c>
      <c r="B271" s="4" t="s">
        <v>56</v>
      </c>
      <c r="C271" s="4" t="s">
        <v>75</v>
      </c>
      <c r="D271" s="4" t="s">
        <v>76</v>
      </c>
      <c r="E271" s="4" t="s">
        <v>59</v>
      </c>
      <c r="F271" s="4" t="s">
        <v>59</v>
      </c>
      <c r="G271" s="4" t="s">
        <v>77</v>
      </c>
      <c r="H271" s="4"/>
      <c r="I271" s="4" t="n">
        <v>7.5859</v>
      </c>
      <c r="J271" s="4" t="str">
        <f aca="false">TRIM(E271) &amp; TRIM(C271) &amp; TRIM(D271)</f>
        <v>Re-reviewBid Ecom Ads GroupLT</v>
      </c>
      <c r="K271" s="4" t="n">
        <f aca="false">IFERROR(I271*60,"")</f>
        <v>455.154</v>
      </c>
    </row>
    <row r="272" customFormat="false" ht="15" hidden="false" customHeight="false" outlineLevel="0" collapsed="false">
      <c r="A272" s="4" t="s">
        <v>15</v>
      </c>
      <c r="B272" s="4" t="s">
        <v>56</v>
      </c>
      <c r="C272" s="4" t="s">
        <v>75</v>
      </c>
      <c r="D272" s="4" t="s">
        <v>319</v>
      </c>
      <c r="E272" s="4" t="s">
        <v>66</v>
      </c>
      <c r="F272" s="4" t="s">
        <v>67</v>
      </c>
      <c r="G272" s="4" t="s">
        <v>320</v>
      </c>
      <c r="H272" s="4"/>
      <c r="I272" s="4" t="n">
        <v>1.5045</v>
      </c>
      <c r="J272" s="4" t="str">
        <f aca="false">TRIM(E272) &amp; TRIM(C272) &amp; TRIM(D272)</f>
        <v>Posted RecallBid Ecom Ads GroupSK</v>
      </c>
      <c r="K272" s="4" t="n">
        <f aca="false">IFERROR(I272*60,"")</f>
        <v>90.27</v>
      </c>
    </row>
    <row r="273" customFormat="false" ht="15" hidden="false" customHeight="false" outlineLevel="0" collapsed="false">
      <c r="A273" s="4" t="s">
        <v>15</v>
      </c>
      <c r="B273" s="4" t="s">
        <v>56</v>
      </c>
      <c r="C273" s="4" t="s">
        <v>57</v>
      </c>
      <c r="D273" s="4" t="s">
        <v>185</v>
      </c>
      <c r="E273" s="4" t="s">
        <v>63</v>
      </c>
      <c r="F273" s="4" t="s">
        <v>63</v>
      </c>
      <c r="G273" s="4" t="s">
        <v>367</v>
      </c>
      <c r="H273" s="4"/>
      <c r="I273" s="4" t="n">
        <v>1.6828</v>
      </c>
      <c r="J273" s="4" t="str">
        <f aca="false">TRIM(E273) &amp; TRIM(C273) &amp; TRIM(D273)</f>
        <v>First ReviewBid Ad GroupDK</v>
      </c>
      <c r="K273" s="4" t="n">
        <f aca="false">IFERROR(I273*60,"")</f>
        <v>100.968</v>
      </c>
    </row>
    <row r="274" customFormat="false" ht="15" hidden="false" customHeight="false" outlineLevel="0" collapsed="false">
      <c r="A274" s="4" t="s">
        <v>15</v>
      </c>
      <c r="B274" s="4" t="s">
        <v>56</v>
      </c>
      <c r="C274" s="4" t="s">
        <v>72</v>
      </c>
      <c r="D274" s="4" t="s">
        <v>111</v>
      </c>
      <c r="E274" s="4" t="s">
        <v>63</v>
      </c>
      <c r="F274" s="4" t="s">
        <v>63</v>
      </c>
      <c r="G274" s="4" t="s">
        <v>368</v>
      </c>
      <c r="H274" s="4"/>
      <c r="I274" s="4" t="n">
        <v>0.3787</v>
      </c>
      <c r="J274" s="4" t="str">
        <f aca="false">TRIM(E274) &amp; TRIM(C274) &amp; TRIM(D274)</f>
        <v>First ReviewBid ImageUS</v>
      </c>
      <c r="K274" s="4" t="n">
        <f aca="false">IFERROR(I274*60,"")</f>
        <v>22.722</v>
      </c>
    </row>
    <row r="275" customFormat="false" ht="15" hidden="false" customHeight="false" outlineLevel="0" collapsed="false">
      <c r="A275" s="4" t="s">
        <v>15</v>
      </c>
      <c r="B275" s="4" t="s">
        <v>56</v>
      </c>
      <c r="C275" s="4" t="s">
        <v>81</v>
      </c>
      <c r="D275" s="4" t="s">
        <v>62</v>
      </c>
      <c r="E275" s="4" t="s">
        <v>63</v>
      </c>
      <c r="F275" s="4" t="s">
        <v>63</v>
      </c>
      <c r="G275" s="4" t="s">
        <v>369</v>
      </c>
      <c r="H275" s="4"/>
      <c r="I275" s="4" t="n">
        <v>0.6171</v>
      </c>
      <c r="J275" s="4" t="str">
        <f aca="false">TRIM(E275) &amp; TRIM(C275) &amp; TRIM(D275)</f>
        <v>First ReviewBid TextCL</v>
      </c>
      <c r="K275" s="4" t="n">
        <f aca="false">IFERROR(I275*60,"")</f>
        <v>37.026</v>
      </c>
    </row>
    <row r="276" customFormat="false" ht="15" hidden="false" customHeight="false" outlineLevel="0" collapsed="false">
      <c r="A276" s="4" t="s">
        <v>15</v>
      </c>
      <c r="B276" s="4" t="s">
        <v>56</v>
      </c>
      <c r="C276" s="4" t="s">
        <v>81</v>
      </c>
      <c r="D276" s="4" t="s">
        <v>197</v>
      </c>
      <c r="E276" s="4" t="s">
        <v>63</v>
      </c>
      <c r="F276" s="4" t="s">
        <v>63</v>
      </c>
      <c r="G276" s="4" t="s">
        <v>370</v>
      </c>
      <c r="H276" s="4"/>
      <c r="I276" s="4" t="n">
        <v>0.758</v>
      </c>
      <c r="J276" s="4" t="str">
        <f aca="false">TRIM(E276) &amp; TRIM(C276) &amp; TRIM(D276)</f>
        <v>First ReviewBid TextGR</v>
      </c>
      <c r="K276" s="4" t="n">
        <f aca="false">IFERROR(I276*60,"")</f>
        <v>45.48</v>
      </c>
    </row>
    <row r="277" customFormat="false" ht="15" hidden="false" customHeight="false" outlineLevel="0" collapsed="false">
      <c r="A277" s="4" t="s">
        <v>15</v>
      </c>
      <c r="B277" s="4" t="s">
        <v>56</v>
      </c>
      <c r="C277" s="4" t="s">
        <v>84</v>
      </c>
      <c r="D277" s="4" t="s">
        <v>267</v>
      </c>
      <c r="E277" s="4" t="s">
        <v>63</v>
      </c>
      <c r="F277" s="4" t="s">
        <v>63</v>
      </c>
      <c r="G277" s="4" t="s">
        <v>371</v>
      </c>
      <c r="H277" s="4"/>
      <c r="I277" s="4" t="n">
        <v>0.9593</v>
      </c>
      <c r="J277" s="4" t="str">
        <f aca="false">TRIM(E277) &amp; TRIM(C277) &amp; TRIM(D277)</f>
        <v>First ReviewBid Ecom VideoID</v>
      </c>
      <c r="K277" s="4" t="n">
        <f aca="false">IFERROR(I277*60,"")</f>
        <v>57.558</v>
      </c>
    </row>
    <row r="278" customFormat="false" ht="15" hidden="false" customHeight="false" outlineLevel="0" collapsed="false">
      <c r="A278" s="4" t="s">
        <v>15</v>
      </c>
      <c r="B278" s="4" t="s">
        <v>56</v>
      </c>
      <c r="C278" s="4" t="s">
        <v>72</v>
      </c>
      <c r="D278" s="4" t="s">
        <v>70</v>
      </c>
      <c r="E278" s="4" t="s">
        <v>63</v>
      </c>
      <c r="F278" s="4" t="s">
        <v>63</v>
      </c>
      <c r="G278" s="4" t="s">
        <v>372</v>
      </c>
      <c r="H278" s="4"/>
      <c r="I278" s="4" t="n">
        <v>0.4479</v>
      </c>
      <c r="J278" s="4" t="str">
        <f aca="false">TRIM(E278) &amp; TRIM(C278) &amp; TRIM(D278)</f>
        <v>First ReviewBid ImageBE</v>
      </c>
      <c r="K278" s="4" t="n">
        <f aca="false">IFERROR(I278*60,"")</f>
        <v>26.874</v>
      </c>
    </row>
    <row r="279" customFormat="false" ht="15" hidden="false" customHeight="false" outlineLevel="0" collapsed="false">
      <c r="A279" s="4" t="s">
        <v>15</v>
      </c>
      <c r="B279" s="4" t="s">
        <v>56</v>
      </c>
      <c r="C279" s="4" t="s">
        <v>57</v>
      </c>
      <c r="D279" s="4" t="s">
        <v>190</v>
      </c>
      <c r="E279" s="4" t="s">
        <v>59</v>
      </c>
      <c r="F279" s="4" t="s">
        <v>59</v>
      </c>
      <c r="G279" s="4" t="s">
        <v>191</v>
      </c>
      <c r="H279" s="4"/>
      <c r="I279" s="4" t="n">
        <v>3.0683</v>
      </c>
      <c r="J279" s="4" t="str">
        <f aca="false">TRIM(E279) &amp; TRIM(C279) &amp; TRIM(D279)</f>
        <v>Re-reviewBid Ad GroupPH</v>
      </c>
      <c r="K279" s="4" t="n">
        <f aca="false">IFERROR(I279*60,"")</f>
        <v>184.098</v>
      </c>
    </row>
    <row r="280" customFormat="false" ht="15" hidden="false" customHeight="false" outlineLevel="0" collapsed="false">
      <c r="A280" s="4" t="s">
        <v>15</v>
      </c>
      <c r="B280" s="4" t="s">
        <v>56</v>
      </c>
      <c r="C280" s="4" t="s">
        <v>75</v>
      </c>
      <c r="D280" s="4" t="s">
        <v>341</v>
      </c>
      <c r="E280" s="4" t="s">
        <v>59</v>
      </c>
      <c r="F280" s="4" t="s">
        <v>59</v>
      </c>
      <c r="G280" s="4" t="s">
        <v>373</v>
      </c>
      <c r="H280" s="4"/>
      <c r="I280" s="4" t="n">
        <v>4.9587</v>
      </c>
      <c r="J280" s="4" t="str">
        <f aca="false">TRIM(E280) &amp; TRIM(C280) &amp; TRIM(D280)</f>
        <v>Re-reviewBid Ecom Ads GroupBG</v>
      </c>
      <c r="K280" s="4" t="n">
        <f aca="false">IFERROR(I280*60,"")</f>
        <v>297.522</v>
      </c>
    </row>
    <row r="281" customFormat="false" ht="15" hidden="false" customHeight="false" outlineLevel="0" collapsed="false">
      <c r="A281" s="4" t="s">
        <v>15</v>
      </c>
      <c r="B281" s="4" t="s">
        <v>56</v>
      </c>
      <c r="C281" s="4" t="s">
        <v>374</v>
      </c>
      <c r="D281" s="4" t="s">
        <v>111</v>
      </c>
      <c r="E281" s="4" t="s">
        <v>66</v>
      </c>
      <c r="F281" s="4" t="s">
        <v>67</v>
      </c>
      <c r="G281" s="4" t="s">
        <v>375</v>
      </c>
      <c r="H281" s="4"/>
      <c r="I281" s="4" t="n">
        <v>3.6887</v>
      </c>
      <c r="J281" s="4" t="str">
        <f aca="false">TRIM(E281) &amp; TRIM(C281) &amp; TRIM(D281)</f>
        <v>Posted RecallLead Instant FormUS</v>
      </c>
      <c r="K281" s="4" t="n">
        <f aca="false">IFERROR(I281*60,"")</f>
        <v>221.322</v>
      </c>
    </row>
    <row r="282" customFormat="false" ht="15" hidden="false" customHeight="false" outlineLevel="0" collapsed="false">
      <c r="A282" s="4" t="s">
        <v>15</v>
      </c>
      <c r="B282" s="4" t="s">
        <v>56</v>
      </c>
      <c r="C282" s="4" t="s">
        <v>119</v>
      </c>
      <c r="D282" s="4" t="s">
        <v>238</v>
      </c>
      <c r="E282" s="4" t="s">
        <v>63</v>
      </c>
      <c r="F282" s="4" t="s">
        <v>63</v>
      </c>
      <c r="G282" s="4" t="s">
        <v>376</v>
      </c>
      <c r="H282" s="4"/>
      <c r="I282" s="4" t="n">
        <v>8.5632</v>
      </c>
      <c r="J282" s="4" t="str">
        <f aca="false">TRIM(E282) &amp; TRIM(C282) &amp; TRIM(D282)</f>
        <v>First ReviewBid Pre ApprovalCH</v>
      </c>
      <c r="K282" s="4" t="n">
        <f aca="false">IFERROR(I282*60,"")</f>
        <v>513.792</v>
      </c>
    </row>
    <row r="283" customFormat="false" ht="15" hidden="false" customHeight="false" outlineLevel="0" collapsed="false">
      <c r="A283" s="4" t="s">
        <v>15</v>
      </c>
      <c r="B283" s="4" t="s">
        <v>56</v>
      </c>
      <c r="C283" s="4" t="s">
        <v>69</v>
      </c>
      <c r="D283" s="4" t="s">
        <v>216</v>
      </c>
      <c r="E283" s="4" t="s">
        <v>63</v>
      </c>
      <c r="F283" s="4" t="s">
        <v>63</v>
      </c>
      <c r="G283" s="4" t="s">
        <v>377</v>
      </c>
      <c r="H283" s="4"/>
      <c r="I283" s="4" t="n">
        <v>1.3118</v>
      </c>
      <c r="J283" s="4" t="str">
        <f aca="false">TRIM(E283) &amp; TRIM(C283) &amp; TRIM(D283)</f>
        <v>First ReviewBid LinkPY</v>
      </c>
      <c r="K283" s="4" t="n">
        <f aca="false">IFERROR(I283*60,"")</f>
        <v>78.708</v>
      </c>
    </row>
    <row r="284" customFormat="false" ht="15" hidden="false" customHeight="false" outlineLevel="0" collapsed="false">
      <c r="A284" s="4" t="s">
        <v>15</v>
      </c>
      <c r="B284" s="4" t="s">
        <v>56</v>
      </c>
      <c r="C284" s="4" t="s">
        <v>75</v>
      </c>
      <c r="D284" s="4" t="s">
        <v>65</v>
      </c>
      <c r="E284" s="4" t="s">
        <v>66</v>
      </c>
      <c r="F284" s="4" t="s">
        <v>67</v>
      </c>
      <c r="G284" s="4" t="s">
        <v>378</v>
      </c>
      <c r="H284" s="4"/>
      <c r="I284" s="4" t="n">
        <v>2.258</v>
      </c>
      <c r="J284" s="4" t="str">
        <f aca="false">TRIM(E284) &amp; TRIM(C284) &amp; TRIM(D284)</f>
        <v>Posted RecallBid Ecom Ads GroupEE</v>
      </c>
      <c r="K284" s="4" t="n">
        <f aca="false">IFERROR(I284*60,"")</f>
        <v>135.48</v>
      </c>
    </row>
    <row r="285" customFormat="false" ht="15" hidden="false" customHeight="false" outlineLevel="0" collapsed="false">
      <c r="A285" s="4" t="s">
        <v>15</v>
      </c>
      <c r="B285" s="4" t="s">
        <v>56</v>
      </c>
      <c r="C285" s="4" t="s">
        <v>75</v>
      </c>
      <c r="D285" s="4" t="s">
        <v>157</v>
      </c>
      <c r="E285" s="4" t="s">
        <v>59</v>
      </c>
      <c r="F285" s="4" t="s">
        <v>59</v>
      </c>
      <c r="G285" s="4" t="s">
        <v>379</v>
      </c>
      <c r="H285" s="4"/>
      <c r="I285" s="4" t="n">
        <v>7.6126</v>
      </c>
      <c r="J285" s="4" t="str">
        <f aca="false">TRIM(E285) &amp; TRIM(C285) &amp; TRIM(D285)</f>
        <v>Re-reviewBid Ecom Ads GroupSA</v>
      </c>
      <c r="K285" s="4" t="n">
        <f aca="false">IFERROR(I285*60,"")</f>
        <v>456.756</v>
      </c>
    </row>
    <row r="286" customFormat="false" ht="15" hidden="false" customHeight="false" outlineLevel="0" collapsed="false">
      <c r="A286" s="4" t="s">
        <v>15</v>
      </c>
      <c r="B286" s="4" t="s">
        <v>56</v>
      </c>
      <c r="C286" s="4" t="s">
        <v>57</v>
      </c>
      <c r="D286" s="4" t="s">
        <v>341</v>
      </c>
      <c r="E286" s="4" t="s">
        <v>59</v>
      </c>
      <c r="F286" s="4" t="s">
        <v>59</v>
      </c>
      <c r="G286" s="4" t="s">
        <v>380</v>
      </c>
      <c r="H286" s="4"/>
      <c r="I286" s="4" t="n">
        <v>8.862</v>
      </c>
      <c r="J286" s="4" t="str">
        <f aca="false">TRIM(E286) &amp; TRIM(C286) &amp; TRIM(D286)</f>
        <v>Re-reviewBid Ad GroupBG</v>
      </c>
      <c r="K286" s="4" t="n">
        <f aca="false">IFERROR(I286*60,"")</f>
        <v>531.72</v>
      </c>
    </row>
    <row r="287" customFormat="false" ht="15" hidden="false" customHeight="false" outlineLevel="0" collapsed="false">
      <c r="A287" s="4" t="s">
        <v>15</v>
      </c>
      <c r="B287" s="4" t="s">
        <v>56</v>
      </c>
      <c r="C287" s="4" t="s">
        <v>75</v>
      </c>
      <c r="D287" s="4" t="s">
        <v>58</v>
      </c>
      <c r="E287" s="4" t="s">
        <v>63</v>
      </c>
      <c r="F287" s="4" t="s">
        <v>63</v>
      </c>
      <c r="G287" s="4" t="s">
        <v>381</v>
      </c>
      <c r="H287" s="4"/>
      <c r="I287" s="4" t="n">
        <v>2.9368</v>
      </c>
      <c r="J287" s="4" t="str">
        <f aca="false">TRIM(E287) &amp; TRIM(C287) &amp; TRIM(D287)</f>
        <v>First ReviewBid Ecom Ads GroupSG</v>
      </c>
      <c r="K287" s="4" t="n">
        <f aca="false">IFERROR(I287*60,"")</f>
        <v>176.208</v>
      </c>
    </row>
    <row r="288" customFormat="false" ht="15" hidden="false" customHeight="false" outlineLevel="0" collapsed="false">
      <c r="A288" s="4" t="s">
        <v>15</v>
      </c>
      <c r="B288" s="4" t="s">
        <v>56</v>
      </c>
      <c r="C288" s="4" t="s">
        <v>61</v>
      </c>
      <c r="D288" s="4" t="s">
        <v>271</v>
      </c>
      <c r="E288" s="4" t="s">
        <v>63</v>
      </c>
      <c r="F288" s="4" t="s">
        <v>63</v>
      </c>
      <c r="G288" s="4" t="s">
        <v>382</v>
      </c>
      <c r="H288" s="4"/>
      <c r="I288" s="4" t="n">
        <v>0.9809</v>
      </c>
      <c r="J288" s="4" t="str">
        <f aca="false">TRIM(E288) &amp; TRIM(C288) &amp; TRIM(D288)</f>
        <v>First ReviewBid Ecom URLKW</v>
      </c>
      <c r="K288" s="4" t="n">
        <f aca="false">IFERROR(I288*60,"")</f>
        <v>58.854</v>
      </c>
    </row>
    <row r="289" customFormat="false" ht="15" hidden="false" customHeight="false" outlineLevel="0" collapsed="false">
      <c r="A289" s="4" t="s">
        <v>15</v>
      </c>
      <c r="B289" s="4" t="s">
        <v>56</v>
      </c>
      <c r="C289" s="4" t="s">
        <v>57</v>
      </c>
      <c r="D289" s="4" t="s">
        <v>134</v>
      </c>
      <c r="E289" s="4" t="s">
        <v>63</v>
      </c>
      <c r="F289" s="4" t="s">
        <v>63</v>
      </c>
      <c r="G289" s="4" t="s">
        <v>383</v>
      </c>
      <c r="H289" s="4"/>
      <c r="I289" s="4" t="n">
        <v>1.8275</v>
      </c>
      <c r="J289" s="4" t="str">
        <f aca="false">TRIM(E289) &amp; TRIM(C289) &amp; TRIM(D289)</f>
        <v>First ReviewBid Ad GroupPR</v>
      </c>
      <c r="K289" s="4" t="n">
        <f aca="false">IFERROR(I289*60,"")</f>
        <v>109.65</v>
      </c>
    </row>
    <row r="290" customFormat="false" ht="15" hidden="false" customHeight="false" outlineLevel="0" collapsed="false">
      <c r="A290" s="4" t="s">
        <v>15</v>
      </c>
      <c r="B290" s="4" t="s">
        <v>56</v>
      </c>
      <c r="C290" s="4" t="s">
        <v>81</v>
      </c>
      <c r="D290" s="4" t="s">
        <v>231</v>
      </c>
      <c r="E290" s="4" t="s">
        <v>63</v>
      </c>
      <c r="F290" s="4" t="s">
        <v>63</v>
      </c>
      <c r="G290" s="4" t="s">
        <v>384</v>
      </c>
      <c r="H290" s="4"/>
      <c r="I290" s="4" t="n">
        <v>0.7711</v>
      </c>
      <c r="J290" s="4" t="str">
        <f aca="false">TRIM(E290) &amp; TRIM(C290) &amp; TRIM(D290)</f>
        <v>First ReviewBid TextIL</v>
      </c>
      <c r="K290" s="4" t="n">
        <f aca="false">IFERROR(I290*60,"")</f>
        <v>46.266</v>
      </c>
    </row>
    <row r="291" customFormat="false" ht="15" hidden="false" customHeight="false" outlineLevel="0" collapsed="false">
      <c r="A291" s="4" t="s">
        <v>15</v>
      </c>
      <c r="B291" s="4" t="s">
        <v>56</v>
      </c>
      <c r="C291" s="4" t="s">
        <v>57</v>
      </c>
      <c r="D291" s="4" t="s">
        <v>145</v>
      </c>
      <c r="E291" s="4" t="s">
        <v>63</v>
      </c>
      <c r="F291" s="4" t="s">
        <v>63</v>
      </c>
      <c r="G291" s="4" t="s">
        <v>146</v>
      </c>
      <c r="H291" s="4"/>
      <c r="I291" s="4" t="n">
        <v>3.9606</v>
      </c>
      <c r="J291" s="4" t="str">
        <f aca="false">TRIM(E291) &amp; TRIM(C291) &amp; TRIM(D291)</f>
        <v>First ReviewBid Ad GroupRS</v>
      </c>
      <c r="K291" s="4" t="n">
        <f aca="false">IFERROR(I291*60,"")</f>
        <v>237.636</v>
      </c>
    </row>
    <row r="292" customFormat="false" ht="15" hidden="false" customHeight="false" outlineLevel="0" collapsed="false">
      <c r="A292" s="4" t="s">
        <v>15</v>
      </c>
      <c r="B292" s="4" t="s">
        <v>56</v>
      </c>
      <c r="C292" s="4" t="s">
        <v>61</v>
      </c>
      <c r="D292" s="4" t="s">
        <v>243</v>
      </c>
      <c r="E292" s="4" t="s">
        <v>63</v>
      </c>
      <c r="F292" s="4" t="s">
        <v>63</v>
      </c>
      <c r="G292" s="4" t="s">
        <v>385</v>
      </c>
      <c r="H292" s="4"/>
      <c r="I292" s="4" t="n">
        <v>1.767</v>
      </c>
      <c r="J292" s="4" t="str">
        <f aca="false">TRIM(E292) &amp; TRIM(C292) &amp; TRIM(D292)</f>
        <v>First ReviewBid Ecom URLBY</v>
      </c>
      <c r="K292" s="4" t="n">
        <f aca="false">IFERROR(I292*60,"")</f>
        <v>106.02</v>
      </c>
    </row>
    <row r="293" customFormat="false" ht="15" hidden="false" customHeight="false" outlineLevel="0" collapsed="false">
      <c r="A293" s="4" t="s">
        <v>15</v>
      </c>
      <c r="B293" s="4" t="s">
        <v>56</v>
      </c>
      <c r="C293" s="4" t="s">
        <v>81</v>
      </c>
      <c r="D293" s="4" t="s">
        <v>195</v>
      </c>
      <c r="E293" s="4" t="s">
        <v>63</v>
      </c>
      <c r="F293" s="4" t="s">
        <v>63</v>
      </c>
      <c r="G293" s="4" t="s">
        <v>386</v>
      </c>
      <c r="H293" s="4"/>
      <c r="I293" s="4" t="n">
        <v>1.0163</v>
      </c>
      <c r="J293" s="4" t="str">
        <f aca="false">TRIM(E293) &amp; TRIM(C293) &amp; TRIM(D293)</f>
        <v>First ReviewBid TextIT</v>
      </c>
      <c r="K293" s="4" t="n">
        <f aca="false">IFERROR(I293*60,"")</f>
        <v>60.978</v>
      </c>
    </row>
    <row r="294" customFormat="false" ht="15" hidden="false" customHeight="false" outlineLevel="0" collapsed="false">
      <c r="A294" s="4" t="s">
        <v>15</v>
      </c>
      <c r="B294" s="4" t="s">
        <v>56</v>
      </c>
      <c r="C294" s="4" t="s">
        <v>57</v>
      </c>
      <c r="D294" s="4" t="s">
        <v>95</v>
      </c>
      <c r="E294" s="4" t="s">
        <v>59</v>
      </c>
      <c r="F294" s="4" t="s">
        <v>59</v>
      </c>
      <c r="G294" s="4" t="s">
        <v>220</v>
      </c>
      <c r="H294" s="4"/>
      <c r="I294" s="4" t="n">
        <v>6.2316</v>
      </c>
      <c r="J294" s="4" t="str">
        <f aca="false">TRIM(E294) &amp; TRIM(C294) &amp; TRIM(D294)</f>
        <v>Re-reviewBid Ad GroupVN</v>
      </c>
      <c r="K294" s="4" t="n">
        <f aca="false">IFERROR(I294*60,"")</f>
        <v>373.896</v>
      </c>
    </row>
    <row r="295" customFormat="false" ht="15" hidden="false" customHeight="false" outlineLevel="0" collapsed="false">
      <c r="A295" s="4" t="s">
        <v>15</v>
      </c>
      <c r="B295" s="4" t="s">
        <v>56</v>
      </c>
      <c r="C295" s="4" t="s">
        <v>84</v>
      </c>
      <c r="D295" s="4" t="s">
        <v>76</v>
      </c>
      <c r="E295" s="4" t="s">
        <v>63</v>
      </c>
      <c r="F295" s="4" t="s">
        <v>63</v>
      </c>
      <c r="G295" s="4" t="s">
        <v>387</v>
      </c>
      <c r="H295" s="4"/>
      <c r="I295" s="4" t="n">
        <v>2.6627</v>
      </c>
      <c r="J295" s="4" t="str">
        <f aca="false">TRIM(E295) &amp; TRIM(C295) &amp; TRIM(D295)</f>
        <v>First ReviewBid Ecom VideoLT</v>
      </c>
      <c r="K295" s="4" t="n">
        <f aca="false">IFERROR(I295*60,"")</f>
        <v>159.762</v>
      </c>
    </row>
    <row r="296" customFormat="false" ht="15" hidden="false" customHeight="false" outlineLevel="0" collapsed="false">
      <c r="A296" s="4" t="s">
        <v>15</v>
      </c>
      <c r="B296" s="4" t="s">
        <v>56</v>
      </c>
      <c r="C296" s="4" t="s">
        <v>69</v>
      </c>
      <c r="D296" s="4" t="s">
        <v>362</v>
      </c>
      <c r="E296" s="4" t="s">
        <v>63</v>
      </c>
      <c r="F296" s="4" t="s">
        <v>63</v>
      </c>
      <c r="G296" s="4" t="s">
        <v>388</v>
      </c>
      <c r="H296" s="4"/>
      <c r="I296" s="4" t="n">
        <v>1.4359</v>
      </c>
      <c r="J296" s="4" t="str">
        <f aca="false">TRIM(E296) &amp; TRIM(C296) &amp; TRIM(D296)</f>
        <v>First ReviewBid LinkPA</v>
      </c>
      <c r="K296" s="4" t="n">
        <f aca="false">IFERROR(I296*60,"")</f>
        <v>86.154</v>
      </c>
    </row>
    <row r="297" customFormat="false" ht="15" hidden="false" customHeight="false" outlineLevel="0" collapsed="false">
      <c r="A297" s="4" t="s">
        <v>15</v>
      </c>
      <c r="B297" s="4" t="s">
        <v>56</v>
      </c>
      <c r="C297" s="4" t="s">
        <v>72</v>
      </c>
      <c r="D297" s="4" t="s">
        <v>126</v>
      </c>
      <c r="E297" s="4" t="s">
        <v>63</v>
      </c>
      <c r="F297" s="4" t="s">
        <v>63</v>
      </c>
      <c r="G297" s="4" t="s">
        <v>389</v>
      </c>
      <c r="H297" s="4"/>
      <c r="I297" s="4" t="n">
        <v>0.3796</v>
      </c>
      <c r="J297" s="4" t="str">
        <f aca="false">TRIM(E297) &amp; TRIM(C297) &amp; TRIM(D297)</f>
        <v>First ReviewBid ImageMX</v>
      </c>
      <c r="K297" s="4" t="n">
        <f aca="false">IFERROR(I297*60,"")</f>
        <v>22.776</v>
      </c>
    </row>
    <row r="298" customFormat="false" ht="15" hidden="false" customHeight="false" outlineLevel="0" collapsed="false">
      <c r="A298" s="4" t="s">
        <v>15</v>
      </c>
      <c r="B298" s="4" t="s">
        <v>56</v>
      </c>
      <c r="C298" s="4" t="s">
        <v>75</v>
      </c>
      <c r="D298" s="4" t="s">
        <v>235</v>
      </c>
      <c r="E298" s="4" t="s">
        <v>63</v>
      </c>
      <c r="F298" s="4" t="s">
        <v>63</v>
      </c>
      <c r="G298" s="4" t="s">
        <v>390</v>
      </c>
      <c r="H298" s="4"/>
      <c r="I298" s="4" t="n">
        <v>1.9734</v>
      </c>
      <c r="J298" s="4" t="str">
        <f aca="false">TRIM(E298) &amp; TRIM(C298) &amp; TRIM(D298)</f>
        <v>First ReviewBid Ecom Ads GroupJP</v>
      </c>
      <c r="K298" s="4" t="n">
        <f aca="false">IFERROR(I298*60,"")</f>
        <v>118.404</v>
      </c>
    </row>
    <row r="299" customFormat="false" ht="15" hidden="false" customHeight="false" outlineLevel="0" collapsed="false">
      <c r="A299" s="4" t="s">
        <v>15</v>
      </c>
      <c r="B299" s="4" t="s">
        <v>56</v>
      </c>
      <c r="C299" s="4" t="s">
        <v>93</v>
      </c>
      <c r="D299" s="4" t="s">
        <v>341</v>
      </c>
      <c r="E299" s="4" t="s">
        <v>63</v>
      </c>
      <c r="F299" s="4" t="s">
        <v>63</v>
      </c>
      <c r="G299" s="4" t="s">
        <v>391</v>
      </c>
      <c r="H299" s="4"/>
      <c r="I299" s="4" t="n">
        <v>0.8901</v>
      </c>
      <c r="J299" s="4" t="str">
        <f aca="false">TRIM(E299) &amp; TRIM(C299) &amp; TRIM(D299)</f>
        <v>First ReviewBid AudioBG</v>
      </c>
      <c r="K299" s="4" t="n">
        <f aca="false">IFERROR(I299*60,"")</f>
        <v>53.406</v>
      </c>
    </row>
    <row r="300" customFormat="false" ht="15" hidden="false" customHeight="false" outlineLevel="0" collapsed="false">
      <c r="A300" s="4" t="s">
        <v>15</v>
      </c>
      <c r="B300" s="4" t="s">
        <v>56</v>
      </c>
      <c r="C300" s="4" t="s">
        <v>57</v>
      </c>
      <c r="D300" s="4" t="s">
        <v>62</v>
      </c>
      <c r="E300" s="4" t="s">
        <v>66</v>
      </c>
      <c r="F300" s="4" t="s">
        <v>67</v>
      </c>
      <c r="G300" s="4" t="s">
        <v>392</v>
      </c>
      <c r="H300" s="4"/>
      <c r="I300" s="4" t="n">
        <v>1.1078</v>
      </c>
      <c r="J300" s="4" t="str">
        <f aca="false">TRIM(E300) &amp; TRIM(C300) &amp; TRIM(D300)</f>
        <v>Posted RecallBid Ad GroupCL</v>
      </c>
      <c r="K300" s="4" t="n">
        <f aca="false">IFERROR(I300*60,"")</f>
        <v>66.468</v>
      </c>
    </row>
    <row r="301" customFormat="false" ht="15" hidden="false" customHeight="false" outlineLevel="0" collapsed="false">
      <c r="A301" s="4" t="s">
        <v>15</v>
      </c>
      <c r="B301" s="4" t="s">
        <v>56</v>
      </c>
      <c r="C301" s="4" t="s">
        <v>61</v>
      </c>
      <c r="D301" s="4" t="s">
        <v>157</v>
      </c>
      <c r="E301" s="4" t="s">
        <v>63</v>
      </c>
      <c r="F301" s="4" t="s">
        <v>63</v>
      </c>
      <c r="G301" s="4" t="s">
        <v>393</v>
      </c>
      <c r="H301" s="4"/>
      <c r="I301" s="4" t="n">
        <v>0.9691</v>
      </c>
      <c r="J301" s="4" t="str">
        <f aca="false">TRIM(E301) &amp; TRIM(C301) &amp; TRIM(D301)</f>
        <v>First ReviewBid Ecom URLSA</v>
      </c>
      <c r="K301" s="4" t="n">
        <f aca="false">IFERROR(I301*60,"")</f>
        <v>58.146</v>
      </c>
    </row>
    <row r="302" customFormat="false" ht="15" hidden="false" customHeight="false" outlineLevel="0" collapsed="false">
      <c r="A302" s="4" t="s">
        <v>15</v>
      </c>
      <c r="B302" s="4" t="s">
        <v>56</v>
      </c>
      <c r="C302" s="4" t="s">
        <v>72</v>
      </c>
      <c r="D302" s="4" t="s">
        <v>185</v>
      </c>
      <c r="E302" s="4" t="s">
        <v>63</v>
      </c>
      <c r="F302" s="4" t="s">
        <v>63</v>
      </c>
      <c r="G302" s="4" t="s">
        <v>394</v>
      </c>
      <c r="H302" s="4"/>
      <c r="I302" s="4" t="n">
        <v>0.6571</v>
      </c>
      <c r="J302" s="4" t="str">
        <f aca="false">TRIM(E302) &amp; TRIM(C302) &amp; TRIM(D302)</f>
        <v>First ReviewBid ImageDK</v>
      </c>
      <c r="K302" s="4" t="n">
        <f aca="false">IFERROR(I302*60,"")</f>
        <v>39.426</v>
      </c>
    </row>
    <row r="303" customFormat="false" ht="15" hidden="false" customHeight="false" outlineLevel="0" collapsed="false">
      <c r="A303" s="4" t="s">
        <v>15</v>
      </c>
      <c r="B303" s="4" t="s">
        <v>56</v>
      </c>
      <c r="C303" s="4" t="s">
        <v>78</v>
      </c>
      <c r="D303" s="4" t="s">
        <v>178</v>
      </c>
      <c r="E303" s="4" t="s">
        <v>63</v>
      </c>
      <c r="F303" s="4" t="s">
        <v>63</v>
      </c>
      <c r="G303" s="4" t="s">
        <v>395</v>
      </c>
      <c r="H303" s="4"/>
      <c r="I303" s="4" t="n">
        <v>0.8787</v>
      </c>
      <c r="J303" s="4" t="str">
        <f aca="false">TRIM(E303) &amp; TRIM(C303) &amp; TRIM(D303)</f>
        <v>First ReviewBid VideoBO</v>
      </c>
      <c r="K303" s="4" t="n">
        <f aca="false">IFERROR(I303*60,"")</f>
        <v>52.722</v>
      </c>
    </row>
    <row r="304" customFormat="false" ht="15" hidden="false" customHeight="false" outlineLevel="0" collapsed="false">
      <c r="A304" s="4" t="s">
        <v>15</v>
      </c>
      <c r="B304" s="4" t="s">
        <v>56</v>
      </c>
      <c r="C304" s="4" t="s">
        <v>75</v>
      </c>
      <c r="D304" s="4" t="s">
        <v>251</v>
      </c>
      <c r="E304" s="4" t="s">
        <v>59</v>
      </c>
      <c r="F304" s="4" t="s">
        <v>59</v>
      </c>
      <c r="G304" s="4" t="s">
        <v>321</v>
      </c>
      <c r="H304" s="4"/>
      <c r="I304" s="4" t="n">
        <v>8.4515</v>
      </c>
      <c r="J304" s="4" t="str">
        <f aca="false">TRIM(E304) &amp; TRIM(C304) &amp; TRIM(D304)</f>
        <v>Re-reviewBid Ecom Ads GroupRO</v>
      </c>
      <c r="K304" s="4" t="n">
        <f aca="false">IFERROR(I304*60,"")</f>
        <v>507.09</v>
      </c>
    </row>
    <row r="305" customFormat="false" ht="15" hidden="false" customHeight="false" outlineLevel="0" collapsed="false">
      <c r="A305" s="4" t="s">
        <v>15</v>
      </c>
      <c r="B305" s="4" t="s">
        <v>56</v>
      </c>
      <c r="C305" s="4" t="s">
        <v>72</v>
      </c>
      <c r="D305" s="4" t="s">
        <v>216</v>
      </c>
      <c r="E305" s="4" t="s">
        <v>63</v>
      </c>
      <c r="F305" s="4" t="s">
        <v>63</v>
      </c>
      <c r="G305" s="4" t="s">
        <v>396</v>
      </c>
      <c r="H305" s="4"/>
      <c r="I305" s="4" t="n">
        <v>0.1234</v>
      </c>
      <c r="J305" s="4" t="str">
        <f aca="false">TRIM(E305) &amp; TRIM(C305) &amp; TRIM(D305)</f>
        <v>First ReviewBid ImagePY</v>
      </c>
      <c r="K305" s="4" t="n">
        <f aca="false">IFERROR(I305*60,"")</f>
        <v>7.404</v>
      </c>
    </row>
    <row r="306" customFormat="false" ht="15" hidden="false" customHeight="false" outlineLevel="0" collapsed="false">
      <c r="A306" s="4" t="s">
        <v>15</v>
      </c>
      <c r="B306" s="4" t="s">
        <v>56</v>
      </c>
      <c r="C306" s="4" t="s">
        <v>81</v>
      </c>
      <c r="D306" s="4" t="s">
        <v>251</v>
      </c>
      <c r="E306" s="4" t="s">
        <v>63</v>
      </c>
      <c r="F306" s="4" t="s">
        <v>63</v>
      </c>
      <c r="G306" s="4" t="s">
        <v>397</v>
      </c>
      <c r="H306" s="4"/>
      <c r="I306" s="4" t="n">
        <v>1.0093</v>
      </c>
      <c r="J306" s="4" t="str">
        <f aca="false">TRIM(E306) &amp; TRIM(C306) &amp; TRIM(D306)</f>
        <v>First ReviewBid TextRO</v>
      </c>
      <c r="K306" s="4" t="n">
        <f aca="false">IFERROR(I306*60,"")</f>
        <v>60.558</v>
      </c>
    </row>
    <row r="307" customFormat="false" ht="15" hidden="false" customHeight="false" outlineLevel="0" collapsed="false">
      <c r="A307" s="4" t="s">
        <v>15</v>
      </c>
      <c r="B307" s="4" t="s">
        <v>56</v>
      </c>
      <c r="C307" s="4" t="s">
        <v>61</v>
      </c>
      <c r="D307" s="4" t="s">
        <v>289</v>
      </c>
      <c r="E307" s="4" t="s">
        <v>63</v>
      </c>
      <c r="F307" s="4" t="s">
        <v>63</v>
      </c>
      <c r="G307" s="4" t="s">
        <v>398</v>
      </c>
      <c r="H307" s="4"/>
      <c r="I307" s="4" t="n">
        <v>1.1496</v>
      </c>
      <c r="J307" s="4" t="str">
        <f aca="false">TRIM(E307) &amp; TRIM(C307) &amp; TRIM(D307)</f>
        <v>First ReviewBid Ecom URLLK</v>
      </c>
      <c r="K307" s="4" t="n">
        <f aca="false">IFERROR(I307*60,"")</f>
        <v>68.976</v>
      </c>
    </row>
    <row r="308" customFormat="false" ht="15" hidden="false" customHeight="false" outlineLevel="0" collapsed="false">
      <c r="A308" s="4" t="s">
        <v>15</v>
      </c>
      <c r="B308" s="4" t="s">
        <v>56</v>
      </c>
      <c r="C308" s="4" t="s">
        <v>75</v>
      </c>
      <c r="D308" s="4" t="s">
        <v>231</v>
      </c>
      <c r="E308" s="4" t="s">
        <v>59</v>
      </c>
      <c r="F308" s="4" t="s">
        <v>59</v>
      </c>
      <c r="G308" s="4" t="s">
        <v>232</v>
      </c>
      <c r="H308" s="4"/>
      <c r="I308" s="4" t="n">
        <v>11.6375</v>
      </c>
      <c r="J308" s="4" t="str">
        <f aca="false">TRIM(E308) &amp; TRIM(C308) &amp; TRIM(D308)</f>
        <v>Re-reviewBid Ecom Ads GroupIL</v>
      </c>
      <c r="K308" s="4" t="n">
        <f aca="false">IFERROR(I308*60,"")</f>
        <v>698.25</v>
      </c>
    </row>
    <row r="309" customFormat="false" ht="15" hidden="false" customHeight="false" outlineLevel="0" collapsed="false">
      <c r="A309" s="4" t="s">
        <v>15</v>
      </c>
      <c r="B309" s="4" t="s">
        <v>56</v>
      </c>
      <c r="C309" s="4" t="s">
        <v>69</v>
      </c>
      <c r="D309" s="4" t="s">
        <v>145</v>
      </c>
      <c r="E309" s="4" t="s">
        <v>63</v>
      </c>
      <c r="F309" s="4" t="s">
        <v>63</v>
      </c>
      <c r="G309" s="4" t="s">
        <v>399</v>
      </c>
      <c r="H309" s="4"/>
      <c r="I309" s="4" t="n">
        <v>0.2471</v>
      </c>
      <c r="J309" s="4" t="str">
        <f aca="false">TRIM(E309) &amp; TRIM(C309) &amp; TRIM(D309)</f>
        <v>First ReviewBid LinkRS</v>
      </c>
      <c r="K309" s="4" t="n">
        <f aca="false">IFERROR(I309*60,"")</f>
        <v>14.826</v>
      </c>
    </row>
    <row r="310" customFormat="false" ht="15" hidden="false" customHeight="false" outlineLevel="0" collapsed="false">
      <c r="A310" s="4" t="s">
        <v>15</v>
      </c>
      <c r="B310" s="4" t="s">
        <v>56</v>
      </c>
      <c r="C310" s="4" t="s">
        <v>75</v>
      </c>
      <c r="D310" s="4" t="s">
        <v>362</v>
      </c>
      <c r="E310" s="4" t="s">
        <v>59</v>
      </c>
      <c r="F310" s="4" t="s">
        <v>59</v>
      </c>
      <c r="G310" s="4" t="s">
        <v>400</v>
      </c>
      <c r="H310" s="4"/>
      <c r="I310" s="4" t="n">
        <v>4.2963</v>
      </c>
      <c r="J310" s="4" t="str">
        <f aca="false">TRIM(E310) &amp; TRIM(C310) &amp; TRIM(D310)</f>
        <v>Re-reviewBid Ecom Ads GroupPA</v>
      </c>
      <c r="K310" s="4" t="n">
        <f aca="false">IFERROR(I310*60,"")</f>
        <v>257.778</v>
      </c>
    </row>
    <row r="311" customFormat="false" ht="15" hidden="false" customHeight="false" outlineLevel="0" collapsed="false">
      <c r="A311" s="4" t="s">
        <v>15</v>
      </c>
      <c r="B311" s="4" t="s">
        <v>56</v>
      </c>
      <c r="C311" s="4" t="s">
        <v>69</v>
      </c>
      <c r="D311" s="4" t="s">
        <v>192</v>
      </c>
      <c r="E311" s="4" t="s">
        <v>63</v>
      </c>
      <c r="F311" s="4" t="s">
        <v>63</v>
      </c>
      <c r="G311" s="4" t="s">
        <v>401</v>
      </c>
      <c r="H311" s="4"/>
      <c r="I311" s="4" t="n">
        <v>1.4129</v>
      </c>
      <c r="J311" s="4" t="str">
        <f aca="false">TRIM(E311) &amp; TRIM(C311) &amp; TRIM(D311)</f>
        <v>First ReviewBid LinkGT</v>
      </c>
      <c r="K311" s="4" t="n">
        <f aca="false">IFERROR(I311*60,"")</f>
        <v>84.774</v>
      </c>
    </row>
    <row r="312" customFormat="false" ht="15" hidden="false" customHeight="false" outlineLevel="0" collapsed="false">
      <c r="A312" s="4" t="s">
        <v>15</v>
      </c>
      <c r="B312" s="4" t="s">
        <v>56</v>
      </c>
      <c r="C312" s="4" t="s">
        <v>57</v>
      </c>
      <c r="D312" s="4" t="s">
        <v>197</v>
      </c>
      <c r="E312" s="4" t="s">
        <v>59</v>
      </c>
      <c r="F312" s="4" t="s">
        <v>59</v>
      </c>
      <c r="G312" s="4" t="s">
        <v>402</v>
      </c>
      <c r="H312" s="4"/>
      <c r="I312" s="4" t="n">
        <v>4.9548</v>
      </c>
      <c r="J312" s="4" t="str">
        <f aca="false">TRIM(E312) &amp; TRIM(C312) &amp; TRIM(D312)</f>
        <v>Re-reviewBid Ad GroupGR</v>
      </c>
      <c r="K312" s="4" t="n">
        <f aca="false">IFERROR(I312*60,"")</f>
        <v>297.288</v>
      </c>
    </row>
    <row r="313" customFormat="false" ht="15" hidden="false" customHeight="false" outlineLevel="0" collapsed="false">
      <c r="A313" s="4" t="s">
        <v>15</v>
      </c>
      <c r="B313" s="4" t="s">
        <v>56</v>
      </c>
      <c r="C313" s="4" t="s">
        <v>61</v>
      </c>
      <c r="D313" s="4" t="s">
        <v>130</v>
      </c>
      <c r="E313" s="4" t="s">
        <v>63</v>
      </c>
      <c r="F313" s="4" t="s">
        <v>63</v>
      </c>
      <c r="G313" s="4" t="s">
        <v>403</v>
      </c>
      <c r="H313" s="4"/>
      <c r="I313" s="4" t="n">
        <v>0.7848</v>
      </c>
      <c r="J313" s="4" t="str">
        <f aca="false">TRIM(E313) &amp; TRIM(C313) &amp; TRIM(D313)</f>
        <v>First ReviewBid Ecom URLMA</v>
      </c>
      <c r="K313" s="4" t="n">
        <f aca="false">IFERROR(I313*60,"")</f>
        <v>47.088</v>
      </c>
    </row>
    <row r="314" customFormat="false" ht="15" hidden="false" customHeight="false" outlineLevel="0" collapsed="false">
      <c r="A314" s="4" t="s">
        <v>15</v>
      </c>
      <c r="B314" s="4" t="s">
        <v>56</v>
      </c>
      <c r="C314" s="4" t="s">
        <v>57</v>
      </c>
      <c r="D314" s="4" t="s">
        <v>299</v>
      </c>
      <c r="E314" s="4" t="s">
        <v>59</v>
      </c>
      <c r="F314" s="4" t="s">
        <v>59</v>
      </c>
      <c r="G314" s="4" t="s">
        <v>300</v>
      </c>
      <c r="H314" s="4"/>
      <c r="I314" s="4" t="n">
        <v>8.3445</v>
      </c>
      <c r="J314" s="4" t="str">
        <f aca="false">TRIM(E314) &amp; TRIM(C314) &amp; TRIM(D314)</f>
        <v>Re-reviewBid Ad GroupQA</v>
      </c>
      <c r="K314" s="4" t="n">
        <f aca="false">IFERROR(I314*60,"")</f>
        <v>500.67</v>
      </c>
    </row>
    <row r="315" customFormat="false" ht="15" hidden="false" customHeight="false" outlineLevel="0" collapsed="false">
      <c r="A315" s="4" t="s">
        <v>15</v>
      </c>
      <c r="B315" s="4" t="s">
        <v>56</v>
      </c>
      <c r="C315" s="4" t="s">
        <v>57</v>
      </c>
      <c r="D315" s="4" t="s">
        <v>152</v>
      </c>
      <c r="E315" s="4" t="s">
        <v>66</v>
      </c>
      <c r="F315" s="4" t="s">
        <v>67</v>
      </c>
      <c r="G315" s="4" t="s">
        <v>404</v>
      </c>
      <c r="H315" s="4"/>
      <c r="I315" s="4" t="n">
        <v>3.1714</v>
      </c>
      <c r="J315" s="4" t="str">
        <f aca="false">TRIM(E315) &amp; TRIM(C315) &amp; TRIM(D315)</f>
        <v>Posted RecallBid Ad GroupCY</v>
      </c>
      <c r="K315" s="4" t="n">
        <f aca="false">IFERROR(I315*60,"")</f>
        <v>190.284</v>
      </c>
    </row>
    <row r="316" customFormat="false" ht="15" hidden="false" customHeight="false" outlineLevel="0" collapsed="false">
      <c r="A316" s="4" t="s">
        <v>15</v>
      </c>
      <c r="B316" s="4" t="s">
        <v>56</v>
      </c>
      <c r="C316" s="4" t="s">
        <v>61</v>
      </c>
      <c r="D316" s="4" t="s">
        <v>213</v>
      </c>
      <c r="E316" s="4" t="s">
        <v>63</v>
      </c>
      <c r="F316" s="4" t="s">
        <v>63</v>
      </c>
      <c r="G316" s="4" t="s">
        <v>405</v>
      </c>
      <c r="H316" s="4"/>
      <c r="I316" s="4" t="n">
        <v>0.8988</v>
      </c>
      <c r="J316" s="4" t="str">
        <f aca="false">TRIM(E316) &amp; TRIM(C316) &amp; TRIM(D316)</f>
        <v>First ReviewBid Ecom URLFR</v>
      </c>
      <c r="K316" s="4" t="n">
        <f aca="false">IFERROR(I316*60,"")</f>
        <v>53.928</v>
      </c>
    </row>
    <row r="317" customFormat="false" ht="15" hidden="false" customHeight="false" outlineLevel="0" collapsed="false">
      <c r="A317" s="4" t="s">
        <v>15</v>
      </c>
      <c r="B317" s="4" t="s">
        <v>56</v>
      </c>
      <c r="C317" s="4" t="s">
        <v>84</v>
      </c>
      <c r="D317" s="4" t="s">
        <v>255</v>
      </c>
      <c r="E317" s="4" t="s">
        <v>63</v>
      </c>
      <c r="F317" s="4" t="s">
        <v>63</v>
      </c>
      <c r="G317" s="4" t="s">
        <v>406</v>
      </c>
      <c r="H317" s="4"/>
      <c r="I317" s="4" t="n">
        <v>1.8392</v>
      </c>
      <c r="J317" s="4" t="str">
        <f aca="false">TRIM(E317) &amp; TRIM(C317) &amp; TRIM(D317)</f>
        <v>First ReviewBid Ecom VideoNZ</v>
      </c>
      <c r="K317" s="4" t="n">
        <f aca="false">IFERROR(I317*60,"")</f>
        <v>110.352</v>
      </c>
    </row>
    <row r="318" customFormat="false" ht="15" hidden="false" customHeight="false" outlineLevel="0" collapsed="false">
      <c r="A318" s="4" t="s">
        <v>15</v>
      </c>
      <c r="B318" s="4" t="s">
        <v>56</v>
      </c>
      <c r="C318" s="4" t="s">
        <v>57</v>
      </c>
      <c r="D318" s="4" t="s">
        <v>251</v>
      </c>
      <c r="E318" s="4" t="s">
        <v>63</v>
      </c>
      <c r="F318" s="4" t="s">
        <v>63</v>
      </c>
      <c r="G318" s="4" t="s">
        <v>252</v>
      </c>
      <c r="H318" s="4"/>
      <c r="I318" s="4" t="n">
        <v>2.4975</v>
      </c>
      <c r="J318" s="4" t="str">
        <f aca="false">TRIM(E318) &amp; TRIM(C318) &amp; TRIM(D318)</f>
        <v>First ReviewBid Ad GroupRO</v>
      </c>
      <c r="K318" s="4" t="n">
        <f aca="false">IFERROR(I318*60,"")</f>
        <v>149.85</v>
      </c>
    </row>
    <row r="319" customFormat="false" ht="15" hidden="false" customHeight="false" outlineLevel="0" collapsed="false">
      <c r="A319" s="4" t="s">
        <v>15</v>
      </c>
      <c r="B319" s="4" t="s">
        <v>56</v>
      </c>
      <c r="C319" s="4" t="s">
        <v>93</v>
      </c>
      <c r="D319" s="4" t="s">
        <v>271</v>
      </c>
      <c r="E319" s="4" t="s">
        <v>63</v>
      </c>
      <c r="F319" s="4" t="s">
        <v>63</v>
      </c>
      <c r="G319" s="4" t="s">
        <v>407</v>
      </c>
      <c r="H319" s="4"/>
      <c r="I319" s="4" t="n">
        <v>0.3525</v>
      </c>
      <c r="J319" s="4" t="str">
        <f aca="false">TRIM(E319) &amp; TRIM(C319) &amp; TRIM(D319)</f>
        <v>First ReviewBid AudioKW</v>
      </c>
      <c r="K319" s="4" t="n">
        <f aca="false">IFERROR(I319*60,"")</f>
        <v>21.15</v>
      </c>
    </row>
    <row r="320" customFormat="false" ht="15" hidden="false" customHeight="false" outlineLevel="0" collapsed="false">
      <c r="A320" s="4" t="s">
        <v>15</v>
      </c>
      <c r="B320" s="4" t="s">
        <v>56</v>
      </c>
      <c r="C320" s="4" t="s">
        <v>75</v>
      </c>
      <c r="D320" s="4" t="s">
        <v>267</v>
      </c>
      <c r="E320" s="4" t="s">
        <v>59</v>
      </c>
      <c r="F320" s="4" t="s">
        <v>59</v>
      </c>
      <c r="G320" s="4" t="s">
        <v>339</v>
      </c>
      <c r="H320" s="4"/>
      <c r="I320" s="4" t="n">
        <v>1.865</v>
      </c>
      <c r="J320" s="4" t="str">
        <f aca="false">TRIM(E320) &amp; TRIM(C320) &amp; TRIM(D320)</f>
        <v>Re-reviewBid Ecom Ads GroupID</v>
      </c>
      <c r="K320" s="4" t="n">
        <f aca="false">IFERROR(I320*60,"")</f>
        <v>111.9</v>
      </c>
    </row>
    <row r="321" customFormat="false" ht="15" hidden="false" customHeight="false" outlineLevel="0" collapsed="false">
      <c r="A321" s="4" t="s">
        <v>15</v>
      </c>
      <c r="B321" s="4" t="s">
        <v>56</v>
      </c>
      <c r="C321" s="4" t="s">
        <v>75</v>
      </c>
      <c r="D321" s="4" t="s">
        <v>299</v>
      </c>
      <c r="E321" s="4" t="s">
        <v>63</v>
      </c>
      <c r="F321" s="4" t="s">
        <v>63</v>
      </c>
      <c r="G321" s="4" t="s">
        <v>408</v>
      </c>
      <c r="H321" s="4"/>
      <c r="I321" s="4" t="n">
        <v>2.33</v>
      </c>
      <c r="J321" s="4" t="str">
        <f aca="false">TRIM(E321) &amp; TRIM(C321) &amp; TRIM(D321)</f>
        <v>First ReviewBid Ecom Ads GroupQA</v>
      </c>
      <c r="K321" s="4" t="n">
        <f aca="false">IFERROR(I321*60,"")</f>
        <v>139.8</v>
      </c>
    </row>
    <row r="322" customFormat="false" ht="15" hidden="false" customHeight="false" outlineLevel="0" collapsed="false">
      <c r="A322" s="4" t="s">
        <v>15</v>
      </c>
      <c r="B322" s="4" t="s">
        <v>56</v>
      </c>
      <c r="C322" s="4" t="s">
        <v>119</v>
      </c>
      <c r="D322" s="4" t="s">
        <v>136</v>
      </c>
      <c r="E322" s="4" t="s">
        <v>63</v>
      </c>
      <c r="F322" s="4" t="s">
        <v>63</v>
      </c>
      <c r="G322" s="4" t="s">
        <v>409</v>
      </c>
      <c r="H322" s="4"/>
      <c r="I322" s="4" t="n">
        <v>0.2025</v>
      </c>
      <c r="J322" s="4" t="str">
        <f aca="false">TRIM(E322) &amp; TRIM(C322) &amp; TRIM(D322)</f>
        <v>First ReviewBid Pre ApprovalPE</v>
      </c>
      <c r="K322" s="4" t="n">
        <f aca="false">IFERROR(I322*60,"")</f>
        <v>12.15</v>
      </c>
    </row>
    <row r="323" customFormat="false" ht="15" hidden="false" customHeight="false" outlineLevel="0" collapsed="false">
      <c r="A323" s="4" t="s">
        <v>15</v>
      </c>
      <c r="B323" s="4" t="s">
        <v>56</v>
      </c>
      <c r="C323" s="4" t="s">
        <v>81</v>
      </c>
      <c r="D323" s="4" t="s">
        <v>362</v>
      </c>
      <c r="E323" s="4" t="s">
        <v>63</v>
      </c>
      <c r="F323" s="4" t="s">
        <v>63</v>
      </c>
      <c r="G323" s="4" t="s">
        <v>410</v>
      </c>
      <c r="H323" s="4"/>
      <c r="I323" s="4" t="n">
        <v>0.4448</v>
      </c>
      <c r="J323" s="4" t="str">
        <f aca="false">TRIM(E323) &amp; TRIM(C323) &amp; TRIM(D323)</f>
        <v>First ReviewBid TextPA</v>
      </c>
      <c r="K323" s="4" t="n">
        <f aca="false">IFERROR(I323*60,"")</f>
        <v>26.688</v>
      </c>
    </row>
    <row r="324" customFormat="false" ht="15" hidden="false" customHeight="false" outlineLevel="0" collapsed="false">
      <c r="A324" s="4" t="s">
        <v>15</v>
      </c>
      <c r="B324" s="4" t="s">
        <v>56</v>
      </c>
      <c r="C324" s="4" t="s">
        <v>61</v>
      </c>
      <c r="D324" s="4" t="s">
        <v>206</v>
      </c>
      <c r="E324" s="4" t="s">
        <v>63</v>
      </c>
      <c r="F324" s="4" t="s">
        <v>63</v>
      </c>
      <c r="G324" s="4" t="s">
        <v>411</v>
      </c>
      <c r="H324" s="4"/>
      <c r="I324" s="4" t="n">
        <v>0.9759</v>
      </c>
      <c r="J324" s="4" t="str">
        <f aca="false">TRIM(E324) &amp; TRIM(C324) &amp; TRIM(D324)</f>
        <v>First ReviewBid Ecom URLDZ</v>
      </c>
      <c r="K324" s="4" t="n">
        <f aca="false">IFERROR(I324*60,"")</f>
        <v>58.554</v>
      </c>
    </row>
    <row r="325" customFormat="false" ht="15" hidden="false" customHeight="false" outlineLevel="0" collapsed="false">
      <c r="A325" s="4" t="s">
        <v>15</v>
      </c>
      <c r="B325" s="4" t="s">
        <v>56</v>
      </c>
      <c r="C325" s="4" t="s">
        <v>57</v>
      </c>
      <c r="D325" s="4" t="s">
        <v>255</v>
      </c>
      <c r="E325" s="4" t="s">
        <v>66</v>
      </c>
      <c r="F325" s="4" t="s">
        <v>67</v>
      </c>
      <c r="G325" s="4" t="s">
        <v>256</v>
      </c>
      <c r="H325" s="4"/>
      <c r="I325" s="4" t="n">
        <v>1.7968</v>
      </c>
      <c r="J325" s="4" t="str">
        <f aca="false">TRIM(E325) &amp; TRIM(C325) &amp; TRIM(D325)</f>
        <v>Posted RecallBid Ad GroupNZ</v>
      </c>
      <c r="K325" s="4" t="n">
        <f aca="false">IFERROR(I325*60,"")</f>
        <v>107.808</v>
      </c>
    </row>
    <row r="326" customFormat="false" ht="15" hidden="false" customHeight="false" outlineLevel="0" collapsed="false">
      <c r="A326" s="4" t="s">
        <v>15</v>
      </c>
      <c r="B326" s="4" t="s">
        <v>56</v>
      </c>
      <c r="C326" s="4" t="s">
        <v>81</v>
      </c>
      <c r="D326" s="4" t="s">
        <v>271</v>
      </c>
      <c r="E326" s="4" t="s">
        <v>63</v>
      </c>
      <c r="F326" s="4" t="s">
        <v>63</v>
      </c>
      <c r="G326" s="4" t="s">
        <v>412</v>
      </c>
      <c r="H326" s="4"/>
      <c r="I326" s="4" t="n">
        <v>0.3071</v>
      </c>
      <c r="J326" s="4" t="str">
        <f aca="false">TRIM(E326) &amp; TRIM(C326) &amp; TRIM(D326)</f>
        <v>First ReviewBid TextKW</v>
      </c>
      <c r="K326" s="4" t="n">
        <f aca="false">IFERROR(I326*60,"")</f>
        <v>18.426</v>
      </c>
    </row>
    <row r="327" customFormat="false" ht="15" hidden="false" customHeight="false" outlineLevel="0" collapsed="false">
      <c r="A327" s="4" t="s">
        <v>15</v>
      </c>
      <c r="B327" s="4" t="s">
        <v>56</v>
      </c>
      <c r="C327" s="4" t="s">
        <v>374</v>
      </c>
      <c r="D327" s="4" t="s">
        <v>111</v>
      </c>
      <c r="E327" s="4" t="s">
        <v>63</v>
      </c>
      <c r="F327" s="4" t="s">
        <v>63</v>
      </c>
      <c r="G327" s="4" t="s">
        <v>375</v>
      </c>
      <c r="H327" s="4"/>
      <c r="I327" s="4" t="n">
        <v>4.2523</v>
      </c>
      <c r="J327" s="4" t="str">
        <f aca="false">TRIM(E327) &amp; TRIM(C327) &amp; TRIM(D327)</f>
        <v>First ReviewLead Instant FormUS</v>
      </c>
      <c r="K327" s="4" t="n">
        <f aca="false">IFERROR(I327*60,"")</f>
        <v>255.138</v>
      </c>
    </row>
    <row r="328" customFormat="false" ht="15" hidden="false" customHeight="false" outlineLevel="0" collapsed="false">
      <c r="A328" s="4" t="s">
        <v>15</v>
      </c>
      <c r="B328" s="4" t="s">
        <v>56</v>
      </c>
      <c r="C328" s="4" t="s">
        <v>84</v>
      </c>
      <c r="D328" s="4" t="s">
        <v>251</v>
      </c>
      <c r="E328" s="4" t="s">
        <v>63</v>
      </c>
      <c r="F328" s="4" t="s">
        <v>63</v>
      </c>
      <c r="G328" s="4" t="s">
        <v>413</v>
      </c>
      <c r="H328" s="4"/>
      <c r="I328" s="4" t="n">
        <v>1.4266</v>
      </c>
      <c r="J328" s="4" t="str">
        <f aca="false">TRIM(E328) &amp; TRIM(C328) &amp; TRIM(D328)</f>
        <v>First ReviewBid Ecom VideoRO</v>
      </c>
      <c r="K328" s="4" t="n">
        <f aca="false">IFERROR(I328*60,"")</f>
        <v>85.596</v>
      </c>
    </row>
    <row r="329" customFormat="false" ht="15" hidden="false" customHeight="false" outlineLevel="0" collapsed="false">
      <c r="A329" s="4" t="s">
        <v>15</v>
      </c>
      <c r="B329" s="4" t="s">
        <v>56</v>
      </c>
      <c r="C329" s="4" t="s">
        <v>72</v>
      </c>
      <c r="D329" s="4" t="s">
        <v>203</v>
      </c>
      <c r="E329" s="4" t="s">
        <v>63</v>
      </c>
      <c r="F329" s="4" t="s">
        <v>63</v>
      </c>
      <c r="G329" s="4" t="s">
        <v>414</v>
      </c>
      <c r="H329" s="4"/>
      <c r="I329" s="4" t="n">
        <v>0.4843</v>
      </c>
      <c r="J329" s="4" t="str">
        <f aca="false">TRIM(E329) &amp; TRIM(C329) &amp; TRIM(D329)</f>
        <v>First ReviewBid ImageCA</v>
      </c>
      <c r="K329" s="4" t="n">
        <f aca="false">IFERROR(I329*60,"")</f>
        <v>29.058</v>
      </c>
    </row>
    <row r="330" customFormat="false" ht="15" hidden="false" customHeight="false" outlineLevel="0" collapsed="false">
      <c r="A330" s="4" t="s">
        <v>15</v>
      </c>
      <c r="B330" s="4" t="s">
        <v>56</v>
      </c>
      <c r="C330" s="4" t="s">
        <v>69</v>
      </c>
      <c r="D330" s="4" t="s">
        <v>415</v>
      </c>
      <c r="E330" s="4" t="s">
        <v>63</v>
      </c>
      <c r="F330" s="4" t="s">
        <v>63</v>
      </c>
      <c r="G330" s="4" t="s">
        <v>416</v>
      </c>
      <c r="H330" s="4"/>
      <c r="I330" s="4" t="n">
        <v>0.315</v>
      </c>
      <c r="J330" s="4" t="str">
        <f aca="false">TRIM(E330) &amp; TRIM(C330) &amp; TRIM(D330)</f>
        <v>First ReviewBid LinkNG</v>
      </c>
      <c r="K330" s="4" t="n">
        <f aca="false">IFERROR(I330*60,"")</f>
        <v>18.9</v>
      </c>
    </row>
    <row r="331" customFormat="false" ht="15" hidden="false" customHeight="false" outlineLevel="0" collapsed="false">
      <c r="A331" s="4" t="s">
        <v>15</v>
      </c>
      <c r="B331" s="4" t="s">
        <v>56</v>
      </c>
      <c r="C331" s="4" t="s">
        <v>75</v>
      </c>
      <c r="D331" s="4" t="s">
        <v>124</v>
      </c>
      <c r="E331" s="4" t="s">
        <v>59</v>
      </c>
      <c r="F331" s="4" t="s">
        <v>59</v>
      </c>
      <c r="G331" s="4" t="s">
        <v>257</v>
      </c>
      <c r="H331" s="4"/>
      <c r="I331" s="4" t="n">
        <v>10.1577</v>
      </c>
      <c r="J331" s="4" t="str">
        <f aca="false">TRIM(E331) &amp; TRIM(C331) &amp; TRIM(D331)</f>
        <v>Re-reviewBid Ecom Ads GroupPT</v>
      </c>
      <c r="K331" s="4" t="n">
        <f aca="false">IFERROR(I331*60,"")</f>
        <v>609.462</v>
      </c>
    </row>
    <row r="332" customFormat="false" ht="15" hidden="false" customHeight="false" outlineLevel="0" collapsed="false">
      <c r="A332" s="4" t="s">
        <v>15</v>
      </c>
      <c r="B332" s="4" t="s">
        <v>56</v>
      </c>
      <c r="C332" s="4" t="s">
        <v>69</v>
      </c>
      <c r="D332" s="4" t="s">
        <v>126</v>
      </c>
      <c r="E332" s="4" t="s">
        <v>63</v>
      </c>
      <c r="F332" s="4" t="s">
        <v>63</v>
      </c>
      <c r="G332" s="4" t="s">
        <v>417</v>
      </c>
      <c r="H332" s="4"/>
      <c r="I332" s="4" t="n">
        <v>1.2471</v>
      </c>
      <c r="J332" s="4" t="str">
        <f aca="false">TRIM(E332) &amp; TRIM(C332) &amp; TRIM(D332)</f>
        <v>First ReviewBid LinkMX</v>
      </c>
      <c r="K332" s="4" t="n">
        <f aca="false">IFERROR(I332*60,"")</f>
        <v>74.826</v>
      </c>
    </row>
    <row r="333" customFormat="false" ht="15" hidden="false" customHeight="false" outlineLevel="0" collapsed="false">
      <c r="A333" s="4" t="s">
        <v>15</v>
      </c>
      <c r="B333" s="4" t="s">
        <v>56</v>
      </c>
      <c r="C333" s="4" t="s">
        <v>57</v>
      </c>
      <c r="D333" s="4" t="s">
        <v>265</v>
      </c>
      <c r="E333" s="4" t="s">
        <v>63</v>
      </c>
      <c r="F333" s="4" t="s">
        <v>63</v>
      </c>
      <c r="G333" s="4" t="s">
        <v>418</v>
      </c>
      <c r="H333" s="4"/>
      <c r="I333" s="4" t="n">
        <v>2.3508</v>
      </c>
      <c r="J333" s="4" t="str">
        <f aca="false">TRIM(E333) &amp; TRIM(C333) &amp; TRIM(D333)</f>
        <v>First ReviewBid Ad GroupNO</v>
      </c>
      <c r="K333" s="4" t="n">
        <f aca="false">IFERROR(I333*60,"")</f>
        <v>141.048</v>
      </c>
    </row>
    <row r="334" customFormat="false" ht="15" hidden="false" customHeight="false" outlineLevel="0" collapsed="false">
      <c r="A334" s="4" t="s">
        <v>15</v>
      </c>
      <c r="B334" s="4" t="s">
        <v>56</v>
      </c>
      <c r="C334" s="4" t="s">
        <v>69</v>
      </c>
      <c r="D334" s="4" t="s">
        <v>251</v>
      </c>
      <c r="E334" s="4" t="s">
        <v>63</v>
      </c>
      <c r="F334" s="4" t="s">
        <v>63</v>
      </c>
      <c r="G334" s="4" t="s">
        <v>419</v>
      </c>
      <c r="H334" s="4"/>
      <c r="I334" s="4" t="n">
        <v>1.1182</v>
      </c>
      <c r="J334" s="4" t="str">
        <f aca="false">TRIM(E334) &amp; TRIM(C334) &amp; TRIM(D334)</f>
        <v>First ReviewBid LinkRO</v>
      </c>
      <c r="K334" s="4" t="n">
        <f aca="false">IFERROR(I334*60,"")</f>
        <v>67.092</v>
      </c>
    </row>
    <row r="335" customFormat="false" ht="15" hidden="false" customHeight="false" outlineLevel="0" collapsed="false">
      <c r="A335" s="4" t="s">
        <v>15</v>
      </c>
      <c r="B335" s="4" t="s">
        <v>56</v>
      </c>
      <c r="C335" s="4" t="s">
        <v>84</v>
      </c>
      <c r="D335" s="4" t="s">
        <v>235</v>
      </c>
      <c r="E335" s="4" t="s">
        <v>63</v>
      </c>
      <c r="F335" s="4" t="s">
        <v>63</v>
      </c>
      <c r="G335" s="4" t="s">
        <v>420</v>
      </c>
      <c r="H335" s="4"/>
      <c r="I335" s="4" t="n">
        <v>1.0115</v>
      </c>
      <c r="J335" s="4" t="str">
        <f aca="false">TRIM(E335) &amp; TRIM(C335) &amp; TRIM(D335)</f>
        <v>First ReviewBid Ecom VideoJP</v>
      </c>
      <c r="K335" s="4" t="n">
        <f aca="false">IFERROR(I335*60,"")</f>
        <v>60.69</v>
      </c>
    </row>
    <row r="336" customFormat="false" ht="15" hidden="false" customHeight="false" outlineLevel="0" collapsed="false">
      <c r="A336" s="4" t="s">
        <v>15</v>
      </c>
      <c r="B336" s="4" t="s">
        <v>56</v>
      </c>
      <c r="C336" s="4" t="s">
        <v>78</v>
      </c>
      <c r="D336" s="4" t="s">
        <v>159</v>
      </c>
      <c r="E336" s="4" t="s">
        <v>63</v>
      </c>
      <c r="F336" s="4" t="s">
        <v>63</v>
      </c>
      <c r="G336" s="4" t="s">
        <v>421</v>
      </c>
      <c r="H336" s="4"/>
      <c r="I336" s="4" t="n">
        <v>0.7197</v>
      </c>
      <c r="J336" s="4" t="str">
        <f aca="false">TRIM(E336) &amp; TRIM(C336) &amp; TRIM(D336)</f>
        <v>First ReviewBid VideoDO</v>
      </c>
      <c r="K336" s="4" t="n">
        <f aca="false">IFERROR(I336*60,"")</f>
        <v>43.182</v>
      </c>
    </row>
    <row r="337" customFormat="false" ht="15" hidden="false" customHeight="false" outlineLevel="0" collapsed="false">
      <c r="A337" s="4" t="s">
        <v>15</v>
      </c>
      <c r="B337" s="4" t="s">
        <v>56</v>
      </c>
      <c r="C337" s="4" t="s">
        <v>57</v>
      </c>
      <c r="D337" s="4" t="s">
        <v>255</v>
      </c>
      <c r="E337" s="4" t="s">
        <v>63</v>
      </c>
      <c r="F337" s="4" t="s">
        <v>63</v>
      </c>
      <c r="G337" s="4" t="s">
        <v>256</v>
      </c>
      <c r="H337" s="4"/>
      <c r="I337" s="4" t="n">
        <v>1.8984</v>
      </c>
      <c r="J337" s="4" t="str">
        <f aca="false">TRIM(E337) &amp; TRIM(C337) &amp; TRIM(D337)</f>
        <v>First ReviewBid Ad GroupNZ</v>
      </c>
      <c r="K337" s="4" t="n">
        <f aca="false">IFERROR(I337*60,"")</f>
        <v>113.904</v>
      </c>
    </row>
    <row r="338" customFormat="false" ht="15" hidden="false" customHeight="false" outlineLevel="0" collapsed="false">
      <c r="A338" s="4" t="s">
        <v>15</v>
      </c>
      <c r="B338" s="4" t="s">
        <v>56</v>
      </c>
      <c r="C338" s="4" t="s">
        <v>84</v>
      </c>
      <c r="D338" s="4" t="s">
        <v>130</v>
      </c>
      <c r="E338" s="4" t="s">
        <v>63</v>
      </c>
      <c r="F338" s="4" t="s">
        <v>63</v>
      </c>
      <c r="G338" s="4" t="s">
        <v>422</v>
      </c>
      <c r="H338" s="4"/>
      <c r="I338" s="4" t="n">
        <v>0.9494</v>
      </c>
      <c r="J338" s="4" t="str">
        <f aca="false">TRIM(E338) &amp; TRIM(C338) &amp; TRIM(D338)</f>
        <v>First ReviewBid Ecom VideoMA</v>
      </c>
      <c r="K338" s="4" t="n">
        <f aca="false">IFERROR(I338*60,"")</f>
        <v>56.964</v>
      </c>
    </row>
    <row r="339" customFormat="false" ht="15" hidden="false" customHeight="false" outlineLevel="0" collapsed="false">
      <c r="A339" s="4" t="s">
        <v>15</v>
      </c>
      <c r="B339" s="4" t="s">
        <v>56</v>
      </c>
      <c r="C339" s="4" t="s">
        <v>78</v>
      </c>
      <c r="D339" s="4" t="s">
        <v>362</v>
      </c>
      <c r="E339" s="4" t="s">
        <v>63</v>
      </c>
      <c r="F339" s="4" t="s">
        <v>63</v>
      </c>
      <c r="G339" s="4" t="s">
        <v>423</v>
      </c>
      <c r="H339" s="4"/>
      <c r="I339" s="4" t="n">
        <v>0.9184</v>
      </c>
      <c r="J339" s="4" t="str">
        <f aca="false">TRIM(E339) &amp; TRIM(C339) &amp; TRIM(D339)</f>
        <v>First ReviewBid VideoPA</v>
      </c>
      <c r="K339" s="4" t="n">
        <f aca="false">IFERROR(I339*60,"")</f>
        <v>55.104</v>
      </c>
    </row>
    <row r="340" customFormat="false" ht="15" hidden="false" customHeight="false" outlineLevel="0" collapsed="false">
      <c r="A340" s="4" t="s">
        <v>15</v>
      </c>
      <c r="B340" s="4" t="s">
        <v>56</v>
      </c>
      <c r="C340" s="4" t="s">
        <v>61</v>
      </c>
      <c r="D340" s="4" t="s">
        <v>262</v>
      </c>
      <c r="E340" s="4" t="s">
        <v>63</v>
      </c>
      <c r="F340" s="4" t="s">
        <v>63</v>
      </c>
      <c r="G340" s="4" t="s">
        <v>424</v>
      </c>
      <c r="H340" s="4"/>
      <c r="I340" s="4" t="n">
        <v>0.8613</v>
      </c>
      <c r="J340" s="4" t="str">
        <f aca="false">TRIM(E340) &amp; TRIM(C340) &amp; TRIM(D340)</f>
        <v>First ReviewBid Ecom URLSI</v>
      </c>
      <c r="K340" s="4" t="n">
        <f aca="false">IFERROR(I340*60,"")</f>
        <v>51.678</v>
      </c>
    </row>
    <row r="341" customFormat="false" ht="15" hidden="false" customHeight="false" outlineLevel="0" collapsed="false">
      <c r="A341" s="4" t="s">
        <v>15</v>
      </c>
      <c r="B341" s="4" t="s">
        <v>56</v>
      </c>
      <c r="C341" s="4" t="s">
        <v>75</v>
      </c>
      <c r="D341" s="4" t="s">
        <v>262</v>
      </c>
      <c r="E341" s="4" t="s">
        <v>59</v>
      </c>
      <c r="F341" s="4" t="s">
        <v>59</v>
      </c>
      <c r="G341" s="4" t="s">
        <v>338</v>
      </c>
      <c r="H341" s="4"/>
      <c r="I341" s="4" t="n">
        <v>28.4987</v>
      </c>
      <c r="J341" s="4" t="str">
        <f aca="false">TRIM(E341) &amp; TRIM(C341) &amp; TRIM(D341)</f>
        <v>Re-reviewBid Ecom Ads GroupSI</v>
      </c>
      <c r="K341" s="4" t="n">
        <f aca="false">IFERROR(I341*60,"")</f>
        <v>1709.922</v>
      </c>
    </row>
    <row r="342" customFormat="false" ht="15" hidden="false" customHeight="false" outlineLevel="0" collapsed="false">
      <c r="A342" s="4" t="s">
        <v>15</v>
      </c>
      <c r="B342" s="4" t="s">
        <v>56</v>
      </c>
      <c r="C342" s="4" t="s">
        <v>69</v>
      </c>
      <c r="D342" s="4" t="s">
        <v>299</v>
      </c>
      <c r="E342" s="4" t="s">
        <v>63</v>
      </c>
      <c r="F342" s="4" t="s">
        <v>63</v>
      </c>
      <c r="G342" s="4" t="s">
        <v>425</v>
      </c>
      <c r="H342" s="4"/>
      <c r="I342" s="4" t="n">
        <v>0.7946</v>
      </c>
      <c r="J342" s="4" t="str">
        <f aca="false">TRIM(E342) &amp; TRIM(C342) &amp; TRIM(D342)</f>
        <v>First ReviewBid LinkQA</v>
      </c>
      <c r="K342" s="4" t="n">
        <f aca="false">IFERROR(I342*60,"")</f>
        <v>47.676</v>
      </c>
    </row>
    <row r="343" customFormat="false" ht="15" hidden="false" customHeight="false" outlineLevel="0" collapsed="false">
      <c r="A343" s="4" t="s">
        <v>15</v>
      </c>
      <c r="B343" s="4" t="s">
        <v>56</v>
      </c>
      <c r="C343" s="4" t="s">
        <v>93</v>
      </c>
      <c r="D343" s="4" t="s">
        <v>58</v>
      </c>
      <c r="E343" s="4" t="s">
        <v>63</v>
      </c>
      <c r="F343" s="4" t="s">
        <v>63</v>
      </c>
      <c r="G343" s="4" t="s">
        <v>426</v>
      </c>
      <c r="H343" s="4"/>
      <c r="I343" s="4" t="n">
        <v>0.2566</v>
      </c>
      <c r="J343" s="4" t="str">
        <f aca="false">TRIM(E343) &amp; TRIM(C343) &amp; TRIM(D343)</f>
        <v>First ReviewBid AudioSG</v>
      </c>
      <c r="K343" s="4" t="n">
        <f aca="false">IFERROR(I343*60,"")</f>
        <v>15.396</v>
      </c>
    </row>
    <row r="344" customFormat="false" ht="15" hidden="false" customHeight="false" outlineLevel="0" collapsed="false">
      <c r="A344" s="4" t="s">
        <v>15</v>
      </c>
      <c r="B344" s="4" t="s">
        <v>56</v>
      </c>
      <c r="C344" s="4" t="s">
        <v>374</v>
      </c>
      <c r="D344" s="4" t="s">
        <v>235</v>
      </c>
      <c r="E344" s="4" t="s">
        <v>63</v>
      </c>
      <c r="F344" s="4" t="s">
        <v>63</v>
      </c>
      <c r="G344" s="4" t="s">
        <v>427</v>
      </c>
      <c r="H344" s="4"/>
      <c r="I344" s="4" t="n">
        <v>5.3334</v>
      </c>
      <c r="J344" s="4" t="str">
        <f aca="false">TRIM(E344) &amp; TRIM(C344) &amp; TRIM(D344)</f>
        <v>First ReviewLead Instant FormJP</v>
      </c>
      <c r="K344" s="4" t="n">
        <f aca="false">IFERROR(I344*60,"")</f>
        <v>320.004</v>
      </c>
    </row>
    <row r="345" customFormat="false" ht="15" hidden="false" customHeight="false" outlineLevel="0" collapsed="false">
      <c r="A345" s="4" t="s">
        <v>15</v>
      </c>
      <c r="B345" s="4" t="s">
        <v>56</v>
      </c>
      <c r="C345" s="4" t="s">
        <v>93</v>
      </c>
      <c r="D345" s="4" t="s">
        <v>284</v>
      </c>
      <c r="E345" s="4" t="s">
        <v>63</v>
      </c>
      <c r="F345" s="4" t="s">
        <v>63</v>
      </c>
      <c r="G345" s="4" t="s">
        <v>428</v>
      </c>
      <c r="H345" s="4"/>
      <c r="I345" s="4" t="n">
        <v>1.1772</v>
      </c>
      <c r="J345" s="4" t="str">
        <f aca="false">TRIM(E345) &amp; TRIM(C345) &amp; TRIM(D345)</f>
        <v>First ReviewBid AudioTR</v>
      </c>
      <c r="K345" s="4" t="n">
        <f aca="false">IFERROR(I345*60,"")</f>
        <v>70.632</v>
      </c>
    </row>
    <row r="346" customFormat="false" ht="15" hidden="false" customHeight="false" outlineLevel="0" collapsed="false">
      <c r="A346" s="4" t="s">
        <v>15</v>
      </c>
      <c r="B346" s="4" t="s">
        <v>56</v>
      </c>
      <c r="C346" s="4" t="s">
        <v>119</v>
      </c>
      <c r="D346" s="4" t="s">
        <v>126</v>
      </c>
      <c r="E346" s="4" t="s">
        <v>63</v>
      </c>
      <c r="F346" s="4" t="s">
        <v>63</v>
      </c>
      <c r="G346" s="4" t="s">
        <v>429</v>
      </c>
      <c r="H346" s="4"/>
      <c r="I346" s="4" t="n">
        <v>2.0079</v>
      </c>
      <c r="J346" s="4" t="str">
        <f aca="false">TRIM(E346) &amp; TRIM(C346) &amp; TRIM(D346)</f>
        <v>First ReviewBid Pre ApprovalMX</v>
      </c>
      <c r="K346" s="4" t="n">
        <f aca="false">IFERROR(I346*60,"")</f>
        <v>120.474</v>
      </c>
    </row>
    <row r="347" customFormat="false" ht="15" hidden="false" customHeight="false" outlineLevel="0" collapsed="false">
      <c r="A347" s="4" t="s">
        <v>15</v>
      </c>
      <c r="B347" s="4" t="s">
        <v>56</v>
      </c>
      <c r="C347" s="4" t="s">
        <v>78</v>
      </c>
      <c r="D347" s="4" t="s">
        <v>255</v>
      </c>
      <c r="E347" s="4" t="s">
        <v>63</v>
      </c>
      <c r="F347" s="4" t="s">
        <v>63</v>
      </c>
      <c r="G347" s="4" t="s">
        <v>430</v>
      </c>
      <c r="H347" s="4"/>
      <c r="I347" s="4" t="n">
        <v>0.7583</v>
      </c>
      <c r="J347" s="4" t="str">
        <f aca="false">TRIM(E347) &amp; TRIM(C347) &amp; TRIM(D347)</f>
        <v>First ReviewBid VideoNZ</v>
      </c>
      <c r="K347" s="4" t="n">
        <f aca="false">IFERROR(I347*60,"")</f>
        <v>45.498</v>
      </c>
    </row>
    <row r="348" customFormat="false" ht="15" hidden="false" customHeight="false" outlineLevel="0" collapsed="false">
      <c r="A348" s="4" t="s">
        <v>15</v>
      </c>
      <c r="B348" s="4" t="s">
        <v>56</v>
      </c>
      <c r="C348" s="4" t="s">
        <v>61</v>
      </c>
      <c r="D348" s="4" t="s">
        <v>231</v>
      </c>
      <c r="E348" s="4" t="s">
        <v>63</v>
      </c>
      <c r="F348" s="4" t="s">
        <v>63</v>
      </c>
      <c r="G348" s="4" t="s">
        <v>431</v>
      </c>
      <c r="H348" s="4"/>
      <c r="I348" s="4" t="n">
        <v>1.4957</v>
      </c>
      <c r="J348" s="4" t="str">
        <f aca="false">TRIM(E348) &amp; TRIM(C348) &amp; TRIM(D348)</f>
        <v>First ReviewBid Ecom URLIL</v>
      </c>
      <c r="K348" s="4" t="n">
        <f aca="false">IFERROR(I348*60,"")</f>
        <v>89.742</v>
      </c>
    </row>
    <row r="349" customFormat="false" ht="15" hidden="false" customHeight="false" outlineLevel="0" collapsed="false">
      <c r="A349" s="4" t="s">
        <v>15</v>
      </c>
      <c r="B349" s="4" t="s">
        <v>56</v>
      </c>
      <c r="C349" s="4" t="s">
        <v>57</v>
      </c>
      <c r="D349" s="4" t="s">
        <v>97</v>
      </c>
      <c r="E349" s="4" t="s">
        <v>66</v>
      </c>
      <c r="F349" s="4" t="s">
        <v>67</v>
      </c>
      <c r="G349" s="4" t="s">
        <v>432</v>
      </c>
      <c r="H349" s="4"/>
      <c r="I349" s="4" t="n">
        <v>1.2223</v>
      </c>
      <c r="J349" s="4" t="str">
        <f aca="false">TRIM(E349) &amp; TRIM(C349) &amp; TRIM(D349)</f>
        <v>Posted RecallBid Ad GroupBR</v>
      </c>
      <c r="K349" s="4" t="n">
        <f aca="false">IFERROR(I349*60,"")</f>
        <v>73.338</v>
      </c>
    </row>
    <row r="350" customFormat="false" ht="15" hidden="false" customHeight="false" outlineLevel="0" collapsed="false">
      <c r="A350" s="4" t="s">
        <v>15</v>
      </c>
      <c r="B350" s="4" t="s">
        <v>56</v>
      </c>
      <c r="C350" s="4" t="s">
        <v>75</v>
      </c>
      <c r="D350" s="4" t="s">
        <v>164</v>
      </c>
      <c r="E350" s="4" t="s">
        <v>66</v>
      </c>
      <c r="F350" s="4" t="s">
        <v>67</v>
      </c>
      <c r="G350" s="4" t="s">
        <v>433</v>
      </c>
      <c r="H350" s="4"/>
      <c r="I350" s="4" t="n">
        <v>0.6991</v>
      </c>
      <c r="J350" s="4" t="str">
        <f aca="false">TRIM(E350) &amp; TRIM(C350) &amp; TRIM(D350)</f>
        <v>Posted RecallBid Ecom Ads GroupCR</v>
      </c>
      <c r="K350" s="4" t="n">
        <f aca="false">IFERROR(I350*60,"")</f>
        <v>41.946</v>
      </c>
    </row>
    <row r="351" customFormat="false" ht="15" hidden="false" customHeight="false" outlineLevel="0" collapsed="false">
      <c r="A351" s="4" t="s">
        <v>15</v>
      </c>
      <c r="B351" s="4" t="s">
        <v>56</v>
      </c>
      <c r="C351" s="4" t="s">
        <v>75</v>
      </c>
      <c r="D351" s="4" t="s">
        <v>306</v>
      </c>
      <c r="E351" s="4" t="s">
        <v>63</v>
      </c>
      <c r="F351" s="4" t="s">
        <v>63</v>
      </c>
      <c r="G351" s="4" t="s">
        <v>434</v>
      </c>
      <c r="H351" s="4"/>
      <c r="I351" s="4" t="n">
        <v>1.963</v>
      </c>
      <c r="J351" s="4" t="str">
        <f aca="false">TRIM(E351) &amp; TRIM(C351) &amp; TRIM(D351)</f>
        <v>First ReviewBid Ecom Ads GroupTH</v>
      </c>
      <c r="K351" s="4" t="n">
        <f aca="false">IFERROR(I351*60,"")</f>
        <v>117.78</v>
      </c>
    </row>
    <row r="352" customFormat="false" ht="15" hidden="false" customHeight="false" outlineLevel="0" collapsed="false">
      <c r="A352" s="4" t="s">
        <v>15</v>
      </c>
      <c r="B352" s="4" t="s">
        <v>56</v>
      </c>
      <c r="C352" s="4" t="s">
        <v>81</v>
      </c>
      <c r="D352" s="4" t="s">
        <v>145</v>
      </c>
      <c r="E352" s="4" t="s">
        <v>63</v>
      </c>
      <c r="F352" s="4" t="s">
        <v>63</v>
      </c>
      <c r="G352" s="4" t="s">
        <v>435</v>
      </c>
      <c r="H352" s="4"/>
      <c r="I352" s="4" t="n">
        <v>0.2831</v>
      </c>
      <c r="J352" s="4" t="str">
        <f aca="false">TRIM(E352) &amp; TRIM(C352) &amp; TRIM(D352)</f>
        <v>First ReviewBid TextRS</v>
      </c>
      <c r="K352" s="4" t="n">
        <f aca="false">IFERROR(I352*60,"")</f>
        <v>16.986</v>
      </c>
    </row>
    <row r="353" customFormat="false" ht="15" hidden="false" customHeight="false" outlineLevel="0" collapsed="false">
      <c r="A353" s="4" t="s">
        <v>15</v>
      </c>
      <c r="B353" s="4" t="s">
        <v>56</v>
      </c>
      <c r="C353" s="4" t="s">
        <v>119</v>
      </c>
      <c r="D353" s="4" t="s">
        <v>195</v>
      </c>
      <c r="E353" s="4" t="s">
        <v>63</v>
      </c>
      <c r="F353" s="4" t="s">
        <v>63</v>
      </c>
      <c r="G353" s="4" t="s">
        <v>436</v>
      </c>
      <c r="H353" s="4"/>
      <c r="I353" s="4" t="n">
        <v>9.1547</v>
      </c>
      <c r="J353" s="4" t="str">
        <f aca="false">TRIM(E353) &amp; TRIM(C353) &amp; TRIM(D353)</f>
        <v>First ReviewBid Pre ApprovalIT</v>
      </c>
      <c r="K353" s="4" t="n">
        <f aca="false">IFERROR(I353*60,"")</f>
        <v>549.282</v>
      </c>
    </row>
    <row r="354" customFormat="false" ht="15" hidden="false" customHeight="false" outlineLevel="0" collapsed="false">
      <c r="A354" s="4" t="s">
        <v>15</v>
      </c>
      <c r="B354" s="4" t="s">
        <v>56</v>
      </c>
      <c r="C354" s="4" t="s">
        <v>75</v>
      </c>
      <c r="D354" s="4" t="s">
        <v>130</v>
      </c>
      <c r="E354" s="4" t="s">
        <v>66</v>
      </c>
      <c r="F354" s="4" t="s">
        <v>67</v>
      </c>
      <c r="G354" s="4" t="s">
        <v>296</v>
      </c>
      <c r="H354" s="4"/>
      <c r="I354" s="4" t="n">
        <v>2.5184</v>
      </c>
      <c r="J354" s="4" t="str">
        <f aca="false">TRIM(E354) &amp; TRIM(C354) &amp; TRIM(D354)</f>
        <v>Posted RecallBid Ecom Ads GroupMA</v>
      </c>
      <c r="K354" s="4" t="n">
        <f aca="false">IFERROR(I354*60,"")</f>
        <v>151.104</v>
      </c>
    </row>
    <row r="355" customFormat="false" ht="15" hidden="false" customHeight="false" outlineLevel="0" collapsed="false">
      <c r="A355" s="4" t="s">
        <v>15</v>
      </c>
      <c r="B355" s="4" t="s">
        <v>56</v>
      </c>
      <c r="C355" s="4" t="s">
        <v>57</v>
      </c>
      <c r="D355" s="4" t="s">
        <v>152</v>
      </c>
      <c r="E355" s="4" t="s">
        <v>59</v>
      </c>
      <c r="F355" s="4" t="s">
        <v>59</v>
      </c>
      <c r="G355" s="4" t="s">
        <v>404</v>
      </c>
      <c r="H355" s="4"/>
      <c r="I355" s="4" t="n">
        <v>8.7751</v>
      </c>
      <c r="J355" s="4" t="str">
        <f aca="false">TRIM(E355) &amp; TRIM(C355) &amp; TRIM(D355)</f>
        <v>Re-reviewBid Ad GroupCY</v>
      </c>
      <c r="K355" s="4" t="n">
        <f aca="false">IFERROR(I355*60,"")</f>
        <v>526.506</v>
      </c>
    </row>
    <row r="356" customFormat="false" ht="15" hidden="false" customHeight="false" outlineLevel="0" collapsed="false">
      <c r="A356" s="4" t="s">
        <v>15</v>
      </c>
      <c r="B356" s="4" t="s">
        <v>56</v>
      </c>
      <c r="C356" s="4" t="s">
        <v>75</v>
      </c>
      <c r="D356" s="4" t="s">
        <v>152</v>
      </c>
      <c r="E356" s="4" t="s">
        <v>66</v>
      </c>
      <c r="F356" s="4" t="s">
        <v>67</v>
      </c>
      <c r="G356" s="4" t="s">
        <v>437</v>
      </c>
      <c r="H356" s="4"/>
      <c r="I356" s="4" t="n">
        <v>0.7539</v>
      </c>
      <c r="J356" s="4" t="str">
        <f aca="false">TRIM(E356) &amp; TRIM(C356) &amp; TRIM(D356)</f>
        <v>Posted RecallBid Ecom Ads GroupCY</v>
      </c>
      <c r="K356" s="4" t="n">
        <f aca="false">IFERROR(I356*60,"")</f>
        <v>45.234</v>
      </c>
    </row>
    <row r="357" customFormat="false" ht="15" hidden="false" customHeight="false" outlineLevel="0" collapsed="false">
      <c r="A357" s="4" t="s">
        <v>15</v>
      </c>
      <c r="B357" s="4" t="s">
        <v>56</v>
      </c>
      <c r="C357" s="4" t="s">
        <v>78</v>
      </c>
      <c r="D357" s="4" t="s">
        <v>166</v>
      </c>
      <c r="E357" s="4" t="s">
        <v>63</v>
      </c>
      <c r="F357" s="4" t="s">
        <v>63</v>
      </c>
      <c r="G357" s="4" t="s">
        <v>438</v>
      </c>
      <c r="H357" s="4"/>
      <c r="I357" s="4" t="n">
        <v>1.6239</v>
      </c>
      <c r="J357" s="4" t="str">
        <f aca="false">TRIM(E357) &amp; TRIM(C357) &amp; TRIM(D357)</f>
        <v>First ReviewBid VideoCZ</v>
      </c>
      <c r="K357" s="4" t="n">
        <f aca="false">IFERROR(I357*60,"")</f>
        <v>97.434</v>
      </c>
    </row>
    <row r="358" customFormat="false" ht="15" hidden="false" customHeight="false" outlineLevel="0" collapsed="false">
      <c r="A358" s="4" t="s">
        <v>15</v>
      </c>
      <c r="B358" s="4" t="s">
        <v>56</v>
      </c>
      <c r="C358" s="4" t="s">
        <v>75</v>
      </c>
      <c r="D358" s="4" t="s">
        <v>164</v>
      </c>
      <c r="E358" s="4" t="s">
        <v>63</v>
      </c>
      <c r="F358" s="4" t="s">
        <v>63</v>
      </c>
      <c r="G358" s="4" t="s">
        <v>433</v>
      </c>
      <c r="H358" s="4"/>
      <c r="I358" s="4" t="n">
        <v>6.0589</v>
      </c>
      <c r="J358" s="4" t="str">
        <f aca="false">TRIM(E358) &amp; TRIM(C358) &amp; TRIM(D358)</f>
        <v>First ReviewBid Ecom Ads GroupCR</v>
      </c>
      <c r="K358" s="4" t="n">
        <f aca="false">IFERROR(I358*60,"")</f>
        <v>363.534</v>
      </c>
    </row>
    <row r="359" customFormat="false" ht="15" hidden="false" customHeight="false" outlineLevel="0" collapsed="false">
      <c r="A359" s="4" t="s">
        <v>15</v>
      </c>
      <c r="B359" s="4" t="s">
        <v>56</v>
      </c>
      <c r="C359" s="4" t="s">
        <v>75</v>
      </c>
      <c r="D359" s="4" t="s">
        <v>91</v>
      </c>
      <c r="E359" s="4" t="s">
        <v>66</v>
      </c>
      <c r="F359" s="4" t="s">
        <v>67</v>
      </c>
      <c r="G359" s="4" t="s">
        <v>439</v>
      </c>
      <c r="H359" s="4"/>
      <c r="I359" s="4" t="n">
        <v>3.4222</v>
      </c>
      <c r="J359" s="4" t="str">
        <f aca="false">TRIM(E359) &amp; TRIM(C359) &amp; TRIM(D359)</f>
        <v>Posted RecallBid Ecom Ads GroupHR</v>
      </c>
      <c r="K359" s="4" t="n">
        <f aca="false">IFERROR(I359*60,"")</f>
        <v>205.332</v>
      </c>
    </row>
    <row r="360" customFormat="false" ht="15" hidden="false" customHeight="false" outlineLevel="0" collapsed="false">
      <c r="A360" s="4" t="s">
        <v>15</v>
      </c>
      <c r="B360" s="4" t="s">
        <v>56</v>
      </c>
      <c r="C360" s="4" t="s">
        <v>78</v>
      </c>
      <c r="D360" s="4" t="s">
        <v>117</v>
      </c>
      <c r="E360" s="4" t="s">
        <v>63</v>
      </c>
      <c r="F360" s="4" t="s">
        <v>63</v>
      </c>
      <c r="G360" s="4" t="s">
        <v>440</v>
      </c>
      <c r="H360" s="4"/>
      <c r="I360" s="4" t="n">
        <v>1.0343</v>
      </c>
      <c r="J360" s="4" t="str">
        <f aca="false">TRIM(E360) &amp; TRIM(C360) &amp; TRIM(D360)</f>
        <v>First ReviewBid VideoAR</v>
      </c>
      <c r="K360" s="4" t="n">
        <f aca="false">IFERROR(I360*60,"")</f>
        <v>62.058</v>
      </c>
    </row>
    <row r="361" customFormat="false" ht="15" hidden="false" customHeight="false" outlineLevel="0" collapsed="false">
      <c r="A361" s="4" t="s">
        <v>15</v>
      </c>
      <c r="B361" s="4" t="s">
        <v>56</v>
      </c>
      <c r="C361" s="4" t="s">
        <v>69</v>
      </c>
      <c r="D361" s="4" t="s">
        <v>190</v>
      </c>
      <c r="E361" s="4" t="s">
        <v>63</v>
      </c>
      <c r="F361" s="4" t="s">
        <v>63</v>
      </c>
      <c r="G361" s="4" t="s">
        <v>441</v>
      </c>
      <c r="H361" s="4"/>
      <c r="I361" s="4" t="n">
        <v>0.5906</v>
      </c>
      <c r="J361" s="4" t="str">
        <f aca="false">TRIM(E361) &amp; TRIM(C361) &amp; TRIM(D361)</f>
        <v>First ReviewBid LinkPH</v>
      </c>
      <c r="K361" s="4" t="n">
        <f aca="false">IFERROR(I361*60,"")</f>
        <v>35.436</v>
      </c>
    </row>
    <row r="362" customFormat="false" ht="15" hidden="false" customHeight="false" outlineLevel="0" collapsed="false">
      <c r="A362" s="4" t="s">
        <v>15</v>
      </c>
      <c r="B362" s="4" t="s">
        <v>56</v>
      </c>
      <c r="C362" s="4" t="s">
        <v>84</v>
      </c>
      <c r="D362" s="4" t="s">
        <v>124</v>
      </c>
      <c r="E362" s="4" t="s">
        <v>63</v>
      </c>
      <c r="F362" s="4" t="s">
        <v>63</v>
      </c>
      <c r="G362" s="4" t="s">
        <v>442</v>
      </c>
      <c r="H362" s="4"/>
      <c r="I362" s="4" t="n">
        <v>3.6606</v>
      </c>
      <c r="J362" s="4" t="str">
        <f aca="false">TRIM(E362) &amp; TRIM(C362) &amp; TRIM(D362)</f>
        <v>First ReviewBid Ecom VideoPT</v>
      </c>
      <c r="K362" s="4" t="n">
        <f aca="false">IFERROR(I362*60,"")</f>
        <v>219.636</v>
      </c>
    </row>
    <row r="363" customFormat="false" ht="15" hidden="false" customHeight="false" outlineLevel="0" collapsed="false">
      <c r="A363" s="4" t="s">
        <v>15</v>
      </c>
      <c r="B363" s="4" t="s">
        <v>56</v>
      </c>
      <c r="C363" s="4" t="s">
        <v>57</v>
      </c>
      <c r="D363" s="4" t="s">
        <v>100</v>
      </c>
      <c r="E363" s="4" t="s">
        <v>59</v>
      </c>
      <c r="F363" s="4" t="s">
        <v>59</v>
      </c>
      <c r="G363" s="4" t="s">
        <v>443</v>
      </c>
      <c r="H363" s="4"/>
      <c r="I363" s="4" t="n">
        <v>6.3649</v>
      </c>
      <c r="J363" s="4" t="str">
        <f aca="false">TRIM(E363) &amp; TRIM(C363) &amp; TRIM(D363)</f>
        <v>Re-reviewBid Ad GroupAU</v>
      </c>
      <c r="K363" s="4" t="n">
        <f aca="false">IFERROR(I363*60,"")</f>
        <v>381.894</v>
      </c>
    </row>
    <row r="364" customFormat="false" ht="15" hidden="false" customHeight="false" outlineLevel="0" collapsed="false">
      <c r="A364" s="4" t="s">
        <v>15</v>
      </c>
      <c r="B364" s="4" t="s">
        <v>56</v>
      </c>
      <c r="C364" s="4" t="s">
        <v>72</v>
      </c>
      <c r="D364" s="4" t="s">
        <v>271</v>
      </c>
      <c r="E364" s="4" t="s">
        <v>63</v>
      </c>
      <c r="F364" s="4" t="s">
        <v>63</v>
      </c>
      <c r="G364" s="4" t="s">
        <v>444</v>
      </c>
      <c r="H364" s="4"/>
      <c r="I364" s="4" t="n">
        <v>0.2946</v>
      </c>
      <c r="J364" s="4" t="str">
        <f aca="false">TRIM(E364) &amp; TRIM(C364) &amp; TRIM(D364)</f>
        <v>First ReviewBid ImageKW</v>
      </c>
      <c r="K364" s="4" t="n">
        <f aca="false">IFERROR(I364*60,"")</f>
        <v>17.676</v>
      </c>
    </row>
    <row r="365" customFormat="false" ht="15" hidden="false" customHeight="false" outlineLevel="0" collapsed="false">
      <c r="A365" s="4" t="s">
        <v>15</v>
      </c>
      <c r="B365" s="4" t="s">
        <v>56</v>
      </c>
      <c r="C365" s="4" t="s">
        <v>57</v>
      </c>
      <c r="D365" s="4" t="s">
        <v>82</v>
      </c>
      <c r="E365" s="4" t="s">
        <v>59</v>
      </c>
      <c r="F365" s="4" t="s">
        <v>59</v>
      </c>
      <c r="G365" s="4" t="s">
        <v>176</v>
      </c>
      <c r="H365" s="4"/>
      <c r="I365" s="4" t="n">
        <v>7.0111</v>
      </c>
      <c r="J365" s="4" t="str">
        <f aca="false">TRIM(E365) &amp; TRIM(C365) &amp; TRIM(D365)</f>
        <v>Re-reviewBid Ad GroupKH</v>
      </c>
      <c r="K365" s="4" t="n">
        <f aca="false">IFERROR(I365*60,"")</f>
        <v>420.666</v>
      </c>
    </row>
    <row r="366" customFormat="false" ht="15" hidden="false" customHeight="false" outlineLevel="0" collapsed="false">
      <c r="A366" s="4" t="s">
        <v>15</v>
      </c>
      <c r="B366" s="4" t="s">
        <v>56</v>
      </c>
      <c r="C366" s="4" t="s">
        <v>84</v>
      </c>
      <c r="D366" s="4" t="s">
        <v>128</v>
      </c>
      <c r="E366" s="4" t="s">
        <v>63</v>
      </c>
      <c r="F366" s="4" t="s">
        <v>63</v>
      </c>
      <c r="G366" s="4" t="s">
        <v>445</v>
      </c>
      <c r="H366" s="4"/>
      <c r="I366" s="4" t="n">
        <v>0.7986</v>
      </c>
      <c r="J366" s="4" t="str">
        <f aca="false">TRIM(E366) &amp; TRIM(C366) &amp; TRIM(D366)</f>
        <v>First ReviewBid Ecom VideoBD</v>
      </c>
      <c r="K366" s="4" t="n">
        <f aca="false">IFERROR(I366*60,"")</f>
        <v>47.916</v>
      </c>
    </row>
    <row r="367" customFormat="false" ht="15" hidden="false" customHeight="false" outlineLevel="0" collapsed="false">
      <c r="A367" s="4" t="s">
        <v>15</v>
      </c>
      <c r="B367" s="4" t="s">
        <v>56</v>
      </c>
      <c r="C367" s="4" t="s">
        <v>57</v>
      </c>
      <c r="D367" s="4" t="s">
        <v>58</v>
      </c>
      <c r="E367" s="4" t="s">
        <v>66</v>
      </c>
      <c r="F367" s="4" t="s">
        <v>67</v>
      </c>
      <c r="G367" s="4" t="s">
        <v>60</v>
      </c>
      <c r="H367" s="4"/>
      <c r="I367" s="4" t="n">
        <v>1.8781</v>
      </c>
      <c r="J367" s="4" t="str">
        <f aca="false">TRIM(E367) &amp; TRIM(C367) &amp; TRIM(D367)</f>
        <v>Posted RecallBid Ad GroupSG</v>
      </c>
      <c r="K367" s="4" t="n">
        <f aca="false">IFERROR(I367*60,"")</f>
        <v>112.686</v>
      </c>
    </row>
    <row r="368" customFormat="false" ht="15" hidden="false" customHeight="false" outlineLevel="0" collapsed="false">
      <c r="A368" s="4" t="s">
        <v>15</v>
      </c>
      <c r="B368" s="4" t="s">
        <v>56</v>
      </c>
      <c r="C368" s="4" t="s">
        <v>69</v>
      </c>
      <c r="D368" s="4" t="s">
        <v>197</v>
      </c>
      <c r="E368" s="4" t="s">
        <v>63</v>
      </c>
      <c r="F368" s="4" t="s">
        <v>63</v>
      </c>
      <c r="G368" s="4" t="s">
        <v>446</v>
      </c>
      <c r="H368" s="4"/>
      <c r="I368" s="4" t="n">
        <v>0.7389</v>
      </c>
      <c r="J368" s="4" t="str">
        <f aca="false">TRIM(E368) &amp; TRIM(C368) &amp; TRIM(D368)</f>
        <v>First ReviewBid LinkGR</v>
      </c>
      <c r="K368" s="4" t="n">
        <f aca="false">IFERROR(I368*60,"")</f>
        <v>44.334</v>
      </c>
    </row>
    <row r="369" customFormat="false" ht="15" hidden="false" customHeight="false" outlineLevel="0" collapsed="false">
      <c r="A369" s="4" t="s">
        <v>15</v>
      </c>
      <c r="B369" s="4" t="s">
        <v>56</v>
      </c>
      <c r="C369" s="4" t="s">
        <v>57</v>
      </c>
      <c r="D369" s="4" t="s">
        <v>267</v>
      </c>
      <c r="E369" s="4" t="s">
        <v>59</v>
      </c>
      <c r="F369" s="4" t="s">
        <v>59</v>
      </c>
      <c r="G369" s="4" t="s">
        <v>333</v>
      </c>
      <c r="H369" s="4"/>
      <c r="I369" s="4" t="n">
        <v>3.5953</v>
      </c>
      <c r="J369" s="4" t="str">
        <f aca="false">TRIM(E369) &amp; TRIM(C369) &amp; TRIM(D369)</f>
        <v>Re-reviewBid Ad GroupID</v>
      </c>
      <c r="K369" s="4" t="n">
        <f aca="false">IFERROR(I369*60,"")</f>
        <v>215.718</v>
      </c>
    </row>
    <row r="370" customFormat="false" ht="15" hidden="false" customHeight="false" outlineLevel="0" collapsed="false">
      <c r="A370" s="4" t="s">
        <v>15</v>
      </c>
      <c r="B370" s="4" t="s">
        <v>56</v>
      </c>
      <c r="C370" s="4" t="s">
        <v>61</v>
      </c>
      <c r="D370" s="4" t="s">
        <v>265</v>
      </c>
      <c r="E370" s="4" t="s">
        <v>63</v>
      </c>
      <c r="F370" s="4" t="s">
        <v>63</v>
      </c>
      <c r="G370" s="4" t="s">
        <v>447</v>
      </c>
      <c r="H370" s="4"/>
      <c r="I370" s="4" t="n">
        <v>1.5466</v>
      </c>
      <c r="J370" s="4" t="str">
        <f aca="false">TRIM(E370) &amp; TRIM(C370) &amp; TRIM(D370)</f>
        <v>First ReviewBid Ecom URLNO</v>
      </c>
      <c r="K370" s="4" t="n">
        <f aca="false">IFERROR(I370*60,"")</f>
        <v>92.796</v>
      </c>
    </row>
    <row r="371" customFormat="false" ht="15" hidden="false" customHeight="false" outlineLevel="0" collapsed="false">
      <c r="A371" s="4" t="s">
        <v>15</v>
      </c>
      <c r="B371" s="4" t="s">
        <v>56</v>
      </c>
      <c r="C371" s="4" t="s">
        <v>72</v>
      </c>
      <c r="D371" s="4" t="s">
        <v>319</v>
      </c>
      <c r="E371" s="4" t="s">
        <v>63</v>
      </c>
      <c r="F371" s="4" t="s">
        <v>63</v>
      </c>
      <c r="G371" s="4" t="s">
        <v>448</v>
      </c>
      <c r="H371" s="4"/>
      <c r="I371" s="4" t="n">
        <v>0.6681</v>
      </c>
      <c r="J371" s="4" t="str">
        <f aca="false">TRIM(E371) &amp; TRIM(C371) &amp; TRIM(D371)</f>
        <v>First ReviewBid ImageSK</v>
      </c>
      <c r="K371" s="4" t="n">
        <f aca="false">IFERROR(I371*60,"")</f>
        <v>40.086</v>
      </c>
    </row>
    <row r="372" customFormat="false" ht="15" hidden="false" customHeight="false" outlineLevel="0" collapsed="false">
      <c r="A372" s="4" t="s">
        <v>15</v>
      </c>
      <c r="B372" s="4" t="s">
        <v>56</v>
      </c>
      <c r="C372" s="4" t="s">
        <v>75</v>
      </c>
      <c r="D372" s="4" t="s">
        <v>235</v>
      </c>
      <c r="E372" s="4" t="s">
        <v>66</v>
      </c>
      <c r="F372" s="4" t="s">
        <v>67</v>
      </c>
      <c r="G372" s="4" t="s">
        <v>390</v>
      </c>
      <c r="H372" s="4"/>
      <c r="I372" s="4" t="n">
        <v>2.0971</v>
      </c>
      <c r="J372" s="4" t="str">
        <f aca="false">TRIM(E372) &amp; TRIM(C372) &amp; TRIM(D372)</f>
        <v>Posted RecallBid Ecom Ads GroupJP</v>
      </c>
      <c r="K372" s="4" t="n">
        <f aca="false">IFERROR(I372*60,"")</f>
        <v>125.826</v>
      </c>
    </row>
    <row r="373" customFormat="false" ht="15" hidden="false" customHeight="false" outlineLevel="0" collapsed="false">
      <c r="A373" s="4" t="s">
        <v>15</v>
      </c>
      <c r="B373" s="4" t="s">
        <v>56</v>
      </c>
      <c r="C373" s="4" t="s">
        <v>69</v>
      </c>
      <c r="D373" s="4" t="s">
        <v>115</v>
      </c>
      <c r="E373" s="4" t="s">
        <v>63</v>
      </c>
      <c r="F373" s="4" t="s">
        <v>63</v>
      </c>
      <c r="G373" s="4" t="s">
        <v>449</v>
      </c>
      <c r="H373" s="4"/>
      <c r="I373" s="4" t="n">
        <v>0.7685</v>
      </c>
      <c r="J373" s="4" t="str">
        <f aca="false">TRIM(E373) &amp; TRIM(C373) &amp; TRIM(D373)</f>
        <v>First ReviewBid LinkAT</v>
      </c>
      <c r="K373" s="4" t="n">
        <f aca="false">IFERROR(I373*60,"")</f>
        <v>46.11</v>
      </c>
    </row>
    <row r="374" customFormat="false" ht="15" hidden="false" customHeight="false" outlineLevel="0" collapsed="false">
      <c r="A374" s="4" t="s">
        <v>15</v>
      </c>
      <c r="B374" s="4" t="s">
        <v>56</v>
      </c>
      <c r="C374" s="4" t="s">
        <v>57</v>
      </c>
      <c r="D374" s="4" t="s">
        <v>164</v>
      </c>
      <c r="E374" s="4" t="s">
        <v>63</v>
      </c>
      <c r="F374" s="4" t="s">
        <v>63</v>
      </c>
      <c r="G374" s="4" t="s">
        <v>332</v>
      </c>
      <c r="H374" s="4"/>
      <c r="I374" s="4" t="n">
        <v>2.5347</v>
      </c>
      <c r="J374" s="4" t="str">
        <f aca="false">TRIM(E374) &amp; TRIM(C374) &amp; TRIM(D374)</f>
        <v>First ReviewBid Ad GroupCR</v>
      </c>
      <c r="K374" s="4" t="n">
        <f aca="false">IFERROR(I374*60,"")</f>
        <v>152.082</v>
      </c>
    </row>
    <row r="375" customFormat="false" ht="15" hidden="false" customHeight="false" outlineLevel="0" collapsed="false">
      <c r="A375" s="4" t="s">
        <v>15</v>
      </c>
      <c r="B375" s="4" t="s">
        <v>56</v>
      </c>
      <c r="C375" s="4" t="s">
        <v>57</v>
      </c>
      <c r="D375" s="4" t="s">
        <v>197</v>
      </c>
      <c r="E375" s="4" t="s">
        <v>63</v>
      </c>
      <c r="F375" s="4" t="s">
        <v>63</v>
      </c>
      <c r="G375" s="4" t="s">
        <v>402</v>
      </c>
      <c r="H375" s="4"/>
      <c r="I375" s="4" t="n">
        <v>1.5539</v>
      </c>
      <c r="J375" s="4" t="str">
        <f aca="false">TRIM(E375) &amp; TRIM(C375) &amp; TRIM(D375)</f>
        <v>First ReviewBid Ad GroupGR</v>
      </c>
      <c r="K375" s="4" t="n">
        <f aca="false">IFERROR(I375*60,"")</f>
        <v>93.234</v>
      </c>
    </row>
    <row r="376" customFormat="false" ht="15" hidden="false" customHeight="false" outlineLevel="0" collapsed="false">
      <c r="A376" s="4" t="s">
        <v>15</v>
      </c>
      <c r="B376" s="4" t="s">
        <v>56</v>
      </c>
      <c r="C376" s="4" t="s">
        <v>84</v>
      </c>
      <c r="D376" s="4" t="s">
        <v>271</v>
      </c>
      <c r="E376" s="4" t="s">
        <v>63</v>
      </c>
      <c r="F376" s="4" t="s">
        <v>63</v>
      </c>
      <c r="G376" s="4" t="s">
        <v>450</v>
      </c>
      <c r="H376" s="4"/>
      <c r="I376" s="4" t="n">
        <v>0.9123</v>
      </c>
      <c r="J376" s="4" t="str">
        <f aca="false">TRIM(E376) &amp; TRIM(C376) &amp; TRIM(D376)</f>
        <v>First ReviewBid Ecom VideoKW</v>
      </c>
      <c r="K376" s="4" t="n">
        <f aca="false">IFERROR(I376*60,"")</f>
        <v>54.738</v>
      </c>
    </row>
    <row r="377" customFormat="false" ht="15" hidden="false" customHeight="false" outlineLevel="0" collapsed="false">
      <c r="A377" s="4" t="s">
        <v>15</v>
      </c>
      <c r="B377" s="4" t="s">
        <v>56</v>
      </c>
      <c r="C377" s="4" t="s">
        <v>57</v>
      </c>
      <c r="D377" s="4" t="s">
        <v>150</v>
      </c>
      <c r="E377" s="4" t="s">
        <v>59</v>
      </c>
      <c r="F377" s="4" t="s">
        <v>59</v>
      </c>
      <c r="G377" s="4" t="s">
        <v>451</v>
      </c>
      <c r="H377" s="4"/>
      <c r="I377" s="4" t="n">
        <v>7.6213</v>
      </c>
      <c r="J377" s="4" t="str">
        <f aca="false">TRIM(E377) &amp; TRIM(C377) &amp; TRIM(D377)</f>
        <v>Re-reviewBid Ad GroupDE</v>
      </c>
      <c r="K377" s="4" t="n">
        <f aca="false">IFERROR(I377*60,"")</f>
        <v>457.278</v>
      </c>
    </row>
    <row r="378" customFormat="false" ht="15" hidden="false" customHeight="false" outlineLevel="0" collapsed="false">
      <c r="A378" s="4" t="s">
        <v>15</v>
      </c>
      <c r="B378" s="4" t="s">
        <v>56</v>
      </c>
      <c r="C378" s="4" t="s">
        <v>57</v>
      </c>
      <c r="D378" s="4" t="s">
        <v>308</v>
      </c>
      <c r="E378" s="4" t="s">
        <v>66</v>
      </c>
      <c r="F378" s="4" t="s">
        <v>67</v>
      </c>
      <c r="G378" s="4" t="s">
        <v>452</v>
      </c>
      <c r="H378" s="4"/>
      <c r="I378" s="4" t="n">
        <v>1.7976</v>
      </c>
      <c r="J378" s="4" t="str">
        <f aca="false">TRIM(E378) &amp; TRIM(C378) &amp; TRIM(D378)</f>
        <v>Posted RecallBid Ad GroupPL</v>
      </c>
      <c r="K378" s="4" t="n">
        <f aca="false">IFERROR(I378*60,"")</f>
        <v>107.856</v>
      </c>
    </row>
    <row r="379" customFormat="false" ht="15" hidden="false" customHeight="false" outlineLevel="0" collapsed="false">
      <c r="A379" s="4" t="s">
        <v>15</v>
      </c>
      <c r="B379" s="4" t="s">
        <v>56</v>
      </c>
      <c r="C379" s="4" t="s">
        <v>81</v>
      </c>
      <c r="D379" s="4" t="s">
        <v>221</v>
      </c>
      <c r="E379" s="4" t="s">
        <v>63</v>
      </c>
      <c r="F379" s="4" t="s">
        <v>63</v>
      </c>
      <c r="G379" s="4" t="s">
        <v>453</v>
      </c>
      <c r="H379" s="4"/>
      <c r="I379" s="4" t="n">
        <v>0.3071</v>
      </c>
      <c r="J379" s="4" t="str">
        <f aca="false">TRIM(E379) &amp; TRIM(C379) &amp; TRIM(D379)</f>
        <v>First ReviewBid TextOM</v>
      </c>
      <c r="K379" s="4" t="n">
        <f aca="false">IFERROR(I379*60,"")</f>
        <v>18.426</v>
      </c>
    </row>
    <row r="380" customFormat="false" ht="15" hidden="false" customHeight="false" outlineLevel="0" collapsed="false">
      <c r="A380" s="4" t="s">
        <v>15</v>
      </c>
      <c r="B380" s="4" t="s">
        <v>56</v>
      </c>
      <c r="C380" s="4" t="s">
        <v>57</v>
      </c>
      <c r="D380" s="4" t="s">
        <v>415</v>
      </c>
      <c r="E380" s="4" t="s">
        <v>66</v>
      </c>
      <c r="F380" s="4" t="s">
        <v>67</v>
      </c>
      <c r="G380" s="4" t="s">
        <v>454</v>
      </c>
      <c r="H380" s="4"/>
      <c r="I380" s="4" t="n">
        <v>1.4786</v>
      </c>
      <c r="J380" s="4" t="str">
        <f aca="false">TRIM(E380) &amp; TRIM(C380) &amp; TRIM(D380)</f>
        <v>Posted RecallBid Ad GroupNG</v>
      </c>
      <c r="K380" s="4" t="n">
        <f aca="false">IFERROR(I380*60,"")</f>
        <v>88.716</v>
      </c>
    </row>
    <row r="381" customFormat="false" ht="15" hidden="false" customHeight="false" outlineLevel="0" collapsed="false">
      <c r="A381" s="4" t="s">
        <v>15</v>
      </c>
      <c r="B381" s="4" t="s">
        <v>56</v>
      </c>
      <c r="C381" s="4" t="s">
        <v>69</v>
      </c>
      <c r="D381" s="4" t="s">
        <v>111</v>
      </c>
      <c r="E381" s="4" t="s">
        <v>63</v>
      </c>
      <c r="F381" s="4" t="s">
        <v>63</v>
      </c>
      <c r="G381" s="4" t="s">
        <v>455</v>
      </c>
      <c r="H381" s="4"/>
      <c r="I381" s="4" t="n">
        <v>0.9683</v>
      </c>
      <c r="J381" s="4" t="str">
        <f aca="false">TRIM(E381) &amp; TRIM(C381) &amp; TRIM(D381)</f>
        <v>First ReviewBid LinkUS</v>
      </c>
      <c r="K381" s="4" t="n">
        <f aca="false">IFERROR(I381*60,"")</f>
        <v>58.098</v>
      </c>
    </row>
    <row r="382" customFormat="false" ht="15" hidden="false" customHeight="false" outlineLevel="0" collapsed="false">
      <c r="A382" s="4" t="s">
        <v>15</v>
      </c>
      <c r="B382" s="4" t="s">
        <v>56</v>
      </c>
      <c r="C382" s="4" t="s">
        <v>57</v>
      </c>
      <c r="D382" s="4" t="s">
        <v>162</v>
      </c>
      <c r="E382" s="4" t="s">
        <v>59</v>
      </c>
      <c r="F382" s="4" t="s">
        <v>59</v>
      </c>
      <c r="G382" s="4" t="s">
        <v>456</v>
      </c>
      <c r="H382" s="4"/>
      <c r="I382" s="4" t="n">
        <v>6.237</v>
      </c>
      <c r="J382" s="4" t="str">
        <f aca="false">TRIM(E382) &amp; TRIM(C382) &amp; TRIM(D382)</f>
        <v>Re-reviewBid Ad GroupJO</v>
      </c>
      <c r="K382" s="4" t="n">
        <f aca="false">IFERROR(I382*60,"")</f>
        <v>374.22</v>
      </c>
    </row>
    <row r="383" customFormat="false" ht="15" hidden="false" customHeight="false" outlineLevel="0" collapsed="false">
      <c r="A383" s="4" t="s">
        <v>15</v>
      </c>
      <c r="B383" s="4" t="s">
        <v>56</v>
      </c>
      <c r="C383" s="4" t="s">
        <v>61</v>
      </c>
      <c r="D383" s="4" t="s">
        <v>267</v>
      </c>
      <c r="E383" s="4" t="s">
        <v>63</v>
      </c>
      <c r="F383" s="4" t="s">
        <v>63</v>
      </c>
      <c r="G383" s="4" t="s">
        <v>457</v>
      </c>
      <c r="H383" s="4"/>
      <c r="I383" s="4" t="n">
        <v>1.0794</v>
      </c>
      <c r="J383" s="4" t="str">
        <f aca="false">TRIM(E383) &amp; TRIM(C383) &amp; TRIM(D383)</f>
        <v>First ReviewBid Ecom URLID</v>
      </c>
      <c r="K383" s="4" t="n">
        <f aca="false">IFERROR(I383*60,"")</f>
        <v>64.764</v>
      </c>
    </row>
    <row r="384" customFormat="false" ht="15" hidden="false" customHeight="false" outlineLevel="0" collapsed="false">
      <c r="A384" s="4" t="s">
        <v>15</v>
      </c>
      <c r="B384" s="4" t="s">
        <v>56</v>
      </c>
      <c r="C384" s="4" t="s">
        <v>57</v>
      </c>
      <c r="D384" s="4" t="s">
        <v>458</v>
      </c>
      <c r="E384" s="4" t="s">
        <v>63</v>
      </c>
      <c r="F384" s="4" t="s">
        <v>63</v>
      </c>
      <c r="G384" s="4" t="s">
        <v>459</v>
      </c>
      <c r="H384" s="4"/>
      <c r="I384" s="4" t="n">
        <v>3.7358</v>
      </c>
      <c r="J384" s="4" t="str">
        <f aca="false">TRIM(E384) &amp; TRIM(C384) &amp; TRIM(D384)</f>
        <v>First ReviewBid Ad GroupTW</v>
      </c>
      <c r="K384" s="4" t="n">
        <f aca="false">IFERROR(I384*60,"")</f>
        <v>224.148</v>
      </c>
    </row>
    <row r="385" customFormat="false" ht="15" hidden="false" customHeight="false" outlineLevel="0" collapsed="false">
      <c r="A385" s="4" t="s">
        <v>15</v>
      </c>
      <c r="B385" s="4" t="s">
        <v>56</v>
      </c>
      <c r="C385" s="4" t="s">
        <v>61</v>
      </c>
      <c r="D385" s="4" t="s">
        <v>192</v>
      </c>
      <c r="E385" s="4" t="s">
        <v>63</v>
      </c>
      <c r="F385" s="4" t="s">
        <v>63</v>
      </c>
      <c r="G385" s="4" t="s">
        <v>460</v>
      </c>
      <c r="H385" s="4"/>
      <c r="I385" s="4" t="n">
        <v>1.2873</v>
      </c>
      <c r="J385" s="4" t="str">
        <f aca="false">TRIM(E385) &amp; TRIM(C385) &amp; TRIM(D385)</f>
        <v>First ReviewBid Ecom URLGT</v>
      </c>
      <c r="K385" s="4" t="n">
        <f aca="false">IFERROR(I385*60,"")</f>
        <v>77.238</v>
      </c>
    </row>
    <row r="386" customFormat="false" ht="15" hidden="false" customHeight="false" outlineLevel="0" collapsed="false">
      <c r="A386" s="4" t="s">
        <v>15</v>
      </c>
      <c r="B386" s="4" t="s">
        <v>56</v>
      </c>
      <c r="C386" s="4" t="s">
        <v>57</v>
      </c>
      <c r="D386" s="4" t="s">
        <v>171</v>
      </c>
      <c r="E386" s="4" t="s">
        <v>59</v>
      </c>
      <c r="F386" s="4" t="s">
        <v>59</v>
      </c>
      <c r="G386" s="4" t="s">
        <v>461</v>
      </c>
      <c r="H386" s="4"/>
      <c r="I386" s="4" t="n">
        <v>3.735</v>
      </c>
      <c r="J386" s="4" t="str">
        <f aca="false">TRIM(E386) &amp; TRIM(C386) &amp; TRIM(D386)</f>
        <v>Re-reviewBid Ad GroupKE</v>
      </c>
      <c r="K386" s="4" t="n">
        <f aca="false">IFERROR(I386*60,"")</f>
        <v>224.1</v>
      </c>
    </row>
    <row r="387" customFormat="false" ht="15" hidden="false" customHeight="false" outlineLevel="0" collapsed="false">
      <c r="A387" s="4" t="s">
        <v>15</v>
      </c>
      <c r="B387" s="4" t="s">
        <v>56</v>
      </c>
      <c r="C387" s="4" t="s">
        <v>57</v>
      </c>
      <c r="D387" s="4" t="s">
        <v>178</v>
      </c>
      <c r="E387" s="4" t="s">
        <v>63</v>
      </c>
      <c r="F387" s="4" t="s">
        <v>63</v>
      </c>
      <c r="G387" s="4" t="s">
        <v>462</v>
      </c>
      <c r="H387" s="4"/>
      <c r="I387" s="4" t="n">
        <v>1.4159</v>
      </c>
      <c r="J387" s="4" t="str">
        <f aca="false">TRIM(E387) &amp; TRIM(C387) &amp; TRIM(D387)</f>
        <v>First ReviewBid Ad GroupBO</v>
      </c>
      <c r="K387" s="4" t="n">
        <f aca="false">IFERROR(I387*60,"")</f>
        <v>84.954</v>
      </c>
    </row>
    <row r="388" customFormat="false" ht="15" hidden="false" customHeight="false" outlineLevel="0" collapsed="false">
      <c r="A388" s="4" t="s">
        <v>15</v>
      </c>
      <c r="B388" s="4" t="s">
        <v>56</v>
      </c>
      <c r="C388" s="4" t="s">
        <v>78</v>
      </c>
      <c r="D388" s="4" t="s">
        <v>115</v>
      </c>
      <c r="E388" s="4" t="s">
        <v>63</v>
      </c>
      <c r="F388" s="4" t="s">
        <v>63</v>
      </c>
      <c r="G388" s="4" t="s">
        <v>463</v>
      </c>
      <c r="H388" s="4"/>
      <c r="I388" s="4" t="n">
        <v>1.4957</v>
      </c>
      <c r="J388" s="4" t="str">
        <f aca="false">TRIM(E388) &amp; TRIM(C388) &amp; TRIM(D388)</f>
        <v>First ReviewBid VideoAT</v>
      </c>
      <c r="K388" s="4" t="n">
        <f aca="false">IFERROR(I388*60,"")</f>
        <v>89.742</v>
      </c>
    </row>
    <row r="389" customFormat="false" ht="15" hidden="false" customHeight="false" outlineLevel="0" collapsed="false">
      <c r="A389" s="4" t="s">
        <v>15</v>
      </c>
      <c r="B389" s="4" t="s">
        <v>56</v>
      </c>
      <c r="C389" s="4" t="s">
        <v>119</v>
      </c>
      <c r="D389" s="4" t="s">
        <v>85</v>
      </c>
      <c r="E389" s="4" t="s">
        <v>63</v>
      </c>
      <c r="F389" s="4" t="s">
        <v>63</v>
      </c>
      <c r="G389" s="4" t="s">
        <v>464</v>
      </c>
      <c r="H389" s="4"/>
      <c r="I389" s="4" t="n">
        <v>0.537</v>
      </c>
      <c r="J389" s="4" t="str">
        <f aca="false">TRIM(E389) &amp; TRIM(C389) &amp; TRIM(D389)</f>
        <v>First ReviewBid Pre ApprovalEC</v>
      </c>
      <c r="K389" s="4" t="n">
        <f aca="false">IFERROR(I389*60,"")</f>
        <v>32.22</v>
      </c>
    </row>
    <row r="390" customFormat="false" ht="15" hidden="false" customHeight="false" outlineLevel="0" collapsed="false">
      <c r="A390" s="4" t="s">
        <v>15</v>
      </c>
      <c r="B390" s="4" t="s">
        <v>56</v>
      </c>
      <c r="C390" s="4" t="s">
        <v>57</v>
      </c>
      <c r="D390" s="4" t="s">
        <v>168</v>
      </c>
      <c r="E390" s="4" t="s">
        <v>66</v>
      </c>
      <c r="F390" s="4" t="s">
        <v>67</v>
      </c>
      <c r="G390" s="4" t="s">
        <v>269</v>
      </c>
      <c r="H390" s="4"/>
      <c r="I390" s="4" t="n">
        <v>2.2501</v>
      </c>
      <c r="J390" s="4" t="str">
        <f aca="false">TRIM(E390) &amp; TRIM(C390) &amp; TRIM(D390)</f>
        <v>Posted RecallBid Ad GroupKZ</v>
      </c>
      <c r="K390" s="4" t="n">
        <f aca="false">IFERROR(I390*60,"")</f>
        <v>135.006</v>
      </c>
    </row>
    <row r="391" customFormat="false" ht="15" hidden="false" customHeight="false" outlineLevel="0" collapsed="false">
      <c r="A391" s="4" t="s">
        <v>15</v>
      </c>
      <c r="B391" s="4" t="s">
        <v>56</v>
      </c>
      <c r="C391" s="4" t="s">
        <v>61</v>
      </c>
      <c r="D391" s="4" t="s">
        <v>171</v>
      </c>
      <c r="E391" s="4" t="s">
        <v>63</v>
      </c>
      <c r="F391" s="4" t="s">
        <v>63</v>
      </c>
      <c r="G391" s="4" t="s">
        <v>465</v>
      </c>
      <c r="H391" s="4"/>
      <c r="I391" s="4" t="n">
        <v>1.1873</v>
      </c>
      <c r="J391" s="4" t="str">
        <f aca="false">TRIM(E391) &amp; TRIM(C391) &amp; TRIM(D391)</f>
        <v>First ReviewBid Ecom URLKE</v>
      </c>
      <c r="K391" s="4" t="n">
        <f aca="false">IFERROR(I391*60,"")</f>
        <v>71.238</v>
      </c>
    </row>
    <row r="392" customFormat="false" ht="15" hidden="false" customHeight="false" outlineLevel="0" collapsed="false">
      <c r="A392" s="4" t="s">
        <v>15</v>
      </c>
      <c r="B392" s="4" t="s">
        <v>56</v>
      </c>
      <c r="C392" s="4" t="s">
        <v>75</v>
      </c>
      <c r="D392" s="4" t="s">
        <v>357</v>
      </c>
      <c r="E392" s="4" t="s">
        <v>59</v>
      </c>
      <c r="F392" s="4" t="s">
        <v>59</v>
      </c>
      <c r="G392" s="4" t="s">
        <v>466</v>
      </c>
      <c r="H392" s="4"/>
      <c r="I392" s="4" t="n">
        <v>9.1046</v>
      </c>
      <c r="J392" s="4" t="str">
        <f aca="false">TRIM(E392) &amp; TRIM(C392) &amp; TRIM(D392)</f>
        <v>Re-reviewBid Ecom Ads GroupHU</v>
      </c>
      <c r="K392" s="4" t="n">
        <f aca="false">IFERROR(I392*60,"")</f>
        <v>546.276</v>
      </c>
    </row>
    <row r="393" customFormat="false" ht="15" hidden="false" customHeight="false" outlineLevel="0" collapsed="false">
      <c r="A393" s="4" t="s">
        <v>15</v>
      </c>
      <c r="B393" s="4" t="s">
        <v>56</v>
      </c>
      <c r="C393" s="4" t="s">
        <v>69</v>
      </c>
      <c r="D393" s="4" t="s">
        <v>128</v>
      </c>
      <c r="E393" s="4" t="s">
        <v>63</v>
      </c>
      <c r="F393" s="4" t="s">
        <v>63</v>
      </c>
      <c r="G393" s="4" t="s">
        <v>467</v>
      </c>
      <c r="H393" s="4"/>
      <c r="I393" s="4" t="n">
        <v>1.7168</v>
      </c>
      <c r="J393" s="4" t="str">
        <f aca="false">TRIM(E393) &amp; TRIM(C393) &amp; TRIM(D393)</f>
        <v>First ReviewBid LinkBD</v>
      </c>
      <c r="K393" s="4" t="n">
        <f aca="false">IFERROR(I393*60,"")</f>
        <v>103.008</v>
      </c>
    </row>
    <row r="394" customFormat="false" ht="15" hidden="false" customHeight="false" outlineLevel="0" collapsed="false">
      <c r="A394" s="4" t="s">
        <v>15</v>
      </c>
      <c r="B394" s="4" t="s">
        <v>56</v>
      </c>
      <c r="C394" s="4" t="s">
        <v>61</v>
      </c>
      <c r="D394" s="4" t="s">
        <v>73</v>
      </c>
      <c r="E394" s="4" t="s">
        <v>63</v>
      </c>
      <c r="F394" s="4" t="s">
        <v>63</v>
      </c>
      <c r="G394" s="4" t="s">
        <v>468</v>
      </c>
      <c r="H394" s="4"/>
      <c r="I394" s="4" t="n">
        <v>0.6879</v>
      </c>
      <c r="J394" s="4" t="str">
        <f aca="false">TRIM(E394) &amp; TRIM(C394) &amp; TRIM(D394)</f>
        <v>First ReviewBid Ecom URLIQ</v>
      </c>
      <c r="K394" s="4" t="n">
        <f aca="false">IFERROR(I394*60,"")</f>
        <v>41.274</v>
      </c>
    </row>
    <row r="395" customFormat="false" ht="15" hidden="false" customHeight="false" outlineLevel="0" collapsed="false">
      <c r="A395" s="4" t="s">
        <v>15</v>
      </c>
      <c r="B395" s="4" t="s">
        <v>56</v>
      </c>
      <c r="C395" s="4" t="s">
        <v>75</v>
      </c>
      <c r="D395" s="4" t="s">
        <v>159</v>
      </c>
      <c r="E395" s="4" t="s">
        <v>63</v>
      </c>
      <c r="F395" s="4" t="s">
        <v>63</v>
      </c>
      <c r="G395" s="4" t="s">
        <v>469</v>
      </c>
      <c r="H395" s="4"/>
      <c r="I395" s="4" t="n">
        <v>1.0806</v>
      </c>
      <c r="J395" s="4" t="str">
        <f aca="false">TRIM(E395) &amp; TRIM(C395) &amp; TRIM(D395)</f>
        <v>First ReviewBid Ecom Ads GroupDO</v>
      </c>
      <c r="K395" s="4" t="n">
        <f aca="false">IFERROR(I395*60,"")</f>
        <v>64.836</v>
      </c>
    </row>
    <row r="396" customFormat="false" ht="15" hidden="false" customHeight="false" outlineLevel="0" collapsed="false">
      <c r="A396" s="4" t="s">
        <v>15</v>
      </c>
      <c r="B396" s="4" t="s">
        <v>56</v>
      </c>
      <c r="C396" s="4" t="s">
        <v>93</v>
      </c>
      <c r="D396" s="4" t="s">
        <v>139</v>
      </c>
      <c r="E396" s="4" t="s">
        <v>63</v>
      </c>
      <c r="F396" s="4" t="s">
        <v>63</v>
      </c>
      <c r="G396" s="4" t="s">
        <v>470</v>
      </c>
      <c r="H396" s="4"/>
      <c r="I396" s="4" t="n">
        <v>0.4008</v>
      </c>
      <c r="J396" s="4" t="str">
        <f aca="false">TRIM(E396) &amp; TRIM(C396) &amp; TRIM(D396)</f>
        <v>First ReviewBid AudioEG</v>
      </c>
      <c r="K396" s="4" t="n">
        <f aca="false">IFERROR(I396*60,"")</f>
        <v>24.048</v>
      </c>
    </row>
    <row r="397" customFormat="false" ht="15" hidden="false" customHeight="false" outlineLevel="0" collapsed="false">
      <c r="A397" s="4" t="s">
        <v>15</v>
      </c>
      <c r="B397" s="4" t="s">
        <v>56</v>
      </c>
      <c r="C397" s="4" t="s">
        <v>81</v>
      </c>
      <c r="D397" s="4" t="s">
        <v>152</v>
      </c>
      <c r="E397" s="4" t="s">
        <v>63</v>
      </c>
      <c r="F397" s="4" t="s">
        <v>63</v>
      </c>
      <c r="G397" s="4" t="s">
        <v>471</v>
      </c>
      <c r="H397" s="4"/>
      <c r="I397" s="4" t="n">
        <v>0.3524</v>
      </c>
      <c r="J397" s="4" t="str">
        <f aca="false">TRIM(E397) &amp; TRIM(C397) &amp; TRIM(D397)</f>
        <v>First ReviewBid TextCY</v>
      </c>
      <c r="K397" s="4" t="n">
        <f aca="false">IFERROR(I397*60,"")</f>
        <v>21.144</v>
      </c>
    </row>
    <row r="398" customFormat="false" ht="15" hidden="false" customHeight="false" outlineLevel="0" collapsed="false">
      <c r="A398" s="4" t="s">
        <v>15</v>
      </c>
      <c r="B398" s="4" t="s">
        <v>56</v>
      </c>
      <c r="C398" s="4" t="s">
        <v>61</v>
      </c>
      <c r="D398" s="4" t="s">
        <v>310</v>
      </c>
      <c r="E398" s="4" t="s">
        <v>63</v>
      </c>
      <c r="F398" s="4" t="s">
        <v>63</v>
      </c>
      <c r="G398" s="4" t="s">
        <v>472</v>
      </c>
      <c r="H398" s="4"/>
      <c r="I398" s="4" t="n">
        <v>0.8385</v>
      </c>
      <c r="J398" s="4" t="str">
        <f aca="false">TRIM(E398) &amp; TRIM(C398) &amp; TRIM(D398)</f>
        <v>First ReviewBid Ecom URLUY</v>
      </c>
      <c r="K398" s="4" t="n">
        <f aca="false">IFERROR(I398*60,"")</f>
        <v>50.31</v>
      </c>
    </row>
    <row r="399" customFormat="false" ht="15" hidden="false" customHeight="false" outlineLevel="0" collapsed="false">
      <c r="A399" s="4" t="s">
        <v>15</v>
      </c>
      <c r="B399" s="4" t="s">
        <v>56</v>
      </c>
      <c r="C399" s="4" t="s">
        <v>75</v>
      </c>
      <c r="D399" s="4" t="s">
        <v>284</v>
      </c>
      <c r="E399" s="4" t="s">
        <v>66</v>
      </c>
      <c r="F399" s="4" t="s">
        <v>67</v>
      </c>
      <c r="G399" s="4" t="s">
        <v>473</v>
      </c>
      <c r="H399" s="4"/>
      <c r="I399" s="4" t="n">
        <v>2.7155</v>
      </c>
      <c r="J399" s="4" t="str">
        <f aca="false">TRIM(E399) &amp; TRIM(C399) &amp; TRIM(D399)</f>
        <v>Posted RecallBid Ecom Ads GroupTR</v>
      </c>
      <c r="K399" s="4" t="n">
        <f aca="false">IFERROR(I399*60,"")</f>
        <v>162.93</v>
      </c>
    </row>
    <row r="400" customFormat="false" ht="15" hidden="false" customHeight="false" outlineLevel="0" collapsed="false">
      <c r="A400" s="4" t="s">
        <v>15</v>
      </c>
      <c r="B400" s="4" t="s">
        <v>56</v>
      </c>
      <c r="C400" s="4" t="s">
        <v>93</v>
      </c>
      <c r="D400" s="4" t="s">
        <v>100</v>
      </c>
      <c r="E400" s="4" t="s">
        <v>63</v>
      </c>
      <c r="F400" s="4" t="s">
        <v>63</v>
      </c>
      <c r="G400" s="4" t="s">
        <v>474</v>
      </c>
      <c r="H400" s="4"/>
      <c r="I400" s="4" t="n">
        <v>0.2652</v>
      </c>
      <c r="J400" s="4" t="str">
        <f aca="false">TRIM(E400) &amp; TRIM(C400) &amp; TRIM(D400)</f>
        <v>First ReviewBid AudioAU</v>
      </c>
      <c r="K400" s="4" t="n">
        <f aca="false">IFERROR(I400*60,"")</f>
        <v>15.912</v>
      </c>
    </row>
    <row r="401" customFormat="false" ht="15" hidden="false" customHeight="false" outlineLevel="0" collapsed="false">
      <c r="A401" s="4" t="s">
        <v>15</v>
      </c>
      <c r="B401" s="4" t="s">
        <v>56</v>
      </c>
      <c r="C401" s="4" t="s">
        <v>75</v>
      </c>
      <c r="D401" s="4" t="s">
        <v>246</v>
      </c>
      <c r="E401" s="4" t="s">
        <v>66</v>
      </c>
      <c r="F401" s="4" t="s">
        <v>67</v>
      </c>
      <c r="G401" s="4" t="s">
        <v>475</v>
      </c>
      <c r="H401" s="4"/>
      <c r="I401" s="4" t="n">
        <v>2.5536</v>
      </c>
      <c r="J401" s="4" t="str">
        <f aca="false">TRIM(E401) &amp; TRIM(C401) &amp; TRIM(D401)</f>
        <v>Posted RecallBid Ecom Ads GroupLV</v>
      </c>
      <c r="K401" s="4" t="n">
        <f aca="false">IFERROR(I401*60,"")</f>
        <v>153.216</v>
      </c>
    </row>
    <row r="402" customFormat="false" ht="15" hidden="false" customHeight="false" outlineLevel="0" collapsed="false">
      <c r="A402" s="4" t="s">
        <v>15</v>
      </c>
      <c r="B402" s="4" t="s">
        <v>56</v>
      </c>
      <c r="C402" s="4" t="s">
        <v>57</v>
      </c>
      <c r="D402" s="4" t="s">
        <v>319</v>
      </c>
      <c r="E402" s="4" t="s">
        <v>63</v>
      </c>
      <c r="F402" s="4" t="s">
        <v>63</v>
      </c>
      <c r="G402" s="4" t="s">
        <v>476</v>
      </c>
      <c r="H402" s="4"/>
      <c r="I402" s="4" t="n">
        <v>2.6218</v>
      </c>
      <c r="J402" s="4" t="str">
        <f aca="false">TRIM(E402) &amp; TRIM(C402) &amp; TRIM(D402)</f>
        <v>First ReviewBid Ad GroupSK</v>
      </c>
      <c r="K402" s="4" t="n">
        <f aca="false">IFERROR(I402*60,"")</f>
        <v>157.308</v>
      </c>
    </row>
    <row r="403" customFormat="false" ht="15" hidden="false" customHeight="false" outlineLevel="0" collapsed="false">
      <c r="A403" s="4" t="s">
        <v>15</v>
      </c>
      <c r="B403" s="4" t="s">
        <v>56</v>
      </c>
      <c r="C403" s="4" t="s">
        <v>84</v>
      </c>
      <c r="D403" s="4" t="s">
        <v>91</v>
      </c>
      <c r="E403" s="4" t="s">
        <v>63</v>
      </c>
      <c r="F403" s="4" t="s">
        <v>63</v>
      </c>
      <c r="G403" s="4" t="s">
        <v>477</v>
      </c>
      <c r="H403" s="4"/>
      <c r="I403" s="4" t="n">
        <v>1.8027</v>
      </c>
      <c r="J403" s="4" t="str">
        <f aca="false">TRIM(E403) &amp; TRIM(C403) &amp; TRIM(D403)</f>
        <v>First ReviewBid Ecom VideoHR</v>
      </c>
      <c r="K403" s="4" t="n">
        <f aca="false">IFERROR(I403*60,"")</f>
        <v>108.162</v>
      </c>
    </row>
    <row r="404" customFormat="false" ht="15" hidden="false" customHeight="false" outlineLevel="0" collapsed="false">
      <c r="A404" s="4" t="s">
        <v>15</v>
      </c>
      <c r="B404" s="4" t="s">
        <v>56</v>
      </c>
      <c r="C404" s="4" t="s">
        <v>61</v>
      </c>
      <c r="D404" s="4" t="s">
        <v>235</v>
      </c>
      <c r="E404" s="4" t="s">
        <v>63</v>
      </c>
      <c r="F404" s="4" t="s">
        <v>63</v>
      </c>
      <c r="G404" s="4" t="s">
        <v>478</v>
      </c>
      <c r="H404" s="4"/>
      <c r="I404" s="4" t="n">
        <v>1.8966</v>
      </c>
      <c r="J404" s="4" t="str">
        <f aca="false">TRIM(E404) &amp; TRIM(C404) &amp; TRIM(D404)</f>
        <v>First ReviewBid Ecom URLJP</v>
      </c>
      <c r="K404" s="4" t="n">
        <f aca="false">IFERROR(I404*60,"")</f>
        <v>113.796</v>
      </c>
    </row>
    <row r="405" customFormat="false" ht="15" hidden="false" customHeight="false" outlineLevel="0" collapsed="false">
      <c r="A405" s="4" t="s">
        <v>15</v>
      </c>
      <c r="B405" s="4" t="s">
        <v>56</v>
      </c>
      <c r="C405" s="4" t="s">
        <v>57</v>
      </c>
      <c r="D405" s="4" t="s">
        <v>73</v>
      </c>
      <c r="E405" s="4" t="s">
        <v>66</v>
      </c>
      <c r="F405" s="4" t="s">
        <v>67</v>
      </c>
      <c r="G405" s="4" t="s">
        <v>479</v>
      </c>
      <c r="H405" s="4"/>
      <c r="I405" s="4" t="n">
        <v>2.2668</v>
      </c>
      <c r="J405" s="4" t="str">
        <f aca="false">TRIM(E405) &amp; TRIM(C405) &amp; TRIM(D405)</f>
        <v>Posted RecallBid Ad GroupIQ</v>
      </c>
      <c r="K405" s="4" t="n">
        <f aca="false">IFERROR(I405*60,"")</f>
        <v>136.008</v>
      </c>
    </row>
    <row r="406" customFormat="false" ht="15" hidden="false" customHeight="false" outlineLevel="0" collapsed="false">
      <c r="A406" s="4" t="s">
        <v>15</v>
      </c>
      <c r="B406" s="4" t="s">
        <v>56</v>
      </c>
      <c r="C406" s="4" t="s">
        <v>75</v>
      </c>
      <c r="D406" s="4" t="s">
        <v>141</v>
      </c>
      <c r="E406" s="4" t="s">
        <v>66</v>
      </c>
      <c r="F406" s="4" t="s">
        <v>67</v>
      </c>
      <c r="G406" s="4" t="s">
        <v>480</v>
      </c>
      <c r="H406" s="4"/>
      <c r="I406" s="4" t="n">
        <v>8.9946</v>
      </c>
      <c r="J406" s="4" t="str">
        <f aca="false">TRIM(E406) &amp; TRIM(C406) &amp; TRIM(D406)</f>
        <v>Posted RecallBid Ecom Ads GroupAZ</v>
      </c>
      <c r="K406" s="4" t="n">
        <f aca="false">IFERROR(I406*60,"")</f>
        <v>539.676</v>
      </c>
    </row>
    <row r="407" customFormat="false" ht="15" hidden="false" customHeight="false" outlineLevel="0" collapsed="false">
      <c r="A407" s="4" t="s">
        <v>15</v>
      </c>
      <c r="B407" s="4" t="s">
        <v>56</v>
      </c>
      <c r="C407" s="4" t="s">
        <v>72</v>
      </c>
      <c r="D407" s="4" t="s">
        <v>130</v>
      </c>
      <c r="E407" s="4" t="s">
        <v>63</v>
      </c>
      <c r="F407" s="4" t="s">
        <v>63</v>
      </c>
      <c r="G407" s="4" t="s">
        <v>481</v>
      </c>
      <c r="H407" s="4"/>
      <c r="I407" s="4" t="n">
        <v>0.262</v>
      </c>
      <c r="J407" s="4" t="str">
        <f aca="false">TRIM(E407) &amp; TRIM(C407) &amp; TRIM(D407)</f>
        <v>First ReviewBid ImageMA</v>
      </c>
      <c r="K407" s="4" t="n">
        <f aca="false">IFERROR(I407*60,"")</f>
        <v>15.72</v>
      </c>
    </row>
    <row r="408" customFormat="false" ht="15" hidden="false" customHeight="false" outlineLevel="0" collapsed="false">
      <c r="A408" s="4" t="s">
        <v>15</v>
      </c>
      <c r="B408" s="4" t="s">
        <v>56</v>
      </c>
      <c r="C408" s="4" t="s">
        <v>81</v>
      </c>
      <c r="D408" s="4" t="s">
        <v>306</v>
      </c>
      <c r="E408" s="4" t="s">
        <v>63</v>
      </c>
      <c r="F408" s="4" t="s">
        <v>63</v>
      </c>
      <c r="G408" s="4" t="s">
        <v>482</v>
      </c>
      <c r="H408" s="4"/>
      <c r="I408" s="4" t="n">
        <v>0.1425</v>
      </c>
      <c r="J408" s="4" t="str">
        <f aca="false">TRIM(E408) &amp; TRIM(C408) &amp; TRIM(D408)</f>
        <v>First ReviewBid TextTH</v>
      </c>
      <c r="K408" s="4" t="n">
        <f aca="false">IFERROR(I408*60,"")</f>
        <v>8.55</v>
      </c>
    </row>
    <row r="409" customFormat="false" ht="15" hidden="false" customHeight="false" outlineLevel="0" collapsed="false">
      <c r="A409" s="4" t="s">
        <v>15</v>
      </c>
      <c r="B409" s="4" t="s">
        <v>56</v>
      </c>
      <c r="C409" s="4" t="s">
        <v>57</v>
      </c>
      <c r="D409" s="4" t="s">
        <v>357</v>
      </c>
      <c r="E409" s="4" t="s">
        <v>63</v>
      </c>
      <c r="F409" s="4" t="s">
        <v>63</v>
      </c>
      <c r="G409" s="4" t="s">
        <v>483</v>
      </c>
      <c r="H409" s="4"/>
      <c r="I409" s="4" t="n">
        <v>1.8032</v>
      </c>
      <c r="J409" s="4" t="str">
        <f aca="false">TRIM(E409) &amp; TRIM(C409) &amp; TRIM(D409)</f>
        <v>First ReviewBid Ad GroupHU</v>
      </c>
      <c r="K409" s="4" t="n">
        <f aca="false">IFERROR(I409*60,"")</f>
        <v>108.192</v>
      </c>
    </row>
    <row r="410" customFormat="false" ht="15" hidden="false" customHeight="false" outlineLevel="0" collapsed="false">
      <c r="A410" s="4" t="s">
        <v>15</v>
      </c>
      <c r="B410" s="4" t="s">
        <v>56</v>
      </c>
      <c r="C410" s="4" t="s">
        <v>61</v>
      </c>
      <c r="D410" s="4" t="s">
        <v>197</v>
      </c>
      <c r="E410" s="4" t="s">
        <v>63</v>
      </c>
      <c r="F410" s="4" t="s">
        <v>63</v>
      </c>
      <c r="G410" s="4" t="s">
        <v>484</v>
      </c>
      <c r="H410" s="4"/>
      <c r="I410" s="4" t="n">
        <v>1.5135</v>
      </c>
      <c r="J410" s="4" t="str">
        <f aca="false">TRIM(E410) &amp; TRIM(C410) &amp; TRIM(D410)</f>
        <v>First ReviewBid Ecom URLGR</v>
      </c>
      <c r="K410" s="4" t="n">
        <f aca="false">IFERROR(I410*60,"")</f>
        <v>90.81</v>
      </c>
    </row>
    <row r="411" customFormat="false" ht="15" hidden="false" customHeight="false" outlineLevel="0" collapsed="false">
      <c r="A411" s="4" t="s">
        <v>15</v>
      </c>
      <c r="B411" s="4" t="s">
        <v>56</v>
      </c>
      <c r="C411" s="4" t="s">
        <v>72</v>
      </c>
      <c r="D411" s="4" t="s">
        <v>157</v>
      </c>
      <c r="E411" s="4" t="s">
        <v>63</v>
      </c>
      <c r="F411" s="4" t="s">
        <v>63</v>
      </c>
      <c r="G411" s="4" t="s">
        <v>485</v>
      </c>
      <c r="H411" s="4"/>
      <c r="I411" s="4" t="n">
        <v>0.3856</v>
      </c>
      <c r="J411" s="4" t="str">
        <f aca="false">TRIM(E411) &amp; TRIM(C411) &amp; TRIM(D411)</f>
        <v>First ReviewBid ImageSA</v>
      </c>
      <c r="K411" s="4" t="n">
        <f aca="false">IFERROR(I411*60,"")</f>
        <v>23.136</v>
      </c>
    </row>
    <row r="412" customFormat="false" ht="15" hidden="false" customHeight="false" outlineLevel="0" collapsed="false">
      <c r="A412" s="4" t="s">
        <v>15</v>
      </c>
      <c r="B412" s="4" t="s">
        <v>56</v>
      </c>
      <c r="C412" s="4" t="s">
        <v>69</v>
      </c>
      <c r="D412" s="4" t="s">
        <v>181</v>
      </c>
      <c r="E412" s="4" t="s">
        <v>63</v>
      </c>
      <c r="F412" s="4" t="s">
        <v>63</v>
      </c>
      <c r="G412" s="4" t="s">
        <v>486</v>
      </c>
      <c r="H412" s="4"/>
      <c r="I412" s="4" t="n">
        <v>0.5283</v>
      </c>
      <c r="J412" s="4" t="str">
        <f aca="false">TRIM(E412) &amp; TRIM(C412) &amp; TRIM(D412)</f>
        <v>First ReviewBid LinkLB</v>
      </c>
      <c r="K412" s="4" t="n">
        <f aca="false">IFERROR(I412*60,"")</f>
        <v>31.698</v>
      </c>
    </row>
    <row r="413" customFormat="false" ht="15" hidden="false" customHeight="false" outlineLevel="0" collapsed="false">
      <c r="A413" s="4" t="s">
        <v>15</v>
      </c>
      <c r="B413" s="4" t="s">
        <v>56</v>
      </c>
      <c r="C413" s="4" t="s">
        <v>75</v>
      </c>
      <c r="D413" s="4" t="s">
        <v>111</v>
      </c>
      <c r="E413" s="4" t="s">
        <v>66</v>
      </c>
      <c r="F413" s="4" t="s">
        <v>67</v>
      </c>
      <c r="G413" s="4" t="s">
        <v>487</v>
      </c>
      <c r="H413" s="4"/>
      <c r="I413" s="4" t="n">
        <v>2.6543</v>
      </c>
      <c r="J413" s="4" t="str">
        <f aca="false">TRIM(E413) &amp; TRIM(C413) &amp; TRIM(D413)</f>
        <v>Posted RecallBid Ecom Ads GroupUS</v>
      </c>
      <c r="K413" s="4" t="n">
        <f aca="false">IFERROR(I413*60,"")</f>
        <v>159.258</v>
      </c>
    </row>
    <row r="414" customFormat="false" ht="15" hidden="false" customHeight="false" outlineLevel="0" collapsed="false">
      <c r="A414" s="4" t="s">
        <v>15</v>
      </c>
      <c r="B414" s="4" t="s">
        <v>56</v>
      </c>
      <c r="C414" s="4" t="s">
        <v>57</v>
      </c>
      <c r="D414" s="4" t="s">
        <v>488</v>
      </c>
      <c r="E414" s="4" t="s">
        <v>63</v>
      </c>
      <c r="F414" s="4" t="s">
        <v>63</v>
      </c>
      <c r="G414" s="4" t="s">
        <v>489</v>
      </c>
      <c r="H414" s="4"/>
      <c r="I414" s="4" t="n">
        <v>2.2085</v>
      </c>
      <c r="J414" s="4" t="str">
        <f aca="false">TRIM(E414) &amp; TRIM(C414) &amp; TRIM(D414)</f>
        <v>First ReviewBid Ad GroupMUL</v>
      </c>
      <c r="K414" s="4" t="n">
        <f aca="false">IFERROR(I414*60,"")</f>
        <v>132.51</v>
      </c>
    </row>
    <row r="415" customFormat="false" ht="15" hidden="false" customHeight="false" outlineLevel="0" collapsed="false">
      <c r="A415" s="4" t="s">
        <v>15</v>
      </c>
      <c r="B415" s="4" t="s">
        <v>56</v>
      </c>
      <c r="C415" s="4" t="s">
        <v>84</v>
      </c>
      <c r="D415" s="4" t="s">
        <v>310</v>
      </c>
      <c r="E415" s="4" t="s">
        <v>63</v>
      </c>
      <c r="F415" s="4" t="s">
        <v>63</v>
      </c>
      <c r="G415" s="4" t="s">
        <v>490</v>
      </c>
      <c r="H415" s="4"/>
      <c r="I415" s="4" t="n">
        <v>1.3491</v>
      </c>
      <c r="J415" s="4" t="str">
        <f aca="false">TRIM(E415) &amp; TRIM(C415) &amp; TRIM(D415)</f>
        <v>First ReviewBid Ecom VideoUY</v>
      </c>
      <c r="K415" s="4" t="n">
        <f aca="false">IFERROR(I415*60,"")</f>
        <v>80.946</v>
      </c>
    </row>
    <row r="416" customFormat="false" ht="15" hidden="false" customHeight="false" outlineLevel="0" collapsed="false">
      <c r="A416" s="4" t="s">
        <v>15</v>
      </c>
      <c r="B416" s="4" t="s">
        <v>56</v>
      </c>
      <c r="C416" s="4" t="s">
        <v>75</v>
      </c>
      <c r="D416" s="4" t="s">
        <v>271</v>
      </c>
      <c r="E416" s="4" t="s">
        <v>66</v>
      </c>
      <c r="F416" s="4" t="s">
        <v>67</v>
      </c>
      <c r="G416" s="4" t="s">
        <v>491</v>
      </c>
      <c r="H416" s="4"/>
      <c r="I416" s="4" t="n">
        <v>2.0466</v>
      </c>
      <c r="J416" s="4" t="str">
        <f aca="false">TRIM(E416) &amp; TRIM(C416) &amp; TRIM(D416)</f>
        <v>Posted RecallBid Ecom Ads GroupKW</v>
      </c>
      <c r="K416" s="4" t="n">
        <f aca="false">IFERROR(I416*60,"")</f>
        <v>122.796</v>
      </c>
    </row>
    <row r="417" customFormat="false" ht="15" hidden="false" customHeight="false" outlineLevel="0" collapsed="false">
      <c r="A417" s="4" t="s">
        <v>15</v>
      </c>
      <c r="B417" s="4" t="s">
        <v>56</v>
      </c>
      <c r="C417" s="4" t="s">
        <v>78</v>
      </c>
      <c r="D417" s="4" t="s">
        <v>308</v>
      </c>
      <c r="E417" s="4" t="s">
        <v>63</v>
      </c>
      <c r="F417" s="4" t="s">
        <v>63</v>
      </c>
      <c r="G417" s="4" t="s">
        <v>492</v>
      </c>
      <c r="H417" s="4"/>
      <c r="I417" s="4" t="n">
        <v>2.0713</v>
      </c>
      <c r="J417" s="4" t="str">
        <f aca="false">TRIM(E417) &amp; TRIM(C417) &amp; TRIM(D417)</f>
        <v>First ReviewBid VideoPL</v>
      </c>
      <c r="K417" s="4" t="n">
        <f aca="false">IFERROR(I417*60,"")</f>
        <v>124.278</v>
      </c>
    </row>
    <row r="418" customFormat="false" ht="15" hidden="false" customHeight="false" outlineLevel="0" collapsed="false">
      <c r="A418" s="4" t="s">
        <v>15</v>
      </c>
      <c r="B418" s="4" t="s">
        <v>56</v>
      </c>
      <c r="C418" s="4" t="s">
        <v>57</v>
      </c>
      <c r="D418" s="4" t="s">
        <v>162</v>
      </c>
      <c r="E418" s="4" t="s">
        <v>63</v>
      </c>
      <c r="F418" s="4" t="s">
        <v>63</v>
      </c>
      <c r="G418" s="4" t="s">
        <v>456</v>
      </c>
      <c r="H418" s="4"/>
      <c r="I418" s="4" t="n">
        <v>1.2216</v>
      </c>
      <c r="J418" s="4" t="str">
        <f aca="false">TRIM(E418) &amp; TRIM(C418) &amp; TRIM(D418)</f>
        <v>First ReviewBid Ad GroupJO</v>
      </c>
      <c r="K418" s="4" t="n">
        <f aca="false">IFERROR(I418*60,"")</f>
        <v>73.296</v>
      </c>
    </row>
    <row r="419" customFormat="false" ht="15" hidden="false" customHeight="false" outlineLevel="0" collapsed="false">
      <c r="A419" s="4" t="s">
        <v>15</v>
      </c>
      <c r="B419" s="4" t="s">
        <v>56</v>
      </c>
      <c r="C419" s="4" t="s">
        <v>75</v>
      </c>
      <c r="D419" s="4" t="s">
        <v>85</v>
      </c>
      <c r="E419" s="4" t="s">
        <v>66</v>
      </c>
      <c r="F419" s="4" t="s">
        <v>67</v>
      </c>
      <c r="G419" s="4" t="s">
        <v>260</v>
      </c>
      <c r="H419" s="4"/>
      <c r="I419" s="4" t="n">
        <v>2.219</v>
      </c>
      <c r="J419" s="4" t="str">
        <f aca="false">TRIM(E419) &amp; TRIM(C419) &amp; TRIM(D419)</f>
        <v>Posted RecallBid Ecom Ads GroupEC</v>
      </c>
      <c r="K419" s="4" t="n">
        <f aca="false">IFERROR(I419*60,"")</f>
        <v>133.14</v>
      </c>
    </row>
    <row r="420" customFormat="false" ht="15" hidden="false" customHeight="false" outlineLevel="0" collapsed="false">
      <c r="A420" s="4" t="s">
        <v>15</v>
      </c>
      <c r="B420" s="4" t="s">
        <v>56</v>
      </c>
      <c r="C420" s="4" t="s">
        <v>75</v>
      </c>
      <c r="D420" s="4" t="s">
        <v>271</v>
      </c>
      <c r="E420" s="4" t="s">
        <v>63</v>
      </c>
      <c r="F420" s="4" t="s">
        <v>63</v>
      </c>
      <c r="G420" s="4" t="s">
        <v>491</v>
      </c>
      <c r="H420" s="4"/>
      <c r="I420" s="4" t="n">
        <v>3.2799</v>
      </c>
      <c r="J420" s="4" t="str">
        <f aca="false">TRIM(E420) &amp; TRIM(C420) &amp; TRIM(D420)</f>
        <v>First ReviewBid Ecom Ads GroupKW</v>
      </c>
      <c r="K420" s="4" t="n">
        <f aca="false">IFERROR(I420*60,"")</f>
        <v>196.794</v>
      </c>
    </row>
    <row r="421" customFormat="false" ht="15" hidden="false" customHeight="false" outlineLevel="0" collapsed="false">
      <c r="A421" s="4" t="s">
        <v>15</v>
      </c>
      <c r="B421" s="4" t="s">
        <v>56</v>
      </c>
      <c r="C421" s="4" t="s">
        <v>72</v>
      </c>
      <c r="D421" s="4" t="s">
        <v>166</v>
      </c>
      <c r="E421" s="4" t="s">
        <v>63</v>
      </c>
      <c r="F421" s="4" t="s">
        <v>63</v>
      </c>
      <c r="G421" s="4" t="s">
        <v>493</v>
      </c>
      <c r="H421" s="4"/>
      <c r="I421" s="4" t="n">
        <v>1.0671</v>
      </c>
      <c r="J421" s="4" t="str">
        <f aca="false">TRIM(E421) &amp; TRIM(C421) &amp; TRIM(D421)</f>
        <v>First ReviewBid ImageCZ</v>
      </c>
      <c r="K421" s="4" t="n">
        <f aca="false">IFERROR(I421*60,"")</f>
        <v>64.026</v>
      </c>
    </row>
    <row r="422" customFormat="false" ht="15" hidden="false" customHeight="false" outlineLevel="0" collapsed="false">
      <c r="A422" s="4" t="s">
        <v>15</v>
      </c>
      <c r="B422" s="4" t="s">
        <v>56</v>
      </c>
      <c r="C422" s="4" t="s">
        <v>61</v>
      </c>
      <c r="D422" s="4" t="s">
        <v>111</v>
      </c>
      <c r="E422" s="4" t="s">
        <v>63</v>
      </c>
      <c r="F422" s="4" t="s">
        <v>63</v>
      </c>
      <c r="G422" s="4" t="s">
        <v>494</v>
      </c>
      <c r="H422" s="4"/>
      <c r="I422" s="4" t="n">
        <v>1.2467</v>
      </c>
      <c r="J422" s="4" t="str">
        <f aca="false">TRIM(E422) &amp; TRIM(C422) &amp; TRIM(D422)</f>
        <v>First ReviewBid Ecom URLUS</v>
      </c>
      <c r="K422" s="4" t="n">
        <f aca="false">IFERROR(I422*60,"")</f>
        <v>74.802</v>
      </c>
    </row>
    <row r="423" customFormat="false" ht="15" hidden="false" customHeight="false" outlineLevel="0" collapsed="false">
      <c r="A423" s="4" t="s">
        <v>15</v>
      </c>
      <c r="B423" s="4" t="s">
        <v>56</v>
      </c>
      <c r="C423" s="4" t="s">
        <v>75</v>
      </c>
      <c r="D423" s="4" t="s">
        <v>299</v>
      </c>
      <c r="E423" s="4" t="s">
        <v>66</v>
      </c>
      <c r="F423" s="4" t="s">
        <v>67</v>
      </c>
      <c r="G423" s="4" t="s">
        <v>408</v>
      </c>
      <c r="H423" s="4"/>
      <c r="I423" s="4" t="n">
        <v>3.358</v>
      </c>
      <c r="J423" s="4" t="str">
        <f aca="false">TRIM(E423) &amp; TRIM(C423) &amp; TRIM(D423)</f>
        <v>Posted RecallBid Ecom Ads GroupQA</v>
      </c>
      <c r="K423" s="4" t="n">
        <f aca="false">IFERROR(I423*60,"")</f>
        <v>201.48</v>
      </c>
    </row>
    <row r="424" customFormat="false" ht="15" hidden="false" customHeight="false" outlineLevel="0" collapsed="false">
      <c r="A424" s="4" t="s">
        <v>15</v>
      </c>
      <c r="B424" s="4" t="s">
        <v>56</v>
      </c>
      <c r="C424" s="4" t="s">
        <v>93</v>
      </c>
      <c r="D424" s="4" t="s">
        <v>197</v>
      </c>
      <c r="E424" s="4" t="s">
        <v>63</v>
      </c>
      <c r="F424" s="4" t="s">
        <v>63</v>
      </c>
      <c r="G424" s="4" t="s">
        <v>495</v>
      </c>
      <c r="H424" s="4"/>
      <c r="I424" s="4" t="n">
        <v>0.8642</v>
      </c>
      <c r="J424" s="4" t="str">
        <f aca="false">TRIM(E424) &amp; TRIM(C424) &amp; TRIM(D424)</f>
        <v>First ReviewBid AudioGR</v>
      </c>
      <c r="K424" s="4" t="n">
        <f aca="false">IFERROR(I424*60,"")</f>
        <v>51.852</v>
      </c>
    </row>
    <row r="425" customFormat="false" ht="15" hidden="false" customHeight="false" outlineLevel="0" collapsed="false">
      <c r="A425" s="4" t="s">
        <v>15</v>
      </c>
      <c r="B425" s="4" t="s">
        <v>56</v>
      </c>
      <c r="C425" s="4" t="s">
        <v>81</v>
      </c>
      <c r="D425" s="4" t="s">
        <v>121</v>
      </c>
      <c r="E425" s="4" t="s">
        <v>63</v>
      </c>
      <c r="F425" s="4" t="s">
        <v>63</v>
      </c>
      <c r="G425" s="4" t="s">
        <v>496</v>
      </c>
      <c r="H425" s="4"/>
      <c r="I425" s="4" t="n">
        <v>0.8932</v>
      </c>
      <c r="J425" s="4" t="str">
        <f aca="false">TRIM(E425) &amp; TRIM(C425) &amp; TRIM(D425)</f>
        <v>First ReviewBid TextKR</v>
      </c>
      <c r="K425" s="4" t="n">
        <f aca="false">IFERROR(I425*60,"")</f>
        <v>53.592</v>
      </c>
    </row>
    <row r="426" customFormat="false" ht="15" hidden="false" customHeight="false" outlineLevel="0" collapsed="false">
      <c r="A426" s="4" t="s">
        <v>15</v>
      </c>
      <c r="B426" s="4" t="s">
        <v>56</v>
      </c>
      <c r="C426" s="4" t="s">
        <v>57</v>
      </c>
      <c r="D426" s="4" t="s">
        <v>181</v>
      </c>
      <c r="E426" s="4" t="s">
        <v>66</v>
      </c>
      <c r="F426" s="4" t="s">
        <v>67</v>
      </c>
      <c r="G426" s="4" t="s">
        <v>497</v>
      </c>
      <c r="H426" s="4"/>
      <c r="I426" s="4" t="n">
        <v>1.737</v>
      </c>
      <c r="J426" s="4" t="str">
        <f aca="false">TRIM(E426) &amp; TRIM(C426) &amp; TRIM(D426)</f>
        <v>Posted RecallBid Ad GroupLB</v>
      </c>
      <c r="K426" s="4" t="n">
        <f aca="false">IFERROR(I426*60,"")</f>
        <v>104.22</v>
      </c>
    </row>
    <row r="427" customFormat="false" ht="15" hidden="false" customHeight="false" outlineLevel="0" collapsed="false">
      <c r="A427" s="4" t="s">
        <v>15</v>
      </c>
      <c r="B427" s="4" t="s">
        <v>56</v>
      </c>
      <c r="C427" s="4" t="s">
        <v>57</v>
      </c>
      <c r="D427" s="4" t="s">
        <v>213</v>
      </c>
      <c r="E427" s="4" t="s">
        <v>66</v>
      </c>
      <c r="F427" s="4" t="s">
        <v>67</v>
      </c>
      <c r="G427" s="4" t="s">
        <v>498</v>
      </c>
      <c r="H427" s="4"/>
      <c r="I427" s="4" t="n">
        <v>1.7977</v>
      </c>
      <c r="J427" s="4" t="str">
        <f aca="false">TRIM(E427) &amp; TRIM(C427) &amp; TRIM(D427)</f>
        <v>Posted RecallBid Ad GroupFR</v>
      </c>
      <c r="K427" s="4" t="n">
        <f aca="false">IFERROR(I427*60,"")</f>
        <v>107.862</v>
      </c>
    </row>
    <row r="428" customFormat="false" ht="15" hidden="false" customHeight="false" outlineLevel="0" collapsed="false">
      <c r="A428" s="4" t="s">
        <v>15</v>
      </c>
      <c r="B428" s="4" t="s">
        <v>56</v>
      </c>
      <c r="C428" s="4" t="s">
        <v>84</v>
      </c>
      <c r="D428" s="4" t="s">
        <v>87</v>
      </c>
      <c r="E428" s="4" t="s">
        <v>63</v>
      </c>
      <c r="F428" s="4" t="s">
        <v>63</v>
      </c>
      <c r="G428" s="4" t="s">
        <v>499</v>
      </c>
      <c r="H428" s="4"/>
      <c r="I428" s="4" t="n">
        <v>0.7906</v>
      </c>
      <c r="J428" s="4" t="str">
        <f aca="false">TRIM(E428) &amp; TRIM(C428) &amp; TRIM(D428)</f>
        <v>First ReviewBid Ecom VideoAE</v>
      </c>
      <c r="K428" s="4" t="n">
        <f aca="false">IFERROR(I428*60,"")</f>
        <v>47.436</v>
      </c>
    </row>
    <row r="429" customFormat="false" ht="15" hidden="false" customHeight="false" outlineLevel="0" collapsed="false">
      <c r="A429" s="4" t="s">
        <v>15</v>
      </c>
      <c r="B429" s="4" t="s">
        <v>56</v>
      </c>
      <c r="C429" s="4" t="s">
        <v>57</v>
      </c>
      <c r="D429" s="4" t="s">
        <v>181</v>
      </c>
      <c r="E429" s="4" t="s">
        <v>63</v>
      </c>
      <c r="F429" s="4" t="s">
        <v>63</v>
      </c>
      <c r="G429" s="4" t="s">
        <v>497</v>
      </c>
      <c r="H429" s="4"/>
      <c r="I429" s="4" t="n">
        <v>1.878</v>
      </c>
      <c r="J429" s="4" t="str">
        <f aca="false">TRIM(E429) &amp; TRIM(C429) &amp; TRIM(D429)</f>
        <v>First ReviewBid Ad GroupLB</v>
      </c>
      <c r="K429" s="4" t="n">
        <f aca="false">IFERROR(I429*60,"")</f>
        <v>112.68</v>
      </c>
    </row>
    <row r="430" customFormat="false" ht="15" hidden="false" customHeight="false" outlineLevel="0" collapsed="false">
      <c r="A430" s="4" t="s">
        <v>15</v>
      </c>
      <c r="B430" s="4" t="s">
        <v>56</v>
      </c>
      <c r="C430" s="4" t="s">
        <v>75</v>
      </c>
      <c r="D430" s="4" t="s">
        <v>85</v>
      </c>
      <c r="E430" s="4" t="s">
        <v>63</v>
      </c>
      <c r="F430" s="4" t="s">
        <v>63</v>
      </c>
      <c r="G430" s="4" t="s">
        <v>260</v>
      </c>
      <c r="H430" s="4"/>
      <c r="I430" s="4" t="n">
        <v>2.1103</v>
      </c>
      <c r="J430" s="4" t="str">
        <f aca="false">TRIM(E430) &amp; TRIM(C430) &amp; TRIM(D430)</f>
        <v>First ReviewBid Ecom Ads GroupEC</v>
      </c>
      <c r="K430" s="4" t="n">
        <f aca="false">IFERROR(I430*60,"")</f>
        <v>126.618</v>
      </c>
    </row>
    <row r="431" customFormat="false" ht="15" hidden="false" customHeight="false" outlineLevel="0" collapsed="false">
      <c r="A431" s="4" t="s">
        <v>15</v>
      </c>
      <c r="B431" s="4" t="s">
        <v>56</v>
      </c>
      <c r="C431" s="4" t="s">
        <v>75</v>
      </c>
      <c r="D431" s="4" t="s">
        <v>210</v>
      </c>
      <c r="E431" s="4" t="s">
        <v>59</v>
      </c>
      <c r="F431" s="4" t="s">
        <v>59</v>
      </c>
      <c r="G431" s="4" t="s">
        <v>270</v>
      </c>
      <c r="H431" s="4"/>
      <c r="I431" s="4" t="n">
        <v>8.3917</v>
      </c>
      <c r="J431" s="4" t="str">
        <f aca="false">TRIM(E431) &amp; TRIM(C431) &amp; TRIM(D431)</f>
        <v>Re-reviewBid Ecom Ads GroupPK</v>
      </c>
      <c r="K431" s="4" t="n">
        <f aca="false">IFERROR(I431*60,"")</f>
        <v>503.502</v>
      </c>
    </row>
    <row r="432" customFormat="false" ht="15" hidden="false" customHeight="false" outlineLevel="0" collapsed="false">
      <c r="A432" s="4" t="s">
        <v>15</v>
      </c>
      <c r="B432" s="4" t="s">
        <v>56</v>
      </c>
      <c r="C432" s="4" t="s">
        <v>75</v>
      </c>
      <c r="D432" s="4" t="s">
        <v>97</v>
      </c>
      <c r="E432" s="4" t="s">
        <v>66</v>
      </c>
      <c r="F432" s="4" t="s">
        <v>67</v>
      </c>
      <c r="G432" s="4" t="s">
        <v>228</v>
      </c>
      <c r="H432" s="4"/>
      <c r="I432" s="4" t="n">
        <v>1.2675</v>
      </c>
      <c r="J432" s="4" t="str">
        <f aca="false">TRIM(E432) &amp; TRIM(C432) &amp; TRIM(D432)</f>
        <v>Posted RecallBid Ecom Ads GroupBR</v>
      </c>
      <c r="K432" s="4" t="n">
        <f aca="false">IFERROR(I432*60,"")</f>
        <v>76.05</v>
      </c>
    </row>
    <row r="433" customFormat="false" ht="15" hidden="false" customHeight="false" outlineLevel="0" collapsed="false">
      <c r="A433" s="4" t="s">
        <v>15</v>
      </c>
      <c r="B433" s="4" t="s">
        <v>56</v>
      </c>
      <c r="C433" s="4" t="s">
        <v>57</v>
      </c>
      <c r="D433" s="4" t="s">
        <v>89</v>
      </c>
      <c r="E433" s="4" t="s">
        <v>66</v>
      </c>
      <c r="F433" s="4" t="s">
        <v>67</v>
      </c>
      <c r="G433" s="4" t="s">
        <v>500</v>
      </c>
      <c r="H433" s="4"/>
      <c r="I433" s="4" t="n">
        <v>1.4518</v>
      </c>
      <c r="J433" s="4" t="str">
        <f aca="false">TRIM(E433) &amp; TRIM(C433) &amp; TRIM(D433)</f>
        <v>Posted RecallBid Ad GroupFI</v>
      </c>
      <c r="K433" s="4" t="n">
        <f aca="false">IFERROR(I433*60,"")</f>
        <v>87.108</v>
      </c>
    </row>
    <row r="434" customFormat="false" ht="15" hidden="false" customHeight="false" outlineLevel="0" collapsed="false">
      <c r="A434" s="4" t="s">
        <v>15</v>
      </c>
      <c r="B434" s="4" t="s">
        <v>56</v>
      </c>
      <c r="C434" s="4" t="s">
        <v>75</v>
      </c>
      <c r="D434" s="4" t="s">
        <v>91</v>
      </c>
      <c r="E434" s="4" t="s">
        <v>59</v>
      </c>
      <c r="F434" s="4" t="s">
        <v>59</v>
      </c>
      <c r="G434" s="4" t="s">
        <v>439</v>
      </c>
      <c r="H434" s="4"/>
      <c r="I434" s="4" t="n">
        <v>11.4881</v>
      </c>
      <c r="J434" s="4" t="str">
        <f aca="false">TRIM(E434) &amp; TRIM(C434) &amp; TRIM(D434)</f>
        <v>Re-reviewBid Ecom Ads GroupHR</v>
      </c>
      <c r="K434" s="4" t="n">
        <f aca="false">IFERROR(I434*60,"")</f>
        <v>689.286</v>
      </c>
    </row>
    <row r="435" customFormat="false" ht="15" hidden="false" customHeight="false" outlineLevel="0" collapsed="false">
      <c r="A435" s="4" t="s">
        <v>15</v>
      </c>
      <c r="B435" s="4" t="s">
        <v>56</v>
      </c>
      <c r="C435" s="4" t="s">
        <v>72</v>
      </c>
      <c r="D435" s="4" t="s">
        <v>115</v>
      </c>
      <c r="E435" s="4" t="s">
        <v>63</v>
      </c>
      <c r="F435" s="4" t="s">
        <v>63</v>
      </c>
      <c r="G435" s="4" t="s">
        <v>501</v>
      </c>
      <c r="H435" s="4"/>
      <c r="I435" s="4" t="n">
        <v>0.3135</v>
      </c>
      <c r="J435" s="4" t="str">
        <f aca="false">TRIM(E435) &amp; TRIM(C435) &amp; TRIM(D435)</f>
        <v>First ReviewBid ImageAT</v>
      </c>
      <c r="K435" s="4" t="n">
        <f aca="false">IFERROR(I435*60,"")</f>
        <v>18.81</v>
      </c>
    </row>
    <row r="436" customFormat="false" ht="15" hidden="false" customHeight="false" outlineLevel="0" collapsed="false">
      <c r="A436" s="4" t="s">
        <v>15</v>
      </c>
      <c r="B436" s="4" t="s">
        <v>56</v>
      </c>
      <c r="C436" s="4" t="s">
        <v>75</v>
      </c>
      <c r="D436" s="4" t="s">
        <v>159</v>
      </c>
      <c r="E436" s="4" t="s">
        <v>59</v>
      </c>
      <c r="F436" s="4" t="s">
        <v>59</v>
      </c>
      <c r="G436" s="4" t="s">
        <v>469</v>
      </c>
      <c r="H436" s="4"/>
      <c r="I436" s="4" t="n">
        <v>0.8515</v>
      </c>
      <c r="J436" s="4" t="str">
        <f aca="false">TRIM(E436) &amp; TRIM(C436) &amp; TRIM(D436)</f>
        <v>Re-reviewBid Ecom Ads GroupDO</v>
      </c>
      <c r="K436" s="4" t="n">
        <f aca="false">IFERROR(I436*60,"")</f>
        <v>51.09</v>
      </c>
    </row>
    <row r="437" customFormat="false" ht="15" hidden="false" customHeight="false" outlineLevel="0" collapsed="false">
      <c r="A437" s="4" t="s">
        <v>15</v>
      </c>
      <c r="B437" s="4" t="s">
        <v>56</v>
      </c>
      <c r="C437" s="4" t="s">
        <v>57</v>
      </c>
      <c r="D437" s="4" t="s">
        <v>171</v>
      </c>
      <c r="E437" s="4" t="s">
        <v>63</v>
      </c>
      <c r="F437" s="4" t="s">
        <v>63</v>
      </c>
      <c r="G437" s="4" t="s">
        <v>461</v>
      </c>
      <c r="H437" s="4"/>
      <c r="I437" s="4" t="n">
        <v>3.0542</v>
      </c>
      <c r="J437" s="4" t="str">
        <f aca="false">TRIM(E437) &amp; TRIM(C437) &amp; TRIM(D437)</f>
        <v>First ReviewBid Ad GroupKE</v>
      </c>
      <c r="K437" s="4" t="n">
        <f aca="false">IFERROR(I437*60,"")</f>
        <v>183.252</v>
      </c>
    </row>
    <row r="438" customFormat="false" ht="15" hidden="false" customHeight="false" outlineLevel="0" collapsed="false">
      <c r="A438" s="4" t="s">
        <v>15</v>
      </c>
      <c r="B438" s="4" t="s">
        <v>56</v>
      </c>
      <c r="C438" s="4" t="s">
        <v>57</v>
      </c>
      <c r="D438" s="4" t="s">
        <v>162</v>
      </c>
      <c r="E438" s="4" t="s">
        <v>66</v>
      </c>
      <c r="F438" s="4" t="s">
        <v>67</v>
      </c>
      <c r="G438" s="4" t="s">
        <v>456</v>
      </c>
      <c r="H438" s="4"/>
      <c r="I438" s="4" t="n">
        <v>1.3304</v>
      </c>
      <c r="J438" s="4" t="str">
        <f aca="false">TRIM(E438) &amp; TRIM(C438) &amp; TRIM(D438)</f>
        <v>Posted RecallBid Ad GroupJO</v>
      </c>
      <c r="K438" s="4" t="n">
        <f aca="false">IFERROR(I438*60,"")</f>
        <v>79.824</v>
      </c>
    </row>
    <row r="439" customFormat="false" ht="15" hidden="false" customHeight="false" outlineLevel="0" collapsed="false">
      <c r="A439" s="4" t="s">
        <v>15</v>
      </c>
      <c r="B439" s="4" t="s">
        <v>56</v>
      </c>
      <c r="C439" s="4" t="s">
        <v>84</v>
      </c>
      <c r="D439" s="4" t="s">
        <v>166</v>
      </c>
      <c r="E439" s="4" t="s">
        <v>63</v>
      </c>
      <c r="F439" s="4" t="s">
        <v>63</v>
      </c>
      <c r="G439" s="4" t="s">
        <v>502</v>
      </c>
      <c r="H439" s="4"/>
      <c r="I439" s="4" t="n">
        <v>1.0857</v>
      </c>
      <c r="J439" s="4" t="str">
        <f aca="false">TRIM(E439) &amp; TRIM(C439) &amp; TRIM(D439)</f>
        <v>First ReviewBid Ecom VideoCZ</v>
      </c>
      <c r="K439" s="4" t="n">
        <f aca="false">IFERROR(I439*60,"")</f>
        <v>65.142</v>
      </c>
    </row>
    <row r="440" customFormat="false" ht="15" hidden="false" customHeight="false" outlineLevel="0" collapsed="false">
      <c r="A440" s="4" t="s">
        <v>15</v>
      </c>
      <c r="B440" s="4" t="s">
        <v>56</v>
      </c>
      <c r="C440" s="4" t="s">
        <v>57</v>
      </c>
      <c r="D440" s="4" t="s">
        <v>70</v>
      </c>
      <c r="E440" s="4" t="s">
        <v>63</v>
      </c>
      <c r="F440" s="4" t="s">
        <v>63</v>
      </c>
      <c r="G440" s="4" t="s">
        <v>503</v>
      </c>
      <c r="H440" s="4"/>
      <c r="I440" s="4" t="n">
        <v>1.7867</v>
      </c>
      <c r="J440" s="4" t="str">
        <f aca="false">TRIM(E440) &amp; TRIM(C440) &amp; TRIM(D440)</f>
        <v>First ReviewBid Ad GroupBE</v>
      </c>
      <c r="K440" s="4" t="n">
        <f aca="false">IFERROR(I440*60,"")</f>
        <v>107.202</v>
      </c>
    </row>
    <row r="441" customFormat="false" ht="15" hidden="false" customHeight="false" outlineLevel="0" collapsed="false">
      <c r="A441" s="4" t="s">
        <v>15</v>
      </c>
      <c r="B441" s="4" t="s">
        <v>56</v>
      </c>
      <c r="C441" s="4" t="s">
        <v>84</v>
      </c>
      <c r="D441" s="4" t="s">
        <v>262</v>
      </c>
      <c r="E441" s="4" t="s">
        <v>63</v>
      </c>
      <c r="F441" s="4" t="s">
        <v>63</v>
      </c>
      <c r="G441" s="4" t="s">
        <v>504</v>
      </c>
      <c r="H441" s="4"/>
      <c r="I441" s="4" t="n">
        <v>2.3047</v>
      </c>
      <c r="J441" s="4" t="str">
        <f aca="false">TRIM(E441) &amp; TRIM(C441) &amp; TRIM(D441)</f>
        <v>First ReviewBid Ecom VideoSI</v>
      </c>
      <c r="K441" s="4" t="n">
        <f aca="false">IFERROR(I441*60,"")</f>
        <v>138.282</v>
      </c>
    </row>
    <row r="442" customFormat="false" ht="15" hidden="false" customHeight="false" outlineLevel="0" collapsed="false">
      <c r="A442" s="4" t="s">
        <v>15</v>
      </c>
      <c r="B442" s="4" t="s">
        <v>56</v>
      </c>
      <c r="C442" s="4" t="s">
        <v>57</v>
      </c>
      <c r="D442" s="4" t="s">
        <v>208</v>
      </c>
      <c r="E442" s="4" t="s">
        <v>63</v>
      </c>
      <c r="F442" s="4" t="s">
        <v>63</v>
      </c>
      <c r="G442" s="4" t="s">
        <v>354</v>
      </c>
      <c r="H442" s="4"/>
      <c r="I442" s="4" t="n">
        <v>1.7863</v>
      </c>
      <c r="J442" s="4" t="str">
        <f aca="false">TRIM(E442) &amp; TRIM(C442) &amp; TRIM(D442)</f>
        <v>First ReviewBid Ad GroupCO</v>
      </c>
      <c r="K442" s="4" t="n">
        <f aca="false">IFERROR(I442*60,"")</f>
        <v>107.178</v>
      </c>
    </row>
    <row r="443" customFormat="false" ht="15" hidden="false" customHeight="false" outlineLevel="0" collapsed="false">
      <c r="A443" s="4" t="s">
        <v>15</v>
      </c>
      <c r="B443" s="4" t="s">
        <v>56</v>
      </c>
      <c r="C443" s="4" t="s">
        <v>57</v>
      </c>
      <c r="D443" s="4" t="s">
        <v>89</v>
      </c>
      <c r="E443" s="4" t="s">
        <v>63</v>
      </c>
      <c r="F443" s="4" t="s">
        <v>63</v>
      </c>
      <c r="G443" s="4" t="s">
        <v>500</v>
      </c>
      <c r="H443" s="4"/>
      <c r="I443" s="4" t="n">
        <v>1.9945</v>
      </c>
      <c r="J443" s="4" t="str">
        <f aca="false">TRIM(E443) &amp; TRIM(C443) &amp; TRIM(D443)</f>
        <v>First ReviewBid Ad GroupFI</v>
      </c>
      <c r="K443" s="4" t="n">
        <f aca="false">IFERROR(I443*60,"")</f>
        <v>119.67</v>
      </c>
    </row>
    <row r="444" customFormat="false" ht="15" hidden="false" customHeight="false" outlineLevel="0" collapsed="false">
      <c r="A444" s="4" t="s">
        <v>15</v>
      </c>
      <c r="B444" s="4" t="s">
        <v>56</v>
      </c>
      <c r="C444" s="4" t="s">
        <v>119</v>
      </c>
      <c r="D444" s="4" t="s">
        <v>267</v>
      </c>
      <c r="E444" s="4" t="s">
        <v>63</v>
      </c>
      <c r="F444" s="4" t="s">
        <v>63</v>
      </c>
      <c r="G444" s="4" t="s">
        <v>505</v>
      </c>
      <c r="H444" s="4"/>
      <c r="I444" s="4" t="n">
        <v>1.2681</v>
      </c>
      <c r="J444" s="4" t="str">
        <f aca="false">TRIM(E444) &amp; TRIM(C444) &amp; TRIM(D444)</f>
        <v>First ReviewBid Pre ApprovalID</v>
      </c>
      <c r="K444" s="4" t="n">
        <f aca="false">IFERROR(I444*60,"")</f>
        <v>76.086</v>
      </c>
    </row>
    <row r="445" customFormat="false" ht="15" hidden="false" customHeight="false" outlineLevel="0" collapsed="false">
      <c r="A445" s="4" t="s">
        <v>15</v>
      </c>
      <c r="B445" s="4" t="s">
        <v>56</v>
      </c>
      <c r="C445" s="4" t="s">
        <v>57</v>
      </c>
      <c r="D445" s="4" t="s">
        <v>73</v>
      </c>
      <c r="E445" s="4" t="s">
        <v>63</v>
      </c>
      <c r="F445" s="4" t="s">
        <v>63</v>
      </c>
      <c r="G445" s="4" t="s">
        <v>479</v>
      </c>
      <c r="H445" s="4"/>
      <c r="I445" s="4" t="n">
        <v>1.8771</v>
      </c>
      <c r="J445" s="4" t="str">
        <f aca="false">TRIM(E445) &amp; TRIM(C445) &amp; TRIM(D445)</f>
        <v>First ReviewBid Ad GroupIQ</v>
      </c>
      <c r="K445" s="4" t="n">
        <f aca="false">IFERROR(I445*60,"")</f>
        <v>112.626</v>
      </c>
    </row>
    <row r="446" customFormat="false" ht="15" hidden="false" customHeight="false" outlineLevel="0" collapsed="false">
      <c r="A446" s="4" t="s">
        <v>15</v>
      </c>
      <c r="B446" s="4" t="s">
        <v>56</v>
      </c>
      <c r="C446" s="4" t="s">
        <v>75</v>
      </c>
      <c r="D446" s="4" t="s">
        <v>251</v>
      </c>
      <c r="E446" s="4" t="s">
        <v>66</v>
      </c>
      <c r="F446" s="4" t="s">
        <v>67</v>
      </c>
      <c r="G446" s="4" t="s">
        <v>321</v>
      </c>
      <c r="H446" s="4"/>
      <c r="I446" s="4" t="n">
        <v>2.565</v>
      </c>
      <c r="J446" s="4" t="str">
        <f aca="false">TRIM(E446) &amp; TRIM(C446) &amp; TRIM(D446)</f>
        <v>Posted RecallBid Ecom Ads GroupRO</v>
      </c>
      <c r="K446" s="4" t="n">
        <f aca="false">IFERROR(I446*60,"")</f>
        <v>153.9</v>
      </c>
    </row>
    <row r="447" customFormat="false" ht="15" hidden="false" customHeight="false" outlineLevel="0" collapsed="false">
      <c r="A447" s="4" t="s">
        <v>15</v>
      </c>
      <c r="B447" s="4" t="s">
        <v>56</v>
      </c>
      <c r="C447" s="4" t="s">
        <v>69</v>
      </c>
      <c r="D447" s="4" t="s">
        <v>97</v>
      </c>
      <c r="E447" s="4" t="s">
        <v>63</v>
      </c>
      <c r="F447" s="4" t="s">
        <v>63</v>
      </c>
      <c r="G447" s="4" t="s">
        <v>506</v>
      </c>
      <c r="H447" s="4"/>
      <c r="I447" s="4" t="n">
        <v>1.0604</v>
      </c>
      <c r="J447" s="4" t="str">
        <f aca="false">TRIM(E447) &amp; TRIM(C447) &amp; TRIM(D447)</f>
        <v>First ReviewBid LinkBR</v>
      </c>
      <c r="K447" s="4" t="n">
        <f aca="false">IFERROR(I447*60,"")</f>
        <v>63.624</v>
      </c>
    </row>
    <row r="448" customFormat="false" ht="15" hidden="false" customHeight="false" outlineLevel="0" collapsed="false">
      <c r="A448" s="4" t="s">
        <v>15</v>
      </c>
      <c r="B448" s="4" t="s">
        <v>56</v>
      </c>
      <c r="C448" s="4" t="s">
        <v>57</v>
      </c>
      <c r="D448" s="4" t="s">
        <v>458</v>
      </c>
      <c r="E448" s="4" t="s">
        <v>59</v>
      </c>
      <c r="F448" s="4" t="s">
        <v>59</v>
      </c>
      <c r="G448" s="4" t="s">
        <v>459</v>
      </c>
      <c r="H448" s="4"/>
      <c r="I448" s="4" t="n">
        <v>9.6094</v>
      </c>
      <c r="J448" s="4" t="str">
        <f aca="false">TRIM(E448) &amp; TRIM(C448) &amp; TRIM(D448)</f>
        <v>Re-reviewBid Ad GroupTW</v>
      </c>
      <c r="K448" s="4" t="n">
        <f aca="false">IFERROR(I448*60,"")</f>
        <v>576.564</v>
      </c>
    </row>
    <row r="449" customFormat="false" ht="15" hidden="false" customHeight="false" outlineLevel="0" collapsed="false">
      <c r="A449" s="4" t="s">
        <v>15</v>
      </c>
      <c r="B449" s="4" t="s">
        <v>56</v>
      </c>
      <c r="C449" s="4" t="s">
        <v>78</v>
      </c>
      <c r="D449" s="4" t="s">
        <v>192</v>
      </c>
      <c r="E449" s="4" t="s">
        <v>63</v>
      </c>
      <c r="F449" s="4" t="s">
        <v>63</v>
      </c>
      <c r="G449" s="4" t="s">
        <v>507</v>
      </c>
      <c r="H449" s="4"/>
      <c r="I449" s="4" t="n">
        <v>0.8846</v>
      </c>
      <c r="J449" s="4" t="str">
        <f aca="false">TRIM(E449) &amp; TRIM(C449) &amp; TRIM(D449)</f>
        <v>First ReviewBid VideoGT</v>
      </c>
      <c r="K449" s="4" t="n">
        <f aca="false">IFERROR(I449*60,"")</f>
        <v>53.076</v>
      </c>
    </row>
    <row r="450" customFormat="false" ht="15" hidden="false" customHeight="false" outlineLevel="0" collapsed="false">
      <c r="A450" s="4" t="s">
        <v>15</v>
      </c>
      <c r="B450" s="4" t="s">
        <v>56</v>
      </c>
      <c r="C450" s="4" t="s">
        <v>75</v>
      </c>
      <c r="D450" s="4" t="s">
        <v>102</v>
      </c>
      <c r="E450" s="4" t="s">
        <v>63</v>
      </c>
      <c r="F450" s="4" t="s">
        <v>63</v>
      </c>
      <c r="G450" s="4" t="s">
        <v>508</v>
      </c>
      <c r="H450" s="4"/>
      <c r="I450" s="4" t="n">
        <v>5.483</v>
      </c>
      <c r="J450" s="4" t="str">
        <f aca="false">TRIM(E450) &amp; TRIM(C450) &amp; TRIM(D450)</f>
        <v>First ReviewBid Ecom Ads GroupSE</v>
      </c>
      <c r="K450" s="4" t="n">
        <f aca="false">IFERROR(I450*60,"")</f>
        <v>328.98</v>
      </c>
    </row>
    <row r="451" customFormat="false" ht="15" hidden="false" customHeight="false" outlineLevel="0" collapsed="false">
      <c r="A451" s="4" t="s">
        <v>15</v>
      </c>
      <c r="B451" s="4" t="s">
        <v>56</v>
      </c>
      <c r="C451" s="4" t="s">
        <v>69</v>
      </c>
      <c r="D451" s="4" t="s">
        <v>76</v>
      </c>
      <c r="E451" s="4" t="s">
        <v>63</v>
      </c>
      <c r="F451" s="4" t="s">
        <v>63</v>
      </c>
      <c r="G451" s="4" t="s">
        <v>509</v>
      </c>
      <c r="H451" s="4"/>
      <c r="I451" s="4" t="n">
        <v>1.3945</v>
      </c>
      <c r="J451" s="4" t="str">
        <f aca="false">TRIM(E451) &amp; TRIM(C451) &amp; TRIM(D451)</f>
        <v>First ReviewBid LinkLT</v>
      </c>
      <c r="K451" s="4" t="n">
        <f aca="false">IFERROR(I451*60,"")</f>
        <v>83.67</v>
      </c>
    </row>
    <row r="452" customFormat="false" ht="15" hidden="false" customHeight="false" outlineLevel="0" collapsed="false">
      <c r="A452" s="4" t="s">
        <v>15</v>
      </c>
      <c r="B452" s="4" t="s">
        <v>56</v>
      </c>
      <c r="C452" s="4" t="s">
        <v>57</v>
      </c>
      <c r="D452" s="4" t="s">
        <v>100</v>
      </c>
      <c r="E452" s="4" t="s">
        <v>66</v>
      </c>
      <c r="F452" s="4" t="s">
        <v>67</v>
      </c>
      <c r="G452" s="4" t="s">
        <v>443</v>
      </c>
      <c r="H452" s="4"/>
      <c r="I452" s="4" t="n">
        <v>1.5984</v>
      </c>
      <c r="J452" s="4" t="str">
        <f aca="false">TRIM(E452) &amp; TRIM(C452) &amp; TRIM(D452)</f>
        <v>Posted RecallBid Ad GroupAU</v>
      </c>
      <c r="K452" s="4" t="n">
        <f aca="false">IFERROR(I452*60,"")</f>
        <v>95.904</v>
      </c>
    </row>
    <row r="453" customFormat="false" ht="15" hidden="false" customHeight="false" outlineLevel="0" collapsed="false">
      <c r="A453" s="4" t="s">
        <v>15</v>
      </c>
      <c r="B453" s="4" t="s">
        <v>56</v>
      </c>
      <c r="C453" s="4" t="s">
        <v>57</v>
      </c>
      <c r="D453" s="4" t="s">
        <v>171</v>
      </c>
      <c r="E453" s="4" t="s">
        <v>66</v>
      </c>
      <c r="F453" s="4" t="s">
        <v>67</v>
      </c>
      <c r="G453" s="4" t="s">
        <v>461</v>
      </c>
      <c r="H453" s="4"/>
      <c r="I453" s="4" t="n">
        <v>1.6815</v>
      </c>
      <c r="J453" s="4" t="str">
        <f aca="false">TRIM(E453) &amp; TRIM(C453) &amp; TRIM(D453)</f>
        <v>Posted RecallBid Ad GroupKE</v>
      </c>
      <c r="K453" s="4" t="n">
        <f aca="false">IFERROR(I453*60,"")</f>
        <v>100.89</v>
      </c>
    </row>
    <row r="454" customFormat="false" ht="15" hidden="false" customHeight="false" outlineLevel="0" collapsed="false">
      <c r="A454" s="4" t="s">
        <v>15</v>
      </c>
      <c r="B454" s="4" t="s">
        <v>56</v>
      </c>
      <c r="C454" s="4" t="s">
        <v>75</v>
      </c>
      <c r="D454" s="4" t="s">
        <v>128</v>
      </c>
      <c r="E454" s="4" t="s">
        <v>66</v>
      </c>
      <c r="F454" s="4" t="s">
        <v>67</v>
      </c>
      <c r="G454" s="4" t="s">
        <v>510</v>
      </c>
      <c r="H454" s="4"/>
      <c r="I454" s="4" t="n">
        <v>5.1659</v>
      </c>
      <c r="J454" s="4" t="str">
        <f aca="false">TRIM(E454) &amp; TRIM(C454) &amp; TRIM(D454)</f>
        <v>Posted RecallBid Ecom Ads GroupBD</v>
      </c>
      <c r="K454" s="4" t="n">
        <f aca="false">IFERROR(I454*60,"")</f>
        <v>309.954</v>
      </c>
    </row>
    <row r="455" customFormat="false" ht="15" hidden="false" customHeight="false" outlineLevel="0" collapsed="false">
      <c r="A455" s="4" t="s">
        <v>15</v>
      </c>
      <c r="B455" s="4" t="s">
        <v>56</v>
      </c>
      <c r="C455" s="4" t="s">
        <v>75</v>
      </c>
      <c r="D455" s="4" t="s">
        <v>111</v>
      </c>
      <c r="E455" s="4" t="s">
        <v>59</v>
      </c>
      <c r="F455" s="4" t="s">
        <v>59</v>
      </c>
      <c r="G455" s="4" t="s">
        <v>487</v>
      </c>
      <c r="H455" s="4"/>
      <c r="I455" s="4" t="n">
        <v>7.0349</v>
      </c>
      <c r="J455" s="4" t="str">
        <f aca="false">TRIM(E455) &amp; TRIM(C455) &amp; TRIM(D455)</f>
        <v>Re-reviewBid Ecom Ads GroupUS</v>
      </c>
      <c r="K455" s="4" t="n">
        <f aca="false">IFERROR(I455*60,"")</f>
        <v>422.094</v>
      </c>
    </row>
    <row r="456" customFormat="false" ht="15" hidden="false" customHeight="false" outlineLevel="0" collapsed="false">
      <c r="A456" s="4" t="s">
        <v>15</v>
      </c>
      <c r="B456" s="4" t="s">
        <v>56</v>
      </c>
      <c r="C456" s="4" t="s">
        <v>57</v>
      </c>
      <c r="D456" s="4" t="s">
        <v>306</v>
      </c>
      <c r="E456" s="4" t="s">
        <v>63</v>
      </c>
      <c r="F456" s="4" t="s">
        <v>63</v>
      </c>
      <c r="G456" s="4" t="s">
        <v>511</v>
      </c>
      <c r="H456" s="4"/>
      <c r="I456" s="4" t="n">
        <v>1.6614</v>
      </c>
      <c r="J456" s="4" t="str">
        <f aca="false">TRIM(E456) &amp; TRIM(C456) &amp; TRIM(D456)</f>
        <v>First ReviewBid Ad GroupTH</v>
      </c>
      <c r="K456" s="4" t="n">
        <f aca="false">IFERROR(I456*60,"")</f>
        <v>99.684</v>
      </c>
    </row>
    <row r="457" customFormat="false" ht="15" hidden="false" customHeight="false" outlineLevel="0" collapsed="false">
      <c r="A457" s="4" t="s">
        <v>15</v>
      </c>
      <c r="B457" s="4" t="s">
        <v>56</v>
      </c>
      <c r="C457" s="4" t="s">
        <v>81</v>
      </c>
      <c r="D457" s="4" t="s">
        <v>265</v>
      </c>
      <c r="E457" s="4" t="s">
        <v>63</v>
      </c>
      <c r="F457" s="4" t="s">
        <v>63</v>
      </c>
      <c r="G457" s="4" t="s">
        <v>512</v>
      </c>
      <c r="H457" s="4"/>
      <c r="I457" s="4" t="n">
        <v>0.5478</v>
      </c>
      <c r="J457" s="4" t="str">
        <f aca="false">TRIM(E457) &amp; TRIM(C457) &amp; TRIM(D457)</f>
        <v>First ReviewBid TextNO</v>
      </c>
      <c r="K457" s="4" t="n">
        <f aca="false">IFERROR(I457*60,"")</f>
        <v>32.868</v>
      </c>
    </row>
    <row r="458" customFormat="false" ht="15" hidden="false" customHeight="false" outlineLevel="0" collapsed="false">
      <c r="A458" s="4" t="s">
        <v>15</v>
      </c>
      <c r="B458" s="4" t="s">
        <v>56</v>
      </c>
      <c r="C458" s="4" t="s">
        <v>119</v>
      </c>
      <c r="D458" s="4" t="s">
        <v>97</v>
      </c>
      <c r="E458" s="4" t="s">
        <v>63</v>
      </c>
      <c r="F458" s="4" t="s">
        <v>63</v>
      </c>
      <c r="G458" s="4" t="s">
        <v>513</v>
      </c>
      <c r="H458" s="4"/>
      <c r="I458" s="4" t="n">
        <v>7.6348</v>
      </c>
      <c r="J458" s="4" t="str">
        <f aca="false">TRIM(E458) &amp; TRIM(C458) &amp; TRIM(D458)</f>
        <v>First ReviewBid Pre ApprovalBR</v>
      </c>
      <c r="K458" s="4" t="n">
        <f aca="false">IFERROR(I458*60,"")</f>
        <v>458.088</v>
      </c>
    </row>
    <row r="459" customFormat="false" ht="15" hidden="false" customHeight="false" outlineLevel="0" collapsed="false">
      <c r="A459" s="4" t="s">
        <v>15</v>
      </c>
      <c r="B459" s="4" t="s">
        <v>56</v>
      </c>
      <c r="C459" s="4" t="s">
        <v>75</v>
      </c>
      <c r="D459" s="4" t="s">
        <v>238</v>
      </c>
      <c r="E459" s="4" t="s">
        <v>59</v>
      </c>
      <c r="F459" s="4" t="s">
        <v>59</v>
      </c>
      <c r="G459" s="4" t="s">
        <v>288</v>
      </c>
      <c r="H459" s="4"/>
      <c r="I459" s="4" t="n">
        <v>9.2901</v>
      </c>
      <c r="J459" s="4" t="str">
        <f aca="false">TRIM(E459) &amp; TRIM(C459) &amp; TRIM(D459)</f>
        <v>Re-reviewBid Ecom Ads GroupCH</v>
      </c>
      <c r="K459" s="4" t="n">
        <f aca="false">IFERROR(I459*60,"")</f>
        <v>557.406</v>
      </c>
    </row>
    <row r="460" customFormat="false" ht="15" hidden="false" customHeight="false" outlineLevel="0" collapsed="false">
      <c r="A460" s="4" t="s">
        <v>15</v>
      </c>
      <c r="B460" s="4" t="s">
        <v>56</v>
      </c>
      <c r="C460" s="4" t="s">
        <v>81</v>
      </c>
      <c r="D460" s="4" t="s">
        <v>106</v>
      </c>
      <c r="E460" s="4" t="s">
        <v>63</v>
      </c>
      <c r="F460" s="4" t="s">
        <v>63</v>
      </c>
      <c r="G460" s="4" t="s">
        <v>514</v>
      </c>
      <c r="H460" s="4"/>
      <c r="I460" s="4" t="n">
        <v>0.4416</v>
      </c>
      <c r="J460" s="4" t="str">
        <f aca="false">TRIM(E460) &amp; TRIM(C460) &amp; TRIM(D460)</f>
        <v>First ReviewBid TextMY</v>
      </c>
      <c r="K460" s="4" t="n">
        <f aca="false">IFERROR(I460*60,"")</f>
        <v>26.496</v>
      </c>
    </row>
    <row r="461" customFormat="false" ht="15" hidden="false" customHeight="false" outlineLevel="0" collapsed="false">
      <c r="A461" s="4" t="s">
        <v>15</v>
      </c>
      <c r="B461" s="4" t="s">
        <v>56</v>
      </c>
      <c r="C461" s="4" t="s">
        <v>69</v>
      </c>
      <c r="D461" s="4" t="s">
        <v>267</v>
      </c>
      <c r="E461" s="4" t="s">
        <v>63</v>
      </c>
      <c r="F461" s="4" t="s">
        <v>63</v>
      </c>
      <c r="G461" s="4" t="s">
        <v>515</v>
      </c>
      <c r="H461" s="4"/>
      <c r="I461" s="4" t="n">
        <v>1.0346</v>
      </c>
      <c r="J461" s="4" t="str">
        <f aca="false">TRIM(E461) &amp; TRIM(C461) &amp; TRIM(D461)</f>
        <v>First ReviewBid LinkID</v>
      </c>
      <c r="K461" s="4" t="n">
        <f aca="false">IFERROR(I461*60,"")</f>
        <v>62.076</v>
      </c>
    </row>
    <row r="462" customFormat="false" ht="15" hidden="false" customHeight="false" outlineLevel="0" collapsed="false">
      <c r="A462" s="4" t="s">
        <v>15</v>
      </c>
      <c r="B462" s="4" t="s">
        <v>56</v>
      </c>
      <c r="C462" s="4" t="s">
        <v>78</v>
      </c>
      <c r="D462" s="4" t="s">
        <v>162</v>
      </c>
      <c r="E462" s="4" t="s">
        <v>63</v>
      </c>
      <c r="F462" s="4" t="s">
        <v>63</v>
      </c>
      <c r="G462" s="4" t="s">
        <v>516</v>
      </c>
      <c r="H462" s="4"/>
      <c r="I462" s="4" t="n">
        <v>1.104</v>
      </c>
      <c r="J462" s="4" t="str">
        <f aca="false">TRIM(E462) &amp; TRIM(C462) &amp; TRIM(D462)</f>
        <v>First ReviewBid VideoJO</v>
      </c>
      <c r="K462" s="4" t="n">
        <f aca="false">IFERROR(I462*60,"")</f>
        <v>66.24</v>
      </c>
    </row>
    <row r="463" customFormat="false" ht="15" hidden="false" customHeight="false" outlineLevel="0" collapsed="false">
      <c r="A463" s="4" t="s">
        <v>15</v>
      </c>
      <c r="B463" s="4" t="s">
        <v>56</v>
      </c>
      <c r="C463" s="4" t="s">
        <v>57</v>
      </c>
      <c r="D463" s="4" t="s">
        <v>141</v>
      </c>
      <c r="E463" s="4" t="s">
        <v>59</v>
      </c>
      <c r="F463" s="4" t="s">
        <v>59</v>
      </c>
      <c r="G463" s="4" t="s">
        <v>517</v>
      </c>
      <c r="H463" s="4"/>
      <c r="I463" s="4" t="n">
        <v>4.336</v>
      </c>
      <c r="J463" s="4" t="str">
        <f aca="false">TRIM(E463) &amp; TRIM(C463) &amp; TRIM(D463)</f>
        <v>Re-reviewBid Ad GroupAZ</v>
      </c>
      <c r="K463" s="4" t="n">
        <f aca="false">IFERROR(I463*60,"")</f>
        <v>260.16</v>
      </c>
    </row>
    <row r="464" customFormat="false" ht="15" hidden="false" customHeight="false" outlineLevel="0" collapsed="false">
      <c r="A464" s="4" t="s">
        <v>15</v>
      </c>
      <c r="B464" s="4" t="s">
        <v>56</v>
      </c>
      <c r="C464" s="4" t="s">
        <v>57</v>
      </c>
      <c r="D464" s="4" t="s">
        <v>208</v>
      </c>
      <c r="E464" s="4" t="s">
        <v>66</v>
      </c>
      <c r="F464" s="4" t="s">
        <v>67</v>
      </c>
      <c r="G464" s="4" t="s">
        <v>354</v>
      </c>
      <c r="H464" s="4"/>
      <c r="I464" s="4" t="n">
        <v>1.4667</v>
      </c>
      <c r="J464" s="4" t="str">
        <f aca="false">TRIM(E464) &amp; TRIM(C464) &amp; TRIM(D464)</f>
        <v>Posted RecallBid Ad GroupCO</v>
      </c>
      <c r="K464" s="4" t="n">
        <f aca="false">IFERROR(I464*60,"")</f>
        <v>88.002</v>
      </c>
    </row>
    <row r="465" customFormat="false" ht="15" hidden="false" customHeight="false" outlineLevel="0" collapsed="false">
      <c r="A465" s="4" t="s">
        <v>15</v>
      </c>
      <c r="B465" s="4" t="s">
        <v>56</v>
      </c>
      <c r="C465" s="4" t="s">
        <v>75</v>
      </c>
      <c r="D465" s="4" t="s">
        <v>154</v>
      </c>
      <c r="E465" s="4" t="s">
        <v>59</v>
      </c>
      <c r="F465" s="4" t="s">
        <v>59</v>
      </c>
      <c r="G465" s="4" t="s">
        <v>283</v>
      </c>
      <c r="H465" s="4"/>
      <c r="I465" s="4" t="n">
        <v>7.9197</v>
      </c>
      <c r="J465" s="4" t="str">
        <f aca="false">TRIM(E465) &amp; TRIM(C465) &amp; TRIM(D465)</f>
        <v>Re-reviewBid Ecom Ads GroupES</v>
      </c>
      <c r="K465" s="4" t="n">
        <f aca="false">IFERROR(I465*60,"")</f>
        <v>475.182</v>
      </c>
    </row>
    <row r="466" customFormat="false" ht="15" hidden="false" customHeight="false" outlineLevel="0" collapsed="false">
      <c r="A466" s="4" t="s">
        <v>15</v>
      </c>
      <c r="B466" s="4" t="s">
        <v>56</v>
      </c>
      <c r="C466" s="4" t="s">
        <v>75</v>
      </c>
      <c r="D466" s="4" t="s">
        <v>284</v>
      </c>
      <c r="E466" s="4" t="s">
        <v>59</v>
      </c>
      <c r="F466" s="4" t="s">
        <v>59</v>
      </c>
      <c r="G466" s="4" t="s">
        <v>473</v>
      </c>
      <c r="H466" s="4"/>
      <c r="I466" s="4" t="n">
        <v>5.913</v>
      </c>
      <c r="J466" s="4" t="str">
        <f aca="false">TRIM(E466) &amp; TRIM(C466) &amp; TRIM(D466)</f>
        <v>Re-reviewBid Ecom Ads GroupTR</v>
      </c>
      <c r="K466" s="4" t="n">
        <f aca="false">IFERROR(I466*60,"")</f>
        <v>354.78</v>
      </c>
    </row>
    <row r="467" customFormat="false" ht="15" hidden="false" customHeight="false" outlineLevel="0" collapsed="false">
      <c r="A467" s="4" t="s">
        <v>15</v>
      </c>
      <c r="B467" s="4" t="s">
        <v>56</v>
      </c>
      <c r="C467" s="4" t="s">
        <v>72</v>
      </c>
      <c r="D467" s="4" t="s">
        <v>97</v>
      </c>
      <c r="E467" s="4" t="s">
        <v>63</v>
      </c>
      <c r="F467" s="4" t="s">
        <v>63</v>
      </c>
      <c r="G467" s="4" t="s">
        <v>518</v>
      </c>
      <c r="H467" s="4"/>
      <c r="I467" s="4" t="n">
        <v>0.367</v>
      </c>
      <c r="J467" s="4" t="str">
        <f aca="false">TRIM(E467) &amp; TRIM(C467) &amp; TRIM(D467)</f>
        <v>First ReviewBid ImageBR</v>
      </c>
      <c r="K467" s="4" t="n">
        <f aca="false">IFERROR(I467*60,"")</f>
        <v>22.02</v>
      </c>
    </row>
    <row r="468" customFormat="false" ht="15" hidden="false" customHeight="false" outlineLevel="0" collapsed="false">
      <c r="A468" s="4" t="s">
        <v>15</v>
      </c>
      <c r="B468" s="4" t="s">
        <v>56</v>
      </c>
      <c r="C468" s="4" t="s">
        <v>61</v>
      </c>
      <c r="D468" s="4" t="s">
        <v>221</v>
      </c>
      <c r="E468" s="4" t="s">
        <v>63</v>
      </c>
      <c r="F468" s="4" t="s">
        <v>63</v>
      </c>
      <c r="G468" s="4" t="s">
        <v>519</v>
      </c>
      <c r="H468" s="4"/>
      <c r="I468" s="4" t="n">
        <v>0.786</v>
      </c>
      <c r="J468" s="4" t="str">
        <f aca="false">TRIM(E468) &amp; TRIM(C468) &amp; TRIM(D468)</f>
        <v>First ReviewBid Ecom URLOM</v>
      </c>
      <c r="K468" s="4" t="n">
        <f aca="false">IFERROR(I468*60,"")</f>
        <v>47.16</v>
      </c>
    </row>
    <row r="469" customFormat="false" ht="15" hidden="false" customHeight="false" outlineLevel="0" collapsed="false">
      <c r="A469" s="4" t="s">
        <v>15</v>
      </c>
      <c r="B469" s="4" t="s">
        <v>56</v>
      </c>
      <c r="C469" s="4" t="s">
        <v>93</v>
      </c>
      <c r="D469" s="4" t="s">
        <v>115</v>
      </c>
      <c r="E469" s="4" t="s">
        <v>63</v>
      </c>
      <c r="F469" s="4" t="s">
        <v>63</v>
      </c>
      <c r="G469" s="4" t="s">
        <v>520</v>
      </c>
      <c r="H469" s="4"/>
      <c r="I469" s="4" t="n">
        <v>0.6268</v>
      </c>
      <c r="J469" s="4" t="str">
        <f aca="false">TRIM(E469) &amp; TRIM(C469) &amp; TRIM(D469)</f>
        <v>First ReviewBid AudioAT</v>
      </c>
      <c r="K469" s="4" t="n">
        <f aca="false">IFERROR(I469*60,"")</f>
        <v>37.608</v>
      </c>
    </row>
    <row r="470" customFormat="false" ht="15" hidden="false" customHeight="false" outlineLevel="0" collapsed="false">
      <c r="A470" s="4" t="s">
        <v>15</v>
      </c>
      <c r="B470" s="4" t="s">
        <v>56</v>
      </c>
      <c r="C470" s="4" t="s">
        <v>81</v>
      </c>
      <c r="D470" s="4" t="s">
        <v>341</v>
      </c>
      <c r="E470" s="4" t="s">
        <v>63</v>
      </c>
      <c r="F470" s="4" t="s">
        <v>63</v>
      </c>
      <c r="G470" s="4" t="s">
        <v>521</v>
      </c>
      <c r="H470" s="4"/>
      <c r="I470" s="4" t="n">
        <v>0.5417</v>
      </c>
      <c r="J470" s="4" t="str">
        <f aca="false">TRIM(E470) &amp; TRIM(C470) &amp; TRIM(D470)</f>
        <v>First ReviewBid TextBG</v>
      </c>
      <c r="K470" s="4" t="n">
        <f aca="false">IFERROR(I470*60,"")</f>
        <v>32.502</v>
      </c>
    </row>
    <row r="471" customFormat="false" ht="15" hidden="false" customHeight="false" outlineLevel="0" collapsed="false">
      <c r="A471" s="4" t="s">
        <v>15</v>
      </c>
      <c r="B471" s="4" t="s">
        <v>56</v>
      </c>
      <c r="C471" s="4" t="s">
        <v>72</v>
      </c>
      <c r="D471" s="4" t="s">
        <v>190</v>
      </c>
      <c r="E471" s="4" t="s">
        <v>63</v>
      </c>
      <c r="F471" s="4" t="s">
        <v>63</v>
      </c>
      <c r="G471" s="4" t="s">
        <v>522</v>
      </c>
      <c r="H471" s="4"/>
      <c r="I471" s="4" t="n">
        <v>0.1155</v>
      </c>
      <c r="J471" s="4" t="str">
        <f aca="false">TRIM(E471) &amp; TRIM(C471) &amp; TRIM(D471)</f>
        <v>First ReviewBid ImagePH</v>
      </c>
      <c r="K471" s="4" t="n">
        <f aca="false">IFERROR(I471*60,"")</f>
        <v>6.93</v>
      </c>
    </row>
    <row r="472" customFormat="false" ht="15" hidden="false" customHeight="false" outlineLevel="0" collapsed="false">
      <c r="A472" s="4" t="s">
        <v>15</v>
      </c>
      <c r="B472" s="4" t="s">
        <v>56</v>
      </c>
      <c r="C472" s="4" t="s">
        <v>84</v>
      </c>
      <c r="D472" s="4" t="s">
        <v>238</v>
      </c>
      <c r="E472" s="4" t="s">
        <v>63</v>
      </c>
      <c r="F472" s="4" t="s">
        <v>63</v>
      </c>
      <c r="G472" s="4" t="s">
        <v>523</v>
      </c>
      <c r="H472" s="4"/>
      <c r="I472" s="4" t="n">
        <v>0.9065</v>
      </c>
      <c r="J472" s="4" t="str">
        <f aca="false">TRIM(E472) &amp; TRIM(C472) &amp; TRIM(D472)</f>
        <v>First ReviewBid Ecom VideoCH</v>
      </c>
      <c r="K472" s="4" t="n">
        <f aca="false">IFERROR(I472*60,"")</f>
        <v>54.39</v>
      </c>
    </row>
    <row r="473" customFormat="false" ht="15" hidden="false" customHeight="false" outlineLevel="0" collapsed="false">
      <c r="A473" s="4" t="s">
        <v>15</v>
      </c>
      <c r="B473" s="4" t="s">
        <v>56</v>
      </c>
      <c r="C473" s="4" t="s">
        <v>93</v>
      </c>
      <c r="D473" s="4" t="s">
        <v>102</v>
      </c>
      <c r="E473" s="4" t="s">
        <v>63</v>
      </c>
      <c r="F473" s="4" t="s">
        <v>63</v>
      </c>
      <c r="G473" s="4" t="s">
        <v>524</v>
      </c>
      <c r="H473" s="4"/>
      <c r="I473" s="4" t="n">
        <v>1.3173</v>
      </c>
      <c r="J473" s="4" t="str">
        <f aca="false">TRIM(E473) &amp; TRIM(C473) &amp; TRIM(D473)</f>
        <v>First ReviewBid AudioSE</v>
      </c>
      <c r="K473" s="4" t="n">
        <f aca="false">IFERROR(I473*60,"")</f>
        <v>79.038</v>
      </c>
    </row>
    <row r="474" customFormat="false" ht="15" hidden="false" customHeight="false" outlineLevel="0" collapsed="false">
      <c r="A474" s="4" t="s">
        <v>15</v>
      </c>
      <c r="B474" s="4" t="s">
        <v>56</v>
      </c>
      <c r="C474" s="4" t="s">
        <v>84</v>
      </c>
      <c r="D474" s="4" t="s">
        <v>308</v>
      </c>
      <c r="E474" s="4" t="s">
        <v>63</v>
      </c>
      <c r="F474" s="4" t="s">
        <v>63</v>
      </c>
      <c r="G474" s="4" t="s">
        <v>525</v>
      </c>
      <c r="H474" s="4"/>
      <c r="I474" s="4" t="n">
        <v>2.6914</v>
      </c>
      <c r="J474" s="4" t="str">
        <f aca="false">TRIM(E474) &amp; TRIM(C474) &amp; TRIM(D474)</f>
        <v>First ReviewBid Ecom VideoPL</v>
      </c>
      <c r="K474" s="4" t="n">
        <f aca="false">IFERROR(I474*60,"")</f>
        <v>161.484</v>
      </c>
    </row>
    <row r="475" customFormat="false" ht="15" hidden="false" customHeight="false" outlineLevel="0" collapsed="false">
      <c r="A475" s="4" t="s">
        <v>15</v>
      </c>
      <c r="B475" s="4" t="s">
        <v>56</v>
      </c>
      <c r="C475" s="4" t="s">
        <v>75</v>
      </c>
      <c r="D475" s="4" t="s">
        <v>362</v>
      </c>
      <c r="E475" s="4" t="s">
        <v>66</v>
      </c>
      <c r="F475" s="4" t="s">
        <v>67</v>
      </c>
      <c r="G475" s="4" t="s">
        <v>400</v>
      </c>
      <c r="H475" s="4"/>
      <c r="I475" s="4" t="n">
        <v>1.6237</v>
      </c>
      <c r="J475" s="4" t="str">
        <f aca="false">TRIM(E475) &amp; TRIM(C475) &amp; TRIM(D475)</f>
        <v>Posted RecallBid Ecom Ads GroupPA</v>
      </c>
      <c r="K475" s="4" t="n">
        <f aca="false">IFERROR(I475*60,"")</f>
        <v>97.422</v>
      </c>
    </row>
    <row r="476" customFormat="false" ht="15" hidden="false" customHeight="false" outlineLevel="0" collapsed="false">
      <c r="A476" s="4" t="s">
        <v>15</v>
      </c>
      <c r="B476" s="4" t="s">
        <v>56</v>
      </c>
      <c r="C476" s="4" t="s">
        <v>61</v>
      </c>
      <c r="D476" s="4" t="s">
        <v>195</v>
      </c>
      <c r="E476" s="4" t="s">
        <v>63</v>
      </c>
      <c r="F476" s="4" t="s">
        <v>63</v>
      </c>
      <c r="G476" s="4" t="s">
        <v>526</v>
      </c>
      <c r="H476" s="4"/>
      <c r="I476" s="4" t="n">
        <v>1.6227</v>
      </c>
      <c r="J476" s="4" t="str">
        <f aca="false">TRIM(E476) &amp; TRIM(C476) &amp; TRIM(D476)</f>
        <v>First ReviewBid Ecom URLIT</v>
      </c>
      <c r="K476" s="4" t="n">
        <f aca="false">IFERROR(I476*60,"")</f>
        <v>97.362</v>
      </c>
    </row>
    <row r="477" customFormat="false" ht="15" hidden="false" customHeight="false" outlineLevel="0" collapsed="false">
      <c r="A477" s="4" t="s">
        <v>15</v>
      </c>
      <c r="B477" s="4" t="s">
        <v>56</v>
      </c>
      <c r="C477" s="4" t="s">
        <v>57</v>
      </c>
      <c r="D477" s="4" t="s">
        <v>181</v>
      </c>
      <c r="E477" s="4" t="s">
        <v>59</v>
      </c>
      <c r="F477" s="4" t="s">
        <v>59</v>
      </c>
      <c r="G477" s="4" t="s">
        <v>497</v>
      </c>
      <c r="H477" s="4"/>
      <c r="I477" s="4" t="n">
        <v>5.9851</v>
      </c>
      <c r="J477" s="4" t="str">
        <f aca="false">TRIM(E477) &amp; TRIM(C477) &amp; TRIM(D477)</f>
        <v>Re-reviewBid Ad GroupLB</v>
      </c>
      <c r="K477" s="4" t="n">
        <f aca="false">IFERROR(I477*60,"")</f>
        <v>359.106</v>
      </c>
    </row>
    <row r="478" customFormat="false" ht="15" hidden="false" customHeight="false" outlineLevel="0" collapsed="false">
      <c r="A478" s="4" t="s">
        <v>15</v>
      </c>
      <c r="B478" s="4" t="s">
        <v>56</v>
      </c>
      <c r="C478" s="4" t="s">
        <v>78</v>
      </c>
      <c r="D478" s="4" t="s">
        <v>145</v>
      </c>
      <c r="E478" s="4" t="s">
        <v>63</v>
      </c>
      <c r="F478" s="4" t="s">
        <v>63</v>
      </c>
      <c r="G478" s="4" t="s">
        <v>527</v>
      </c>
      <c r="H478" s="4"/>
      <c r="I478" s="4" t="n">
        <v>1.3772</v>
      </c>
      <c r="J478" s="4" t="str">
        <f aca="false">TRIM(E478) &amp; TRIM(C478) &amp; TRIM(D478)</f>
        <v>First ReviewBid VideoRS</v>
      </c>
      <c r="K478" s="4" t="n">
        <f aca="false">IFERROR(I478*60,"")</f>
        <v>82.632</v>
      </c>
    </row>
    <row r="479" customFormat="false" ht="15" hidden="false" customHeight="false" outlineLevel="0" collapsed="false">
      <c r="A479" s="4" t="s">
        <v>15</v>
      </c>
      <c r="B479" s="4" t="s">
        <v>56</v>
      </c>
      <c r="C479" s="4" t="s">
        <v>119</v>
      </c>
      <c r="D479" s="4" t="s">
        <v>150</v>
      </c>
      <c r="E479" s="4" t="s">
        <v>63</v>
      </c>
      <c r="F479" s="4" t="s">
        <v>63</v>
      </c>
      <c r="G479" s="4" t="s">
        <v>528</v>
      </c>
      <c r="H479" s="4"/>
      <c r="I479" s="4" t="n">
        <v>3.4945</v>
      </c>
      <c r="J479" s="4" t="str">
        <f aca="false">TRIM(E479) &amp; TRIM(C479) &amp; TRIM(D479)</f>
        <v>First ReviewBid Pre ApprovalDE</v>
      </c>
      <c r="K479" s="4" t="n">
        <f aca="false">IFERROR(I479*60,"")</f>
        <v>209.67</v>
      </c>
    </row>
    <row r="480" customFormat="false" ht="15" hidden="false" customHeight="false" outlineLevel="0" collapsed="false">
      <c r="A480" s="4" t="s">
        <v>15</v>
      </c>
      <c r="B480" s="4" t="s">
        <v>56</v>
      </c>
      <c r="C480" s="4" t="s">
        <v>84</v>
      </c>
      <c r="D480" s="4" t="s">
        <v>164</v>
      </c>
      <c r="E480" s="4" t="s">
        <v>63</v>
      </c>
      <c r="F480" s="4" t="s">
        <v>63</v>
      </c>
      <c r="G480" s="4" t="s">
        <v>529</v>
      </c>
      <c r="H480" s="4"/>
      <c r="I480" s="4" t="n">
        <v>0.5795</v>
      </c>
      <c r="J480" s="4" t="str">
        <f aca="false">TRIM(E480) &amp; TRIM(C480) &amp; TRIM(D480)</f>
        <v>First ReviewBid Ecom VideoCR</v>
      </c>
      <c r="K480" s="4" t="n">
        <f aca="false">IFERROR(I480*60,"")</f>
        <v>34.77</v>
      </c>
    </row>
    <row r="481" customFormat="false" ht="15" hidden="false" customHeight="false" outlineLevel="0" collapsed="false">
      <c r="A481" s="4" t="s">
        <v>15</v>
      </c>
      <c r="B481" s="4" t="s">
        <v>56</v>
      </c>
      <c r="C481" s="4" t="s">
        <v>84</v>
      </c>
      <c r="D481" s="4" t="s">
        <v>79</v>
      </c>
      <c r="E481" s="4" t="s">
        <v>63</v>
      </c>
      <c r="F481" s="4" t="s">
        <v>63</v>
      </c>
      <c r="G481" s="4" t="s">
        <v>530</v>
      </c>
      <c r="H481" s="4"/>
      <c r="I481" s="4" t="n">
        <v>1.9438</v>
      </c>
      <c r="J481" s="4" t="str">
        <f aca="false">TRIM(E481) &amp; TRIM(C481) &amp; TRIM(D481)</f>
        <v>First ReviewBid Ecom VideoZA</v>
      </c>
      <c r="K481" s="4" t="n">
        <f aca="false">IFERROR(I481*60,"")</f>
        <v>116.628</v>
      </c>
    </row>
    <row r="482" customFormat="false" ht="15" hidden="false" customHeight="false" outlineLevel="0" collapsed="false">
      <c r="A482" s="4" t="s">
        <v>15</v>
      </c>
      <c r="B482" s="4" t="s">
        <v>56</v>
      </c>
      <c r="C482" s="4" t="s">
        <v>57</v>
      </c>
      <c r="D482" s="4" t="s">
        <v>85</v>
      </c>
      <c r="E482" s="4" t="s">
        <v>63</v>
      </c>
      <c r="F482" s="4" t="s">
        <v>63</v>
      </c>
      <c r="G482" s="4" t="s">
        <v>330</v>
      </c>
      <c r="H482" s="4"/>
      <c r="I482" s="4" t="n">
        <v>1.5087</v>
      </c>
      <c r="J482" s="4" t="str">
        <f aca="false">TRIM(E482) &amp; TRIM(C482) &amp; TRIM(D482)</f>
        <v>First ReviewBid Ad GroupEC</v>
      </c>
      <c r="K482" s="4" t="n">
        <f aca="false">IFERROR(I482*60,"")</f>
        <v>90.522</v>
      </c>
    </row>
    <row r="483" customFormat="false" ht="15" hidden="false" customHeight="false" outlineLevel="0" collapsed="false">
      <c r="A483" s="4" t="s">
        <v>15</v>
      </c>
      <c r="B483" s="4" t="s">
        <v>56</v>
      </c>
      <c r="C483" s="4" t="s">
        <v>84</v>
      </c>
      <c r="D483" s="4" t="s">
        <v>104</v>
      </c>
      <c r="E483" s="4" t="s">
        <v>63</v>
      </c>
      <c r="F483" s="4" t="s">
        <v>63</v>
      </c>
      <c r="G483" s="4" t="s">
        <v>531</v>
      </c>
      <c r="H483" s="4"/>
      <c r="I483" s="4" t="n">
        <v>4.2987</v>
      </c>
      <c r="J483" s="4" t="str">
        <f aca="false">TRIM(E483) &amp; TRIM(C483) &amp; TRIM(D483)</f>
        <v>First ReviewBid Ecom VideoIE</v>
      </c>
      <c r="K483" s="4" t="n">
        <f aca="false">IFERROR(I483*60,"")</f>
        <v>257.922</v>
      </c>
    </row>
    <row r="484" customFormat="false" ht="15" hidden="false" customHeight="false" outlineLevel="0" collapsed="false">
      <c r="A484" s="4" t="s">
        <v>15</v>
      </c>
      <c r="B484" s="4" t="s">
        <v>56</v>
      </c>
      <c r="C484" s="4" t="s">
        <v>75</v>
      </c>
      <c r="D484" s="4" t="s">
        <v>117</v>
      </c>
      <c r="E484" s="4" t="s">
        <v>63</v>
      </c>
      <c r="F484" s="4" t="s">
        <v>63</v>
      </c>
      <c r="G484" s="4" t="s">
        <v>118</v>
      </c>
      <c r="H484" s="4"/>
      <c r="I484" s="4" t="n">
        <v>1.8424</v>
      </c>
      <c r="J484" s="4" t="str">
        <f aca="false">TRIM(E484) &amp; TRIM(C484) &amp; TRIM(D484)</f>
        <v>First ReviewBid Ecom Ads GroupAR</v>
      </c>
      <c r="K484" s="4" t="n">
        <f aca="false">IFERROR(I484*60,"")</f>
        <v>110.544</v>
      </c>
    </row>
    <row r="485" customFormat="false" ht="15" hidden="false" customHeight="false" outlineLevel="0" collapsed="false">
      <c r="A485" s="4" t="s">
        <v>15</v>
      </c>
      <c r="B485" s="4" t="s">
        <v>56</v>
      </c>
      <c r="C485" s="4" t="s">
        <v>78</v>
      </c>
      <c r="D485" s="4" t="s">
        <v>73</v>
      </c>
      <c r="E485" s="4" t="s">
        <v>63</v>
      </c>
      <c r="F485" s="4" t="s">
        <v>63</v>
      </c>
      <c r="G485" s="4" t="s">
        <v>532</v>
      </c>
      <c r="H485" s="4"/>
      <c r="I485" s="4" t="n">
        <v>0.7633</v>
      </c>
      <c r="J485" s="4" t="str">
        <f aca="false">TRIM(E485) &amp; TRIM(C485) &amp; TRIM(D485)</f>
        <v>First ReviewBid VideoIQ</v>
      </c>
      <c r="K485" s="4" t="n">
        <f aca="false">IFERROR(I485*60,"")</f>
        <v>45.798</v>
      </c>
    </row>
    <row r="486" customFormat="false" ht="15" hidden="false" customHeight="false" outlineLevel="0" collapsed="false">
      <c r="A486" s="4" t="s">
        <v>15</v>
      </c>
      <c r="B486" s="4" t="s">
        <v>56</v>
      </c>
      <c r="C486" s="4" t="s">
        <v>84</v>
      </c>
      <c r="D486" s="4" t="s">
        <v>89</v>
      </c>
      <c r="E486" s="4" t="s">
        <v>63</v>
      </c>
      <c r="F486" s="4" t="s">
        <v>63</v>
      </c>
      <c r="G486" s="4" t="s">
        <v>533</v>
      </c>
      <c r="H486" s="4"/>
      <c r="I486" s="4" t="n">
        <v>1.5502</v>
      </c>
      <c r="J486" s="4" t="str">
        <f aca="false">TRIM(E486) &amp; TRIM(C486) &amp; TRIM(D486)</f>
        <v>First ReviewBid Ecom VideoFI</v>
      </c>
      <c r="K486" s="4" t="n">
        <f aca="false">IFERROR(I486*60,"")</f>
        <v>93.012</v>
      </c>
    </row>
    <row r="487" customFormat="false" ht="15" hidden="false" customHeight="false" outlineLevel="0" collapsed="false">
      <c r="A487" s="4" t="s">
        <v>15</v>
      </c>
      <c r="B487" s="4" t="s">
        <v>56</v>
      </c>
      <c r="C487" s="4" t="s">
        <v>57</v>
      </c>
      <c r="D487" s="4" t="s">
        <v>126</v>
      </c>
      <c r="E487" s="4" t="s">
        <v>59</v>
      </c>
      <c r="F487" s="4" t="s">
        <v>59</v>
      </c>
      <c r="G487" s="4" t="s">
        <v>340</v>
      </c>
      <c r="H487" s="4"/>
      <c r="I487" s="4" t="n">
        <v>4.5583</v>
      </c>
      <c r="J487" s="4" t="str">
        <f aca="false">TRIM(E487) &amp; TRIM(C487) &amp; TRIM(D487)</f>
        <v>Re-reviewBid Ad GroupMX</v>
      </c>
      <c r="K487" s="4" t="n">
        <f aca="false">IFERROR(I487*60,"")</f>
        <v>273.498</v>
      </c>
    </row>
    <row r="488" customFormat="false" ht="15" hidden="false" customHeight="false" outlineLevel="0" collapsed="false">
      <c r="A488" s="4" t="s">
        <v>15</v>
      </c>
      <c r="B488" s="4" t="s">
        <v>56</v>
      </c>
      <c r="C488" s="4" t="s">
        <v>75</v>
      </c>
      <c r="D488" s="4" t="s">
        <v>208</v>
      </c>
      <c r="E488" s="4" t="s">
        <v>59</v>
      </c>
      <c r="F488" s="4" t="s">
        <v>59</v>
      </c>
      <c r="G488" s="4" t="s">
        <v>534</v>
      </c>
      <c r="H488" s="4"/>
      <c r="I488" s="4" t="n">
        <v>4.9927</v>
      </c>
      <c r="J488" s="4" t="str">
        <f aca="false">TRIM(E488) &amp; TRIM(C488) &amp; TRIM(D488)</f>
        <v>Re-reviewBid Ecom Ads GroupCO</v>
      </c>
      <c r="K488" s="4" t="n">
        <f aca="false">IFERROR(I488*60,"")</f>
        <v>299.562</v>
      </c>
    </row>
    <row r="489" customFormat="false" ht="15" hidden="false" customHeight="false" outlineLevel="0" collapsed="false">
      <c r="A489" s="4" t="s">
        <v>15</v>
      </c>
      <c r="B489" s="4" t="s">
        <v>56</v>
      </c>
      <c r="C489" s="4" t="s">
        <v>78</v>
      </c>
      <c r="D489" s="4" t="s">
        <v>150</v>
      </c>
      <c r="E489" s="4" t="s">
        <v>63</v>
      </c>
      <c r="F489" s="4" t="s">
        <v>63</v>
      </c>
      <c r="G489" s="4" t="s">
        <v>535</v>
      </c>
      <c r="H489" s="4"/>
      <c r="I489" s="4" t="n">
        <v>1.2413</v>
      </c>
      <c r="J489" s="4" t="str">
        <f aca="false">TRIM(E489) &amp; TRIM(C489) &amp; TRIM(D489)</f>
        <v>First ReviewBid VideoDE</v>
      </c>
      <c r="K489" s="4" t="n">
        <f aca="false">IFERROR(I489*60,"")</f>
        <v>74.478</v>
      </c>
    </row>
    <row r="490" customFormat="false" ht="15" hidden="false" customHeight="false" outlineLevel="0" collapsed="false">
      <c r="A490" s="4" t="s">
        <v>15</v>
      </c>
      <c r="B490" s="4" t="s">
        <v>56</v>
      </c>
      <c r="C490" s="4" t="s">
        <v>61</v>
      </c>
      <c r="D490" s="4" t="s">
        <v>341</v>
      </c>
      <c r="E490" s="4" t="s">
        <v>63</v>
      </c>
      <c r="F490" s="4" t="s">
        <v>63</v>
      </c>
      <c r="G490" s="4" t="s">
        <v>536</v>
      </c>
      <c r="H490" s="4"/>
      <c r="I490" s="4" t="n">
        <v>2.0195</v>
      </c>
      <c r="J490" s="4" t="str">
        <f aca="false">TRIM(E490) &amp; TRIM(C490) &amp; TRIM(D490)</f>
        <v>First ReviewBid Ecom URLBG</v>
      </c>
      <c r="K490" s="4" t="n">
        <f aca="false">IFERROR(I490*60,"")</f>
        <v>121.17</v>
      </c>
    </row>
    <row r="491" customFormat="false" ht="15" hidden="false" customHeight="false" outlineLevel="0" collapsed="false">
      <c r="A491" s="4" t="s">
        <v>15</v>
      </c>
      <c r="B491" s="4" t="s">
        <v>56</v>
      </c>
      <c r="C491" s="4" t="s">
        <v>84</v>
      </c>
      <c r="D491" s="4" t="s">
        <v>195</v>
      </c>
      <c r="E491" s="4" t="s">
        <v>63</v>
      </c>
      <c r="F491" s="4" t="s">
        <v>63</v>
      </c>
      <c r="G491" s="4" t="s">
        <v>537</v>
      </c>
      <c r="H491" s="4"/>
      <c r="I491" s="4" t="n">
        <v>1.6151</v>
      </c>
      <c r="J491" s="4" t="str">
        <f aca="false">TRIM(E491) &amp; TRIM(C491) &amp; TRIM(D491)</f>
        <v>First ReviewBid Ecom VideoIT</v>
      </c>
      <c r="K491" s="4" t="n">
        <f aca="false">IFERROR(I491*60,"")</f>
        <v>96.906</v>
      </c>
    </row>
    <row r="492" customFormat="false" ht="15" hidden="false" customHeight="false" outlineLevel="0" collapsed="false">
      <c r="A492" s="4" t="s">
        <v>15</v>
      </c>
      <c r="B492" s="4" t="s">
        <v>56</v>
      </c>
      <c r="C492" s="4" t="s">
        <v>69</v>
      </c>
      <c r="D492" s="4" t="s">
        <v>238</v>
      </c>
      <c r="E492" s="4" t="s">
        <v>63</v>
      </c>
      <c r="F492" s="4" t="s">
        <v>63</v>
      </c>
      <c r="G492" s="4" t="s">
        <v>538</v>
      </c>
      <c r="H492" s="4"/>
      <c r="I492" s="4" t="n">
        <v>0.9403</v>
      </c>
      <c r="J492" s="4" t="str">
        <f aca="false">TRIM(E492) &amp; TRIM(C492) &amp; TRIM(D492)</f>
        <v>First ReviewBid LinkCH</v>
      </c>
      <c r="K492" s="4" t="n">
        <f aca="false">IFERROR(I492*60,"")</f>
        <v>56.418</v>
      </c>
    </row>
    <row r="493" customFormat="false" ht="15" hidden="false" customHeight="false" outlineLevel="0" collapsed="false">
      <c r="A493" s="4" t="s">
        <v>15</v>
      </c>
      <c r="B493" s="4" t="s">
        <v>56</v>
      </c>
      <c r="C493" s="4" t="s">
        <v>75</v>
      </c>
      <c r="D493" s="4" t="s">
        <v>106</v>
      </c>
      <c r="E493" s="4" t="s">
        <v>66</v>
      </c>
      <c r="F493" s="4" t="s">
        <v>67</v>
      </c>
      <c r="G493" s="4" t="s">
        <v>132</v>
      </c>
      <c r="H493" s="4"/>
      <c r="I493" s="4" t="n">
        <v>1.8586</v>
      </c>
      <c r="J493" s="4" t="str">
        <f aca="false">TRIM(E493) &amp; TRIM(C493) &amp; TRIM(D493)</f>
        <v>Posted RecallBid Ecom Ads GroupMY</v>
      </c>
      <c r="K493" s="4" t="n">
        <f aca="false">IFERROR(I493*60,"")</f>
        <v>111.516</v>
      </c>
    </row>
    <row r="494" customFormat="false" ht="15" hidden="false" customHeight="false" outlineLevel="0" collapsed="false">
      <c r="A494" s="4" t="s">
        <v>15</v>
      </c>
      <c r="B494" s="4" t="s">
        <v>56</v>
      </c>
      <c r="C494" s="4" t="s">
        <v>57</v>
      </c>
      <c r="D494" s="4" t="s">
        <v>85</v>
      </c>
      <c r="E494" s="4" t="s">
        <v>59</v>
      </c>
      <c r="F494" s="4" t="s">
        <v>59</v>
      </c>
      <c r="G494" s="4" t="s">
        <v>330</v>
      </c>
      <c r="H494" s="4"/>
      <c r="I494" s="4" t="n">
        <v>3.8847</v>
      </c>
      <c r="J494" s="4" t="str">
        <f aca="false">TRIM(E494) &amp; TRIM(C494) &amp; TRIM(D494)</f>
        <v>Re-reviewBid Ad GroupEC</v>
      </c>
      <c r="K494" s="4" t="n">
        <f aca="false">IFERROR(I494*60,"")</f>
        <v>233.082</v>
      </c>
    </row>
    <row r="495" customFormat="false" ht="15" hidden="false" customHeight="false" outlineLevel="0" collapsed="false">
      <c r="A495" s="4" t="s">
        <v>15</v>
      </c>
      <c r="B495" s="4" t="s">
        <v>56</v>
      </c>
      <c r="C495" s="4" t="s">
        <v>69</v>
      </c>
      <c r="D495" s="4" t="s">
        <v>121</v>
      </c>
      <c r="E495" s="4" t="s">
        <v>63</v>
      </c>
      <c r="F495" s="4" t="s">
        <v>63</v>
      </c>
      <c r="G495" s="4" t="s">
        <v>539</v>
      </c>
      <c r="H495" s="4"/>
      <c r="I495" s="4" t="n">
        <v>1.8179</v>
      </c>
      <c r="J495" s="4" t="str">
        <f aca="false">TRIM(E495) &amp; TRIM(C495) &amp; TRIM(D495)</f>
        <v>First ReviewBid LinkKR</v>
      </c>
      <c r="K495" s="4" t="n">
        <f aca="false">IFERROR(I495*60,"")</f>
        <v>109.074</v>
      </c>
    </row>
    <row r="496" customFormat="false" ht="15" hidden="false" customHeight="false" outlineLevel="0" collapsed="false">
      <c r="A496" s="4" t="s">
        <v>15</v>
      </c>
      <c r="B496" s="4" t="s">
        <v>56</v>
      </c>
      <c r="C496" s="4" t="s">
        <v>78</v>
      </c>
      <c r="D496" s="4" t="s">
        <v>306</v>
      </c>
      <c r="E496" s="4" t="s">
        <v>63</v>
      </c>
      <c r="F496" s="4" t="s">
        <v>63</v>
      </c>
      <c r="G496" s="4" t="s">
        <v>540</v>
      </c>
      <c r="H496" s="4"/>
      <c r="I496" s="4" t="n">
        <v>0.5078</v>
      </c>
      <c r="J496" s="4" t="str">
        <f aca="false">TRIM(E496) &amp; TRIM(C496) &amp; TRIM(D496)</f>
        <v>First ReviewBid VideoTH</v>
      </c>
      <c r="K496" s="4" t="n">
        <f aca="false">IFERROR(I496*60,"")</f>
        <v>30.468</v>
      </c>
    </row>
    <row r="497" customFormat="false" ht="15" hidden="false" customHeight="false" outlineLevel="0" collapsed="false">
      <c r="A497" s="4" t="s">
        <v>15</v>
      </c>
      <c r="B497" s="4" t="s">
        <v>56</v>
      </c>
      <c r="C497" s="4" t="s">
        <v>57</v>
      </c>
      <c r="D497" s="4" t="s">
        <v>319</v>
      </c>
      <c r="E497" s="4" t="s">
        <v>59</v>
      </c>
      <c r="F497" s="4" t="s">
        <v>59</v>
      </c>
      <c r="G497" s="4" t="s">
        <v>476</v>
      </c>
      <c r="H497" s="4"/>
      <c r="I497" s="4" t="n">
        <v>6.7235</v>
      </c>
      <c r="J497" s="4" t="str">
        <f aca="false">TRIM(E497) &amp; TRIM(C497) &amp; TRIM(D497)</f>
        <v>Re-reviewBid Ad GroupSK</v>
      </c>
      <c r="K497" s="4" t="n">
        <f aca="false">IFERROR(I497*60,"")</f>
        <v>403.41</v>
      </c>
    </row>
    <row r="498" customFormat="false" ht="15" hidden="false" customHeight="false" outlineLevel="0" collapsed="false">
      <c r="A498" s="4" t="s">
        <v>15</v>
      </c>
      <c r="B498" s="4" t="s">
        <v>56</v>
      </c>
      <c r="C498" s="4" t="s">
        <v>75</v>
      </c>
      <c r="D498" s="4" t="s">
        <v>164</v>
      </c>
      <c r="E498" s="4" t="s">
        <v>59</v>
      </c>
      <c r="F498" s="4" t="s">
        <v>59</v>
      </c>
      <c r="G498" s="4" t="s">
        <v>433</v>
      </c>
      <c r="H498" s="4"/>
      <c r="I498" s="4" t="n">
        <v>6.0005</v>
      </c>
      <c r="J498" s="4" t="str">
        <f aca="false">TRIM(E498) &amp; TRIM(C498) &amp; TRIM(D498)</f>
        <v>Re-reviewBid Ecom Ads GroupCR</v>
      </c>
      <c r="K498" s="4" t="n">
        <f aca="false">IFERROR(I498*60,"")</f>
        <v>360.03</v>
      </c>
    </row>
    <row r="499" customFormat="false" ht="15" hidden="false" customHeight="false" outlineLevel="0" collapsed="false">
      <c r="A499" s="4" t="s">
        <v>15</v>
      </c>
      <c r="B499" s="4" t="s">
        <v>56</v>
      </c>
      <c r="C499" s="4" t="s">
        <v>78</v>
      </c>
      <c r="D499" s="4" t="s">
        <v>251</v>
      </c>
      <c r="E499" s="4" t="s">
        <v>63</v>
      </c>
      <c r="F499" s="4" t="s">
        <v>63</v>
      </c>
      <c r="G499" s="4" t="s">
        <v>541</v>
      </c>
      <c r="H499" s="4"/>
      <c r="I499" s="4" t="n">
        <v>1.9721</v>
      </c>
      <c r="J499" s="4" t="str">
        <f aca="false">TRIM(E499) &amp; TRIM(C499) &amp; TRIM(D499)</f>
        <v>First ReviewBid VideoRO</v>
      </c>
      <c r="K499" s="4" t="n">
        <f aca="false">IFERROR(I499*60,"")</f>
        <v>118.326</v>
      </c>
    </row>
    <row r="500" customFormat="false" ht="15" hidden="false" customHeight="false" outlineLevel="0" collapsed="false">
      <c r="A500" s="4" t="s">
        <v>15</v>
      </c>
      <c r="B500" s="4" t="s">
        <v>56</v>
      </c>
      <c r="C500" s="4" t="s">
        <v>69</v>
      </c>
      <c r="D500" s="4" t="s">
        <v>82</v>
      </c>
      <c r="E500" s="4" t="s">
        <v>63</v>
      </c>
      <c r="F500" s="4" t="s">
        <v>63</v>
      </c>
      <c r="G500" s="4" t="s">
        <v>542</v>
      </c>
      <c r="H500" s="4"/>
      <c r="I500" s="4" t="n">
        <v>0.3812</v>
      </c>
      <c r="J500" s="4" t="str">
        <f aca="false">TRIM(E500) &amp; TRIM(C500) &amp; TRIM(D500)</f>
        <v>First ReviewBid LinkKH</v>
      </c>
      <c r="K500" s="4" t="n">
        <f aca="false">IFERROR(I500*60,"")</f>
        <v>22.872</v>
      </c>
    </row>
    <row r="501" customFormat="false" ht="15" hidden="false" customHeight="false" outlineLevel="0" collapsed="false">
      <c r="A501" s="4" t="s">
        <v>15</v>
      </c>
      <c r="B501" s="4" t="s">
        <v>56</v>
      </c>
      <c r="C501" s="4" t="s">
        <v>72</v>
      </c>
      <c r="D501" s="4" t="s">
        <v>221</v>
      </c>
      <c r="E501" s="4" t="s">
        <v>63</v>
      </c>
      <c r="F501" s="4" t="s">
        <v>63</v>
      </c>
      <c r="G501" s="4" t="s">
        <v>543</v>
      </c>
      <c r="H501" s="4"/>
      <c r="I501" s="4" t="n">
        <v>0.2338</v>
      </c>
      <c r="J501" s="4" t="str">
        <f aca="false">TRIM(E501) &amp; TRIM(C501) &amp; TRIM(D501)</f>
        <v>First ReviewBid ImageOM</v>
      </c>
      <c r="K501" s="4" t="n">
        <f aca="false">IFERROR(I501*60,"")</f>
        <v>14.028</v>
      </c>
    </row>
    <row r="502" customFormat="false" ht="15" hidden="false" customHeight="false" outlineLevel="0" collapsed="false">
      <c r="A502" s="4" t="s">
        <v>15</v>
      </c>
      <c r="B502" s="4" t="s">
        <v>56</v>
      </c>
      <c r="C502" s="4" t="s">
        <v>69</v>
      </c>
      <c r="D502" s="4" t="s">
        <v>210</v>
      </c>
      <c r="E502" s="4" t="s">
        <v>63</v>
      </c>
      <c r="F502" s="4" t="s">
        <v>63</v>
      </c>
      <c r="G502" s="4" t="s">
        <v>544</v>
      </c>
      <c r="H502" s="4"/>
      <c r="I502" s="4" t="n">
        <v>0.7537</v>
      </c>
      <c r="J502" s="4" t="str">
        <f aca="false">TRIM(E502) &amp; TRIM(C502) &amp; TRIM(D502)</f>
        <v>First ReviewBid LinkPK</v>
      </c>
      <c r="K502" s="4" t="n">
        <f aca="false">IFERROR(I502*60,"")</f>
        <v>45.222</v>
      </c>
    </row>
    <row r="503" customFormat="false" ht="15" hidden="false" customHeight="false" outlineLevel="0" collapsed="false">
      <c r="A503" s="4" t="s">
        <v>15</v>
      </c>
      <c r="B503" s="4" t="s">
        <v>56</v>
      </c>
      <c r="C503" s="4" t="s">
        <v>75</v>
      </c>
      <c r="D503" s="4" t="s">
        <v>150</v>
      </c>
      <c r="E503" s="4" t="s">
        <v>63</v>
      </c>
      <c r="F503" s="4" t="s">
        <v>63</v>
      </c>
      <c r="G503" s="4" t="s">
        <v>545</v>
      </c>
      <c r="H503" s="4"/>
      <c r="I503" s="4" t="n">
        <v>2.6514</v>
      </c>
      <c r="J503" s="4" t="str">
        <f aca="false">TRIM(E503) &amp; TRIM(C503) &amp; TRIM(D503)</f>
        <v>First ReviewBid Ecom Ads GroupDE</v>
      </c>
      <c r="K503" s="4" t="n">
        <f aca="false">IFERROR(I503*60,"")</f>
        <v>159.084</v>
      </c>
    </row>
    <row r="504" customFormat="false" ht="15" hidden="false" customHeight="false" outlineLevel="0" collapsed="false">
      <c r="A504" s="4" t="s">
        <v>15</v>
      </c>
      <c r="B504" s="4" t="s">
        <v>56</v>
      </c>
      <c r="C504" s="4" t="s">
        <v>78</v>
      </c>
      <c r="D504" s="4" t="s">
        <v>76</v>
      </c>
      <c r="E504" s="4" t="s">
        <v>63</v>
      </c>
      <c r="F504" s="4" t="s">
        <v>63</v>
      </c>
      <c r="G504" s="4" t="s">
        <v>546</v>
      </c>
      <c r="H504" s="4"/>
      <c r="I504" s="4" t="n">
        <v>0.7714</v>
      </c>
      <c r="J504" s="4" t="str">
        <f aca="false">TRIM(E504) &amp; TRIM(C504) &amp; TRIM(D504)</f>
        <v>First ReviewBid VideoLT</v>
      </c>
      <c r="K504" s="4" t="n">
        <f aca="false">IFERROR(I504*60,"")</f>
        <v>46.284</v>
      </c>
    </row>
    <row r="505" customFormat="false" ht="15" hidden="false" customHeight="false" outlineLevel="0" collapsed="false">
      <c r="A505" s="4" t="s">
        <v>15</v>
      </c>
      <c r="B505" s="4" t="s">
        <v>56</v>
      </c>
      <c r="C505" s="4" t="s">
        <v>57</v>
      </c>
      <c r="D505" s="4" t="s">
        <v>231</v>
      </c>
      <c r="E505" s="4" t="s">
        <v>63</v>
      </c>
      <c r="F505" s="4" t="s">
        <v>63</v>
      </c>
      <c r="G505" s="4" t="s">
        <v>547</v>
      </c>
      <c r="H505" s="4"/>
      <c r="I505" s="4" t="n">
        <v>1.4055</v>
      </c>
      <c r="J505" s="4" t="str">
        <f aca="false">TRIM(E505) &amp; TRIM(C505) &amp; TRIM(D505)</f>
        <v>First ReviewBid Ad GroupIL</v>
      </c>
      <c r="K505" s="4" t="n">
        <f aca="false">IFERROR(I505*60,"")</f>
        <v>84.33</v>
      </c>
    </row>
    <row r="506" customFormat="false" ht="15" hidden="false" customHeight="false" outlineLevel="0" collapsed="false">
      <c r="A506" s="4" t="s">
        <v>15</v>
      </c>
      <c r="B506" s="4" t="s">
        <v>56</v>
      </c>
      <c r="C506" s="4" t="s">
        <v>81</v>
      </c>
      <c r="D506" s="4" t="s">
        <v>70</v>
      </c>
      <c r="E506" s="4" t="s">
        <v>63</v>
      </c>
      <c r="F506" s="4" t="s">
        <v>63</v>
      </c>
      <c r="G506" s="4" t="s">
        <v>548</v>
      </c>
      <c r="H506" s="4"/>
      <c r="I506" s="4" t="n">
        <v>0.5594</v>
      </c>
      <c r="J506" s="4" t="str">
        <f aca="false">TRIM(E506) &amp; TRIM(C506) &amp; TRIM(D506)</f>
        <v>First ReviewBid TextBE</v>
      </c>
      <c r="K506" s="4" t="n">
        <f aca="false">IFERROR(I506*60,"")</f>
        <v>33.564</v>
      </c>
    </row>
    <row r="507" customFormat="false" ht="15" hidden="false" customHeight="false" outlineLevel="0" collapsed="false">
      <c r="A507" s="4" t="s">
        <v>15</v>
      </c>
      <c r="B507" s="4" t="s">
        <v>56</v>
      </c>
      <c r="C507" s="4" t="s">
        <v>69</v>
      </c>
      <c r="D507" s="4" t="s">
        <v>246</v>
      </c>
      <c r="E507" s="4" t="s">
        <v>63</v>
      </c>
      <c r="F507" s="4" t="s">
        <v>63</v>
      </c>
      <c r="G507" s="4" t="s">
        <v>549</v>
      </c>
      <c r="H507" s="4"/>
      <c r="I507" s="4" t="n">
        <v>0.9265</v>
      </c>
      <c r="J507" s="4" t="str">
        <f aca="false">TRIM(E507) &amp; TRIM(C507) &amp; TRIM(D507)</f>
        <v>First ReviewBid LinkLV</v>
      </c>
      <c r="K507" s="4" t="n">
        <f aca="false">IFERROR(I507*60,"")</f>
        <v>55.59</v>
      </c>
    </row>
    <row r="508" customFormat="false" ht="15" hidden="false" customHeight="false" outlineLevel="0" collapsed="false">
      <c r="A508" s="4" t="s">
        <v>15</v>
      </c>
      <c r="B508" s="4" t="s">
        <v>56</v>
      </c>
      <c r="C508" s="4" t="s">
        <v>72</v>
      </c>
      <c r="D508" s="4" t="s">
        <v>238</v>
      </c>
      <c r="E508" s="4" t="s">
        <v>63</v>
      </c>
      <c r="F508" s="4" t="s">
        <v>63</v>
      </c>
      <c r="G508" s="4" t="s">
        <v>550</v>
      </c>
      <c r="H508" s="4"/>
      <c r="I508" s="4" t="n">
        <v>0.3309</v>
      </c>
      <c r="J508" s="4" t="str">
        <f aca="false">TRIM(E508) &amp; TRIM(C508) &amp; TRIM(D508)</f>
        <v>First ReviewBid ImageCH</v>
      </c>
      <c r="K508" s="4" t="n">
        <f aca="false">IFERROR(I508*60,"")</f>
        <v>19.854</v>
      </c>
    </row>
    <row r="509" customFormat="false" ht="15" hidden="false" customHeight="false" outlineLevel="0" collapsed="false">
      <c r="A509" s="4" t="s">
        <v>15</v>
      </c>
      <c r="B509" s="4" t="s">
        <v>56</v>
      </c>
      <c r="C509" s="4" t="s">
        <v>84</v>
      </c>
      <c r="D509" s="4" t="s">
        <v>152</v>
      </c>
      <c r="E509" s="4" t="s">
        <v>63</v>
      </c>
      <c r="F509" s="4" t="s">
        <v>63</v>
      </c>
      <c r="G509" s="4" t="s">
        <v>551</v>
      </c>
      <c r="H509" s="4"/>
      <c r="I509" s="4" t="n">
        <v>1.8143</v>
      </c>
      <c r="J509" s="4" t="str">
        <f aca="false">TRIM(E509) &amp; TRIM(C509) &amp; TRIM(D509)</f>
        <v>First ReviewBid Ecom VideoCY</v>
      </c>
      <c r="K509" s="4" t="n">
        <f aca="false">IFERROR(I509*60,"")</f>
        <v>108.858</v>
      </c>
    </row>
    <row r="510" customFormat="false" ht="15" hidden="false" customHeight="false" outlineLevel="0" collapsed="false">
      <c r="A510" s="4" t="s">
        <v>15</v>
      </c>
      <c r="B510" s="4" t="s">
        <v>56</v>
      </c>
      <c r="C510" s="4" t="s">
        <v>84</v>
      </c>
      <c r="D510" s="4" t="s">
        <v>319</v>
      </c>
      <c r="E510" s="4" t="s">
        <v>63</v>
      </c>
      <c r="F510" s="4" t="s">
        <v>63</v>
      </c>
      <c r="G510" s="4" t="s">
        <v>552</v>
      </c>
      <c r="H510" s="4"/>
      <c r="I510" s="4" t="n">
        <v>2.2048</v>
      </c>
      <c r="J510" s="4" t="str">
        <f aca="false">TRIM(E510) &amp; TRIM(C510) &amp; TRIM(D510)</f>
        <v>First ReviewBid Ecom VideoSK</v>
      </c>
      <c r="K510" s="4" t="n">
        <f aca="false">IFERROR(I510*60,"")</f>
        <v>132.288</v>
      </c>
    </row>
    <row r="511" customFormat="false" ht="15" hidden="false" customHeight="false" outlineLevel="0" collapsed="false">
      <c r="A511" s="4" t="s">
        <v>15</v>
      </c>
      <c r="B511" s="4" t="s">
        <v>56</v>
      </c>
      <c r="C511" s="4" t="s">
        <v>61</v>
      </c>
      <c r="D511" s="4" t="s">
        <v>362</v>
      </c>
      <c r="E511" s="4" t="s">
        <v>63</v>
      </c>
      <c r="F511" s="4" t="s">
        <v>63</v>
      </c>
      <c r="G511" s="4" t="s">
        <v>553</v>
      </c>
      <c r="H511" s="4"/>
      <c r="I511" s="4" t="n">
        <v>1.5894</v>
      </c>
      <c r="J511" s="4" t="str">
        <f aca="false">TRIM(E511) &amp; TRIM(C511) &amp; TRIM(D511)</f>
        <v>First ReviewBid Ecom URLPA</v>
      </c>
      <c r="K511" s="4" t="n">
        <f aca="false">IFERROR(I511*60,"")</f>
        <v>95.364</v>
      </c>
    </row>
    <row r="512" customFormat="false" ht="15" hidden="false" customHeight="false" outlineLevel="0" collapsed="false">
      <c r="A512" s="4" t="s">
        <v>15</v>
      </c>
      <c r="B512" s="4" t="s">
        <v>56</v>
      </c>
      <c r="C512" s="4" t="s">
        <v>93</v>
      </c>
      <c r="D512" s="4" t="s">
        <v>89</v>
      </c>
      <c r="E512" s="4" t="s">
        <v>63</v>
      </c>
      <c r="F512" s="4" t="s">
        <v>63</v>
      </c>
      <c r="G512" s="4" t="s">
        <v>554</v>
      </c>
      <c r="H512" s="4"/>
      <c r="I512" s="4" t="n">
        <v>0.9605</v>
      </c>
      <c r="J512" s="4" t="str">
        <f aca="false">TRIM(E512) &amp; TRIM(C512) &amp; TRIM(D512)</f>
        <v>First ReviewBid AudioFI</v>
      </c>
      <c r="K512" s="4" t="n">
        <f aca="false">IFERROR(I512*60,"")</f>
        <v>57.63</v>
      </c>
    </row>
    <row r="513" customFormat="false" ht="15" hidden="false" customHeight="false" outlineLevel="0" collapsed="false">
      <c r="A513" s="4" t="s">
        <v>15</v>
      </c>
      <c r="B513" s="4" t="s">
        <v>56</v>
      </c>
      <c r="C513" s="4" t="s">
        <v>57</v>
      </c>
      <c r="D513" s="4" t="s">
        <v>166</v>
      </c>
      <c r="E513" s="4" t="s">
        <v>59</v>
      </c>
      <c r="F513" s="4" t="s">
        <v>59</v>
      </c>
      <c r="G513" s="4" t="s">
        <v>555</v>
      </c>
      <c r="H513" s="4"/>
      <c r="I513" s="4" t="n">
        <v>5.7343</v>
      </c>
      <c r="J513" s="4" t="str">
        <f aca="false">TRIM(E513) &amp; TRIM(C513) &amp; TRIM(D513)</f>
        <v>Re-reviewBid Ad GroupCZ</v>
      </c>
      <c r="K513" s="4" t="n">
        <f aca="false">IFERROR(I513*60,"")</f>
        <v>344.058</v>
      </c>
    </row>
    <row r="514" customFormat="false" ht="15" hidden="false" customHeight="false" outlineLevel="0" collapsed="false">
      <c r="A514" s="4" t="s">
        <v>15</v>
      </c>
      <c r="B514" s="4" t="s">
        <v>56</v>
      </c>
      <c r="C514" s="4" t="s">
        <v>57</v>
      </c>
      <c r="D514" s="4" t="s">
        <v>308</v>
      </c>
      <c r="E514" s="4" t="s">
        <v>63</v>
      </c>
      <c r="F514" s="4" t="s">
        <v>63</v>
      </c>
      <c r="G514" s="4" t="s">
        <v>452</v>
      </c>
      <c r="H514" s="4"/>
      <c r="I514" s="4" t="n">
        <v>2.5501</v>
      </c>
      <c r="J514" s="4" t="str">
        <f aca="false">TRIM(E514) &amp; TRIM(C514) &amp; TRIM(D514)</f>
        <v>First ReviewBid Ad GroupPL</v>
      </c>
      <c r="K514" s="4" t="n">
        <f aca="false">IFERROR(I514*60,"")</f>
        <v>153.006</v>
      </c>
    </row>
    <row r="515" customFormat="false" ht="15" hidden="false" customHeight="false" outlineLevel="0" collapsed="false">
      <c r="A515" s="4" t="s">
        <v>15</v>
      </c>
      <c r="B515" s="4" t="s">
        <v>56</v>
      </c>
      <c r="C515" s="4" t="s">
        <v>57</v>
      </c>
      <c r="D515" s="4" t="s">
        <v>168</v>
      </c>
      <c r="E515" s="4" t="s">
        <v>63</v>
      </c>
      <c r="F515" s="4" t="s">
        <v>63</v>
      </c>
      <c r="G515" s="4" t="s">
        <v>269</v>
      </c>
      <c r="H515" s="4"/>
      <c r="I515" s="4" t="n">
        <v>2.5026</v>
      </c>
      <c r="J515" s="4" t="str">
        <f aca="false">TRIM(E515) &amp; TRIM(C515) &amp; TRIM(D515)</f>
        <v>First ReviewBid Ad GroupKZ</v>
      </c>
      <c r="K515" s="4" t="n">
        <f aca="false">IFERROR(I515*60,"")</f>
        <v>150.156</v>
      </c>
    </row>
    <row r="516" customFormat="false" ht="15" hidden="false" customHeight="false" outlineLevel="0" collapsed="false">
      <c r="A516" s="4" t="s">
        <v>15</v>
      </c>
      <c r="B516" s="4" t="s">
        <v>56</v>
      </c>
      <c r="C516" s="4" t="s">
        <v>75</v>
      </c>
      <c r="D516" s="4" t="s">
        <v>271</v>
      </c>
      <c r="E516" s="4" t="s">
        <v>59</v>
      </c>
      <c r="F516" s="4" t="s">
        <v>59</v>
      </c>
      <c r="G516" s="4" t="s">
        <v>491</v>
      </c>
      <c r="H516" s="4"/>
      <c r="I516" s="4" t="n">
        <v>8.0687</v>
      </c>
      <c r="J516" s="4" t="str">
        <f aca="false">TRIM(E516) &amp; TRIM(C516) &amp; TRIM(D516)</f>
        <v>Re-reviewBid Ecom Ads GroupKW</v>
      </c>
      <c r="K516" s="4" t="n">
        <f aca="false">IFERROR(I516*60,"")</f>
        <v>484.122</v>
      </c>
    </row>
    <row r="517" customFormat="false" ht="15" hidden="false" customHeight="false" outlineLevel="0" collapsed="false">
      <c r="A517" s="4" t="s">
        <v>15</v>
      </c>
      <c r="B517" s="4" t="s">
        <v>56</v>
      </c>
      <c r="C517" s="4" t="s">
        <v>75</v>
      </c>
      <c r="D517" s="4" t="s">
        <v>130</v>
      </c>
      <c r="E517" s="4" t="s">
        <v>63</v>
      </c>
      <c r="F517" s="4" t="s">
        <v>63</v>
      </c>
      <c r="G517" s="4" t="s">
        <v>296</v>
      </c>
      <c r="H517" s="4"/>
      <c r="I517" s="4" t="n">
        <v>1.8944</v>
      </c>
      <c r="J517" s="4" t="str">
        <f aca="false">TRIM(E517) &amp; TRIM(C517) &amp; TRIM(D517)</f>
        <v>First ReviewBid Ecom Ads GroupMA</v>
      </c>
      <c r="K517" s="4" t="n">
        <f aca="false">IFERROR(I517*60,"")</f>
        <v>113.664</v>
      </c>
    </row>
    <row r="518" customFormat="false" ht="15" hidden="false" customHeight="false" outlineLevel="0" collapsed="false">
      <c r="A518" s="4" t="s">
        <v>15</v>
      </c>
      <c r="B518" s="4" t="s">
        <v>56</v>
      </c>
      <c r="C518" s="4" t="s">
        <v>57</v>
      </c>
      <c r="D518" s="4" t="s">
        <v>97</v>
      </c>
      <c r="E518" s="4" t="s">
        <v>59</v>
      </c>
      <c r="F518" s="4" t="s">
        <v>59</v>
      </c>
      <c r="G518" s="4" t="s">
        <v>432</v>
      </c>
      <c r="H518" s="4"/>
      <c r="I518" s="4" t="n">
        <v>7.4293</v>
      </c>
      <c r="J518" s="4" t="str">
        <f aca="false">TRIM(E518) &amp; TRIM(C518) &amp; TRIM(D518)</f>
        <v>Re-reviewBid Ad GroupBR</v>
      </c>
      <c r="K518" s="4" t="n">
        <f aca="false">IFERROR(I518*60,"")</f>
        <v>445.758</v>
      </c>
    </row>
    <row r="519" customFormat="false" ht="15" hidden="false" customHeight="false" outlineLevel="0" collapsed="false">
      <c r="A519" s="4" t="s">
        <v>15</v>
      </c>
      <c r="B519" s="4" t="s">
        <v>56</v>
      </c>
      <c r="C519" s="4" t="s">
        <v>61</v>
      </c>
      <c r="D519" s="4" t="s">
        <v>70</v>
      </c>
      <c r="E519" s="4" t="s">
        <v>63</v>
      </c>
      <c r="F519" s="4" t="s">
        <v>63</v>
      </c>
      <c r="G519" s="4" t="s">
        <v>556</v>
      </c>
      <c r="H519" s="4"/>
      <c r="I519" s="4" t="n">
        <v>0.9608</v>
      </c>
      <c r="J519" s="4" t="str">
        <f aca="false">TRIM(E519) &amp; TRIM(C519) &amp; TRIM(D519)</f>
        <v>First ReviewBid Ecom URLBE</v>
      </c>
      <c r="K519" s="4" t="n">
        <f aca="false">IFERROR(I519*60,"")</f>
        <v>57.648</v>
      </c>
    </row>
    <row r="520" customFormat="false" ht="15" hidden="false" customHeight="false" outlineLevel="0" collapsed="false">
      <c r="A520" s="4" t="s">
        <v>15</v>
      </c>
      <c r="B520" s="4" t="s">
        <v>56</v>
      </c>
      <c r="C520" s="4" t="s">
        <v>69</v>
      </c>
      <c r="D520" s="4" t="s">
        <v>159</v>
      </c>
      <c r="E520" s="4" t="s">
        <v>63</v>
      </c>
      <c r="F520" s="4" t="s">
        <v>63</v>
      </c>
      <c r="G520" s="4" t="s">
        <v>557</v>
      </c>
      <c r="H520" s="4"/>
      <c r="I520" s="4" t="n">
        <v>1.8974</v>
      </c>
      <c r="J520" s="4" t="str">
        <f aca="false">TRIM(E520) &amp; TRIM(C520) &amp; TRIM(D520)</f>
        <v>First ReviewBid LinkDO</v>
      </c>
      <c r="K520" s="4" t="n">
        <f aca="false">IFERROR(I520*60,"")</f>
        <v>113.844</v>
      </c>
    </row>
    <row r="521" customFormat="false" ht="15" hidden="false" customHeight="false" outlineLevel="0" collapsed="false">
      <c r="A521" s="4" t="s">
        <v>15</v>
      </c>
      <c r="B521" s="4" t="s">
        <v>56</v>
      </c>
      <c r="C521" s="4" t="s">
        <v>75</v>
      </c>
      <c r="D521" s="4" t="s">
        <v>168</v>
      </c>
      <c r="E521" s="4" t="s">
        <v>63</v>
      </c>
      <c r="F521" s="4" t="s">
        <v>63</v>
      </c>
      <c r="G521" s="4" t="s">
        <v>558</v>
      </c>
      <c r="H521" s="4"/>
      <c r="I521" s="4" t="n">
        <v>4.067</v>
      </c>
      <c r="J521" s="4" t="str">
        <f aca="false">TRIM(E521) &amp; TRIM(C521) &amp; TRIM(D521)</f>
        <v>First ReviewBid Ecom Ads GroupKZ</v>
      </c>
      <c r="K521" s="4" t="n">
        <f aca="false">IFERROR(I521*60,"")</f>
        <v>244.02</v>
      </c>
    </row>
    <row r="522" customFormat="false" ht="15" hidden="false" customHeight="false" outlineLevel="0" collapsed="false">
      <c r="A522" s="4" t="s">
        <v>15</v>
      </c>
      <c r="B522" s="4" t="s">
        <v>56</v>
      </c>
      <c r="C522" s="4" t="s">
        <v>72</v>
      </c>
      <c r="D522" s="4" t="s">
        <v>255</v>
      </c>
      <c r="E522" s="4" t="s">
        <v>63</v>
      </c>
      <c r="F522" s="4" t="s">
        <v>63</v>
      </c>
      <c r="G522" s="4" t="s">
        <v>559</v>
      </c>
      <c r="H522" s="4"/>
      <c r="I522" s="4" t="n">
        <v>0.2585</v>
      </c>
      <c r="J522" s="4" t="str">
        <f aca="false">TRIM(E522) &amp; TRIM(C522) &amp; TRIM(D522)</f>
        <v>First ReviewBid ImageNZ</v>
      </c>
      <c r="K522" s="4" t="n">
        <f aca="false">IFERROR(I522*60,"")</f>
        <v>15.51</v>
      </c>
    </row>
    <row r="523" customFormat="false" ht="15" hidden="false" customHeight="false" outlineLevel="0" collapsed="false">
      <c r="A523" s="4" t="s">
        <v>15</v>
      </c>
      <c r="B523" s="4" t="s">
        <v>56</v>
      </c>
      <c r="C523" s="4" t="s">
        <v>57</v>
      </c>
      <c r="D523" s="4" t="s">
        <v>178</v>
      </c>
      <c r="E523" s="4" t="s">
        <v>66</v>
      </c>
      <c r="F523" s="4" t="s">
        <v>67</v>
      </c>
      <c r="G523" s="4" t="s">
        <v>462</v>
      </c>
      <c r="H523" s="4"/>
      <c r="I523" s="4" t="n">
        <v>1.2582</v>
      </c>
      <c r="J523" s="4" t="str">
        <f aca="false">TRIM(E523) &amp; TRIM(C523) &amp; TRIM(D523)</f>
        <v>Posted RecallBid Ad GroupBO</v>
      </c>
      <c r="K523" s="4" t="n">
        <f aca="false">IFERROR(I523*60,"")</f>
        <v>75.492</v>
      </c>
    </row>
    <row r="524" customFormat="false" ht="15" hidden="false" customHeight="false" outlineLevel="0" collapsed="false">
      <c r="A524" s="4" t="s">
        <v>15</v>
      </c>
      <c r="B524" s="4" t="s">
        <v>56</v>
      </c>
      <c r="C524" s="4" t="s">
        <v>75</v>
      </c>
      <c r="D524" s="4" t="s">
        <v>231</v>
      </c>
      <c r="E524" s="4" t="s">
        <v>63</v>
      </c>
      <c r="F524" s="4" t="s">
        <v>63</v>
      </c>
      <c r="G524" s="4" t="s">
        <v>232</v>
      </c>
      <c r="H524" s="4"/>
      <c r="I524" s="4" t="n">
        <v>3.8809</v>
      </c>
      <c r="J524" s="4" t="str">
        <f aca="false">TRIM(E524) &amp; TRIM(C524) &amp; TRIM(D524)</f>
        <v>First ReviewBid Ecom Ads GroupIL</v>
      </c>
      <c r="K524" s="4" t="n">
        <f aca="false">IFERROR(I524*60,"")</f>
        <v>232.854</v>
      </c>
    </row>
    <row r="525" customFormat="false" ht="15" hidden="false" customHeight="false" outlineLevel="0" collapsed="false">
      <c r="A525" s="4" t="s">
        <v>15</v>
      </c>
      <c r="B525" s="4" t="s">
        <v>56</v>
      </c>
      <c r="C525" s="4" t="s">
        <v>75</v>
      </c>
      <c r="D525" s="4" t="s">
        <v>203</v>
      </c>
      <c r="E525" s="4" t="s">
        <v>66</v>
      </c>
      <c r="F525" s="4" t="s">
        <v>67</v>
      </c>
      <c r="G525" s="4" t="s">
        <v>204</v>
      </c>
      <c r="H525" s="4"/>
      <c r="I525" s="4" t="n">
        <v>2.5949</v>
      </c>
      <c r="J525" s="4" t="str">
        <f aca="false">TRIM(E525) &amp; TRIM(C525) &amp; TRIM(D525)</f>
        <v>Posted RecallBid Ecom Ads GroupCA</v>
      </c>
      <c r="K525" s="4" t="n">
        <f aca="false">IFERROR(I525*60,"")</f>
        <v>155.694</v>
      </c>
    </row>
    <row r="526" customFormat="false" ht="15" hidden="false" customHeight="false" outlineLevel="0" collapsed="false">
      <c r="A526" s="4" t="s">
        <v>15</v>
      </c>
      <c r="B526" s="4" t="s">
        <v>56</v>
      </c>
      <c r="C526" s="4" t="s">
        <v>93</v>
      </c>
      <c r="D526" s="4" t="s">
        <v>203</v>
      </c>
      <c r="E526" s="4" t="s">
        <v>63</v>
      </c>
      <c r="F526" s="4" t="s">
        <v>63</v>
      </c>
      <c r="G526" s="4" t="s">
        <v>560</v>
      </c>
      <c r="H526" s="4"/>
      <c r="I526" s="4" t="n">
        <v>0.8018</v>
      </c>
      <c r="J526" s="4" t="str">
        <f aca="false">TRIM(E526) &amp; TRIM(C526) &amp; TRIM(D526)</f>
        <v>First ReviewBid AudioCA</v>
      </c>
      <c r="K526" s="4" t="n">
        <f aca="false">IFERROR(I526*60,"")</f>
        <v>48.108</v>
      </c>
    </row>
    <row r="527" customFormat="false" ht="15" hidden="false" customHeight="false" outlineLevel="0" collapsed="false">
      <c r="A527" s="4" t="s">
        <v>15</v>
      </c>
      <c r="B527" s="4" t="s">
        <v>56</v>
      </c>
      <c r="C527" s="4" t="s">
        <v>61</v>
      </c>
      <c r="D527" s="4" t="s">
        <v>185</v>
      </c>
      <c r="E527" s="4" t="s">
        <v>63</v>
      </c>
      <c r="F527" s="4" t="s">
        <v>63</v>
      </c>
      <c r="G527" s="4" t="s">
        <v>561</v>
      </c>
      <c r="H527" s="4"/>
      <c r="I527" s="4" t="n">
        <v>1.6116</v>
      </c>
      <c r="J527" s="4" t="str">
        <f aca="false">TRIM(E527) &amp; TRIM(C527) &amp; TRIM(D527)</f>
        <v>First ReviewBid Ecom URLDK</v>
      </c>
      <c r="K527" s="4" t="n">
        <f aca="false">IFERROR(I527*60,"")</f>
        <v>96.696</v>
      </c>
    </row>
    <row r="528" customFormat="false" ht="15" hidden="false" customHeight="false" outlineLevel="0" collapsed="false">
      <c r="A528" s="4" t="s">
        <v>15</v>
      </c>
      <c r="B528" s="4" t="s">
        <v>56</v>
      </c>
      <c r="C528" s="4" t="s">
        <v>119</v>
      </c>
      <c r="D528" s="4" t="s">
        <v>235</v>
      </c>
      <c r="E528" s="4" t="s">
        <v>63</v>
      </c>
      <c r="F528" s="4" t="s">
        <v>63</v>
      </c>
      <c r="G528" s="4" t="s">
        <v>562</v>
      </c>
      <c r="H528" s="4"/>
      <c r="I528" s="4" t="n">
        <v>3.9355</v>
      </c>
      <c r="J528" s="4" t="str">
        <f aca="false">TRIM(E528) &amp; TRIM(C528) &amp; TRIM(D528)</f>
        <v>First ReviewBid Pre ApprovalJP</v>
      </c>
      <c r="K528" s="4" t="n">
        <f aca="false">IFERROR(I528*60,"")</f>
        <v>236.13</v>
      </c>
    </row>
    <row r="529" customFormat="false" ht="15" hidden="false" customHeight="false" outlineLevel="0" collapsed="false">
      <c r="A529" s="4" t="s">
        <v>15</v>
      </c>
      <c r="B529" s="4" t="s">
        <v>56</v>
      </c>
      <c r="C529" s="4" t="s">
        <v>81</v>
      </c>
      <c r="D529" s="4" t="s">
        <v>185</v>
      </c>
      <c r="E529" s="4" t="s">
        <v>63</v>
      </c>
      <c r="F529" s="4" t="s">
        <v>63</v>
      </c>
      <c r="G529" s="4" t="s">
        <v>563</v>
      </c>
      <c r="H529" s="4"/>
      <c r="I529" s="4" t="n">
        <v>0.7966</v>
      </c>
      <c r="J529" s="4" t="str">
        <f aca="false">TRIM(E529) &amp; TRIM(C529) &amp; TRIM(D529)</f>
        <v>First ReviewBid TextDK</v>
      </c>
      <c r="K529" s="4" t="n">
        <f aca="false">IFERROR(I529*60,"")</f>
        <v>47.796</v>
      </c>
    </row>
    <row r="530" customFormat="false" ht="15" hidden="false" customHeight="false" outlineLevel="0" collapsed="false">
      <c r="A530" s="4" t="s">
        <v>15</v>
      </c>
      <c r="B530" s="4" t="s">
        <v>56</v>
      </c>
      <c r="C530" s="4" t="s">
        <v>57</v>
      </c>
      <c r="D530" s="4" t="s">
        <v>106</v>
      </c>
      <c r="E530" s="4" t="s">
        <v>63</v>
      </c>
      <c r="F530" s="4" t="s">
        <v>63</v>
      </c>
      <c r="G530" s="4" t="s">
        <v>564</v>
      </c>
      <c r="H530" s="4"/>
      <c r="I530" s="4" t="n">
        <v>1.8165</v>
      </c>
      <c r="J530" s="4" t="str">
        <f aca="false">TRIM(E530) &amp; TRIM(C530) &amp; TRIM(D530)</f>
        <v>First ReviewBid Ad GroupMY</v>
      </c>
      <c r="K530" s="4" t="n">
        <f aca="false">IFERROR(I530*60,"")</f>
        <v>108.99</v>
      </c>
    </row>
    <row r="531" customFormat="false" ht="15" hidden="false" customHeight="false" outlineLevel="0" collapsed="false">
      <c r="A531" s="4" t="s">
        <v>15</v>
      </c>
      <c r="B531" s="4" t="s">
        <v>56</v>
      </c>
      <c r="C531" s="4" t="s">
        <v>84</v>
      </c>
      <c r="D531" s="4" t="s">
        <v>199</v>
      </c>
      <c r="E531" s="4" t="s">
        <v>63</v>
      </c>
      <c r="F531" s="4" t="s">
        <v>63</v>
      </c>
      <c r="G531" s="4" t="s">
        <v>565</v>
      </c>
      <c r="H531" s="4"/>
      <c r="I531" s="4" t="n">
        <v>1.0086</v>
      </c>
      <c r="J531" s="4" t="str">
        <f aca="false">TRIM(E531) &amp; TRIM(C531) &amp; TRIM(D531)</f>
        <v>First ReviewBid Ecom VideoBH</v>
      </c>
      <c r="K531" s="4" t="n">
        <f aca="false">IFERROR(I531*60,"")</f>
        <v>60.516</v>
      </c>
    </row>
    <row r="532" customFormat="false" ht="15" hidden="false" customHeight="false" outlineLevel="0" collapsed="false">
      <c r="A532" s="4" t="s">
        <v>15</v>
      </c>
      <c r="B532" s="4" t="s">
        <v>56</v>
      </c>
      <c r="C532" s="4" t="s">
        <v>57</v>
      </c>
      <c r="D532" s="4" t="s">
        <v>104</v>
      </c>
      <c r="E532" s="4" t="s">
        <v>59</v>
      </c>
      <c r="F532" s="4" t="s">
        <v>59</v>
      </c>
      <c r="G532" s="4" t="s">
        <v>105</v>
      </c>
      <c r="H532" s="4"/>
      <c r="I532" s="4" t="n">
        <v>6.9448</v>
      </c>
      <c r="J532" s="4" t="str">
        <f aca="false">TRIM(E532) &amp; TRIM(C532) &amp; TRIM(D532)</f>
        <v>Re-reviewBid Ad GroupIE</v>
      </c>
      <c r="K532" s="4" t="n">
        <f aca="false">IFERROR(I532*60,"")</f>
        <v>416.688</v>
      </c>
    </row>
    <row r="533" customFormat="false" ht="15" hidden="false" customHeight="false" outlineLevel="0" collapsed="false">
      <c r="A533" s="4" t="s">
        <v>15</v>
      </c>
      <c r="B533" s="4" t="s">
        <v>56</v>
      </c>
      <c r="C533" s="4" t="s">
        <v>72</v>
      </c>
      <c r="D533" s="4" t="s">
        <v>362</v>
      </c>
      <c r="E533" s="4" t="s">
        <v>63</v>
      </c>
      <c r="F533" s="4" t="s">
        <v>63</v>
      </c>
      <c r="G533" s="4" t="s">
        <v>566</v>
      </c>
      <c r="H533" s="4"/>
      <c r="I533" s="4" t="n">
        <v>0.4143</v>
      </c>
      <c r="J533" s="4" t="str">
        <f aca="false">TRIM(E533) &amp; TRIM(C533) &amp; TRIM(D533)</f>
        <v>First ReviewBid ImagePA</v>
      </c>
      <c r="K533" s="4" t="n">
        <f aca="false">IFERROR(I533*60,"")</f>
        <v>24.858</v>
      </c>
    </row>
    <row r="534" customFormat="false" ht="15" hidden="false" customHeight="false" outlineLevel="0" collapsed="false">
      <c r="A534" s="4" t="s">
        <v>15</v>
      </c>
      <c r="B534" s="4" t="s">
        <v>56</v>
      </c>
      <c r="C534" s="4" t="s">
        <v>84</v>
      </c>
      <c r="D534" s="4" t="s">
        <v>213</v>
      </c>
      <c r="E534" s="4" t="s">
        <v>63</v>
      </c>
      <c r="F534" s="4" t="s">
        <v>63</v>
      </c>
      <c r="G534" s="4" t="s">
        <v>567</v>
      </c>
      <c r="H534" s="4"/>
      <c r="I534" s="4" t="n">
        <v>0.8233</v>
      </c>
      <c r="J534" s="4" t="str">
        <f aca="false">TRIM(E534) &amp; TRIM(C534) &amp; TRIM(D534)</f>
        <v>First ReviewBid Ecom VideoFR</v>
      </c>
      <c r="K534" s="4" t="n">
        <f aca="false">IFERROR(I534*60,"")</f>
        <v>49.398</v>
      </c>
    </row>
    <row r="535" customFormat="false" ht="15" hidden="false" customHeight="false" outlineLevel="0" collapsed="false">
      <c r="A535" s="4" t="s">
        <v>15</v>
      </c>
      <c r="B535" s="4" t="s">
        <v>56</v>
      </c>
      <c r="C535" s="4" t="s">
        <v>75</v>
      </c>
      <c r="D535" s="4" t="s">
        <v>159</v>
      </c>
      <c r="E535" s="4" t="s">
        <v>66</v>
      </c>
      <c r="F535" s="4" t="s">
        <v>67</v>
      </c>
      <c r="G535" s="4" t="s">
        <v>469</v>
      </c>
      <c r="H535" s="4"/>
      <c r="I535" s="4" t="n">
        <v>0.3869</v>
      </c>
      <c r="J535" s="4" t="str">
        <f aca="false">TRIM(E535) &amp; TRIM(C535) &amp; TRIM(D535)</f>
        <v>Posted RecallBid Ecom Ads GroupDO</v>
      </c>
      <c r="K535" s="4" t="n">
        <f aca="false">IFERROR(I535*60,"")</f>
        <v>23.214</v>
      </c>
    </row>
    <row r="536" customFormat="false" ht="15" hidden="false" customHeight="false" outlineLevel="0" collapsed="false">
      <c r="A536" s="4" t="s">
        <v>15</v>
      </c>
      <c r="B536" s="4" t="s">
        <v>56</v>
      </c>
      <c r="C536" s="4" t="s">
        <v>72</v>
      </c>
      <c r="D536" s="4" t="s">
        <v>171</v>
      </c>
      <c r="E536" s="4" t="s">
        <v>63</v>
      </c>
      <c r="F536" s="4" t="s">
        <v>63</v>
      </c>
      <c r="G536" s="4" t="s">
        <v>568</v>
      </c>
      <c r="H536" s="4"/>
      <c r="I536" s="4" t="n">
        <v>0.2104</v>
      </c>
      <c r="J536" s="4" t="str">
        <f aca="false">TRIM(E536) &amp; TRIM(C536) &amp; TRIM(D536)</f>
        <v>First ReviewBid ImageKE</v>
      </c>
      <c r="K536" s="4" t="n">
        <f aca="false">IFERROR(I536*60,"")</f>
        <v>12.624</v>
      </c>
    </row>
    <row r="537" customFormat="false" ht="15" hidden="false" customHeight="false" outlineLevel="0" collapsed="false">
      <c r="A537" s="4" t="s">
        <v>15</v>
      </c>
      <c r="B537" s="4" t="s">
        <v>56</v>
      </c>
      <c r="C537" s="4" t="s">
        <v>57</v>
      </c>
      <c r="D537" s="4" t="s">
        <v>206</v>
      </c>
      <c r="E537" s="4" t="s">
        <v>63</v>
      </c>
      <c r="F537" s="4" t="s">
        <v>63</v>
      </c>
      <c r="G537" s="4" t="s">
        <v>207</v>
      </c>
      <c r="H537" s="4"/>
      <c r="I537" s="4" t="n">
        <v>3.0354</v>
      </c>
      <c r="J537" s="4" t="str">
        <f aca="false">TRIM(E537) &amp; TRIM(C537) &amp; TRIM(D537)</f>
        <v>First ReviewBid Ad GroupDZ</v>
      </c>
      <c r="K537" s="4" t="n">
        <f aca="false">IFERROR(I537*60,"")</f>
        <v>182.124</v>
      </c>
    </row>
    <row r="538" customFormat="false" ht="15" hidden="false" customHeight="false" outlineLevel="0" collapsed="false">
      <c r="A538" s="4" t="s">
        <v>15</v>
      </c>
      <c r="B538" s="4" t="s">
        <v>56</v>
      </c>
      <c r="C538" s="4" t="s">
        <v>93</v>
      </c>
      <c r="D538" s="4" t="s">
        <v>121</v>
      </c>
      <c r="E538" s="4" t="s">
        <v>63</v>
      </c>
      <c r="F538" s="4" t="s">
        <v>63</v>
      </c>
      <c r="G538" s="4" t="s">
        <v>569</v>
      </c>
      <c r="H538" s="4"/>
      <c r="I538" s="4" t="n">
        <v>1.5588</v>
      </c>
      <c r="J538" s="4" t="str">
        <f aca="false">TRIM(E538) &amp; TRIM(C538) &amp; TRIM(D538)</f>
        <v>First ReviewBid AudioKR</v>
      </c>
      <c r="K538" s="4" t="n">
        <f aca="false">IFERROR(I538*60,"")</f>
        <v>93.528</v>
      </c>
    </row>
    <row r="539" customFormat="false" ht="15" hidden="false" customHeight="false" outlineLevel="0" collapsed="false">
      <c r="A539" s="4" t="s">
        <v>15</v>
      </c>
      <c r="B539" s="4" t="s">
        <v>56</v>
      </c>
      <c r="C539" s="4" t="s">
        <v>57</v>
      </c>
      <c r="D539" s="4" t="s">
        <v>117</v>
      </c>
      <c r="E539" s="4" t="s">
        <v>63</v>
      </c>
      <c r="F539" s="4" t="s">
        <v>63</v>
      </c>
      <c r="G539" s="4" t="s">
        <v>219</v>
      </c>
      <c r="H539" s="4"/>
      <c r="I539" s="4" t="n">
        <v>1.7082</v>
      </c>
      <c r="J539" s="4" t="str">
        <f aca="false">TRIM(E539) &amp; TRIM(C539) &amp; TRIM(D539)</f>
        <v>First ReviewBid Ad GroupAR</v>
      </c>
      <c r="K539" s="4" t="n">
        <f aca="false">IFERROR(I539*60,"")</f>
        <v>102.492</v>
      </c>
    </row>
    <row r="540" customFormat="false" ht="15" hidden="false" customHeight="false" outlineLevel="0" collapsed="false">
      <c r="A540" s="4" t="s">
        <v>15</v>
      </c>
      <c r="B540" s="4" t="s">
        <v>56</v>
      </c>
      <c r="C540" s="4" t="s">
        <v>61</v>
      </c>
      <c r="D540" s="4" t="s">
        <v>357</v>
      </c>
      <c r="E540" s="4" t="s">
        <v>63</v>
      </c>
      <c r="F540" s="4" t="s">
        <v>63</v>
      </c>
      <c r="G540" s="4" t="s">
        <v>570</v>
      </c>
      <c r="H540" s="4"/>
      <c r="I540" s="4" t="n">
        <v>1.3833</v>
      </c>
      <c r="J540" s="4" t="str">
        <f aca="false">TRIM(E540) &amp; TRIM(C540) &amp; TRIM(D540)</f>
        <v>First ReviewBid Ecom URLHU</v>
      </c>
      <c r="K540" s="4" t="n">
        <f aca="false">IFERROR(I540*60,"")</f>
        <v>82.998</v>
      </c>
    </row>
    <row r="541" customFormat="false" ht="15" hidden="false" customHeight="false" outlineLevel="0" collapsed="false">
      <c r="A541" s="4" t="s">
        <v>15</v>
      </c>
      <c r="B541" s="4" t="s">
        <v>56</v>
      </c>
      <c r="C541" s="4" t="s">
        <v>69</v>
      </c>
      <c r="D541" s="4" t="s">
        <v>458</v>
      </c>
      <c r="E541" s="4" t="s">
        <v>63</v>
      </c>
      <c r="F541" s="4" t="s">
        <v>63</v>
      </c>
      <c r="G541" s="4" t="s">
        <v>571</v>
      </c>
      <c r="H541" s="4"/>
      <c r="I541" s="4" t="n">
        <v>2.5043</v>
      </c>
      <c r="J541" s="4" t="str">
        <f aca="false">TRIM(E541) &amp; TRIM(C541) &amp; TRIM(D541)</f>
        <v>First ReviewBid LinkTW</v>
      </c>
      <c r="K541" s="4" t="n">
        <f aca="false">IFERROR(I541*60,"")</f>
        <v>150.258</v>
      </c>
    </row>
    <row r="542" customFormat="false" ht="15" hidden="false" customHeight="false" outlineLevel="0" collapsed="false">
      <c r="A542" s="4" t="s">
        <v>15</v>
      </c>
      <c r="B542" s="4" t="s">
        <v>56</v>
      </c>
      <c r="C542" s="4" t="s">
        <v>57</v>
      </c>
      <c r="D542" s="4" t="s">
        <v>154</v>
      </c>
      <c r="E542" s="4" t="s">
        <v>59</v>
      </c>
      <c r="F542" s="4" t="s">
        <v>59</v>
      </c>
      <c r="G542" s="4" t="s">
        <v>572</v>
      </c>
      <c r="H542" s="4"/>
      <c r="I542" s="4" t="n">
        <v>7.3555</v>
      </c>
      <c r="J542" s="4" t="str">
        <f aca="false">TRIM(E542) &amp; TRIM(C542) &amp; TRIM(D542)</f>
        <v>Re-reviewBid Ad GroupES</v>
      </c>
      <c r="K542" s="4" t="n">
        <f aca="false">IFERROR(I542*60,"")</f>
        <v>441.33</v>
      </c>
    </row>
    <row r="543" customFormat="false" ht="15" hidden="false" customHeight="false" outlineLevel="0" collapsed="false">
      <c r="A543" s="4" t="s">
        <v>15</v>
      </c>
      <c r="B543" s="4" t="s">
        <v>56</v>
      </c>
      <c r="C543" s="4" t="s">
        <v>93</v>
      </c>
      <c r="D543" s="4" t="s">
        <v>265</v>
      </c>
      <c r="E543" s="4" t="s">
        <v>63</v>
      </c>
      <c r="F543" s="4" t="s">
        <v>63</v>
      </c>
      <c r="G543" s="4" t="s">
        <v>573</v>
      </c>
      <c r="H543" s="4"/>
      <c r="I543" s="4" t="n">
        <v>0.7301</v>
      </c>
      <c r="J543" s="4" t="str">
        <f aca="false">TRIM(E543) &amp; TRIM(C543) &amp; TRIM(D543)</f>
        <v>First ReviewBid AudioNO</v>
      </c>
      <c r="K543" s="4" t="n">
        <f aca="false">IFERROR(I543*60,"")</f>
        <v>43.806</v>
      </c>
    </row>
    <row r="544" customFormat="false" ht="15" hidden="false" customHeight="false" outlineLevel="0" collapsed="false">
      <c r="A544" s="4" t="s">
        <v>15</v>
      </c>
      <c r="B544" s="4" t="s">
        <v>56</v>
      </c>
      <c r="C544" s="4" t="s">
        <v>78</v>
      </c>
      <c r="D544" s="4" t="s">
        <v>100</v>
      </c>
      <c r="E544" s="4" t="s">
        <v>63</v>
      </c>
      <c r="F544" s="4" t="s">
        <v>63</v>
      </c>
      <c r="G544" s="4" t="s">
        <v>574</v>
      </c>
      <c r="H544" s="4"/>
      <c r="I544" s="4" t="n">
        <v>0.5451</v>
      </c>
      <c r="J544" s="4" t="str">
        <f aca="false">TRIM(E544) &amp; TRIM(C544) &amp; TRIM(D544)</f>
        <v>First ReviewBid VideoAU</v>
      </c>
      <c r="K544" s="4" t="n">
        <f aca="false">IFERROR(I544*60,"")</f>
        <v>32.706</v>
      </c>
    </row>
    <row r="545" customFormat="false" ht="15" hidden="false" customHeight="false" outlineLevel="0" collapsed="false">
      <c r="A545" s="4" t="s">
        <v>15</v>
      </c>
      <c r="B545" s="4" t="s">
        <v>56</v>
      </c>
      <c r="C545" s="4" t="s">
        <v>72</v>
      </c>
      <c r="D545" s="4" t="s">
        <v>181</v>
      </c>
      <c r="E545" s="4" t="s">
        <v>63</v>
      </c>
      <c r="F545" s="4" t="s">
        <v>63</v>
      </c>
      <c r="G545" s="4" t="s">
        <v>575</v>
      </c>
      <c r="H545" s="4"/>
      <c r="I545" s="4" t="n">
        <v>0.3881</v>
      </c>
      <c r="J545" s="4" t="str">
        <f aca="false">TRIM(E545) &amp; TRIM(C545) &amp; TRIM(D545)</f>
        <v>First ReviewBid ImageLB</v>
      </c>
      <c r="K545" s="4" t="n">
        <f aca="false">IFERROR(I545*60,"")</f>
        <v>23.286</v>
      </c>
    </row>
    <row r="546" customFormat="false" ht="15" hidden="false" customHeight="false" outlineLevel="0" collapsed="false">
      <c r="A546" s="4" t="s">
        <v>15</v>
      </c>
      <c r="B546" s="4" t="s">
        <v>56</v>
      </c>
      <c r="C546" s="4" t="s">
        <v>57</v>
      </c>
      <c r="D546" s="4" t="s">
        <v>289</v>
      </c>
      <c r="E546" s="4" t="s">
        <v>63</v>
      </c>
      <c r="F546" s="4" t="s">
        <v>63</v>
      </c>
      <c r="G546" s="4" t="s">
        <v>290</v>
      </c>
      <c r="H546" s="4"/>
      <c r="I546" s="4" t="n">
        <v>2.6575</v>
      </c>
      <c r="J546" s="4" t="str">
        <f aca="false">TRIM(E546) &amp; TRIM(C546) &amp; TRIM(D546)</f>
        <v>First ReviewBid Ad GroupLK</v>
      </c>
      <c r="K546" s="4" t="n">
        <f aca="false">IFERROR(I546*60,"")</f>
        <v>159.45</v>
      </c>
    </row>
    <row r="547" customFormat="false" ht="15" hidden="false" customHeight="false" outlineLevel="0" collapsed="false">
      <c r="A547" s="4" t="s">
        <v>15</v>
      </c>
      <c r="B547" s="4" t="s">
        <v>56</v>
      </c>
      <c r="C547" s="4" t="s">
        <v>61</v>
      </c>
      <c r="D547" s="4" t="s">
        <v>306</v>
      </c>
      <c r="E547" s="4" t="s">
        <v>63</v>
      </c>
      <c r="F547" s="4" t="s">
        <v>63</v>
      </c>
      <c r="G547" s="4" t="s">
        <v>576</v>
      </c>
      <c r="H547" s="4"/>
      <c r="I547" s="4" t="n">
        <v>0.7487</v>
      </c>
      <c r="J547" s="4" t="str">
        <f aca="false">TRIM(E547) &amp; TRIM(C547) &amp; TRIM(D547)</f>
        <v>First ReviewBid Ecom URLTH</v>
      </c>
      <c r="K547" s="4" t="n">
        <f aca="false">IFERROR(I547*60,"")</f>
        <v>44.922</v>
      </c>
    </row>
    <row r="548" customFormat="false" ht="15" hidden="false" customHeight="false" outlineLevel="0" collapsed="false">
      <c r="A548" s="4" t="s">
        <v>15</v>
      </c>
      <c r="B548" s="4" t="s">
        <v>56</v>
      </c>
      <c r="C548" s="4" t="s">
        <v>57</v>
      </c>
      <c r="D548" s="4" t="s">
        <v>221</v>
      </c>
      <c r="E548" s="4" t="s">
        <v>63</v>
      </c>
      <c r="F548" s="4" t="s">
        <v>63</v>
      </c>
      <c r="G548" s="4" t="s">
        <v>222</v>
      </c>
      <c r="H548" s="4"/>
      <c r="I548" s="4" t="n">
        <v>1.1827</v>
      </c>
      <c r="J548" s="4" t="str">
        <f aca="false">TRIM(E548) &amp; TRIM(C548) &amp; TRIM(D548)</f>
        <v>First ReviewBid Ad GroupOM</v>
      </c>
      <c r="K548" s="4" t="n">
        <f aca="false">IFERROR(I548*60,"")</f>
        <v>70.962</v>
      </c>
    </row>
    <row r="549" customFormat="false" ht="15" hidden="false" customHeight="false" outlineLevel="0" collapsed="false">
      <c r="A549" s="4" t="s">
        <v>15</v>
      </c>
      <c r="B549" s="4" t="s">
        <v>56</v>
      </c>
      <c r="C549" s="4" t="s">
        <v>57</v>
      </c>
      <c r="D549" s="4" t="s">
        <v>102</v>
      </c>
      <c r="E549" s="4" t="s">
        <v>63</v>
      </c>
      <c r="F549" s="4" t="s">
        <v>63</v>
      </c>
      <c r="G549" s="4" t="s">
        <v>229</v>
      </c>
      <c r="H549" s="4"/>
      <c r="I549" s="4" t="n">
        <v>1.7473</v>
      </c>
      <c r="J549" s="4" t="str">
        <f aca="false">TRIM(E549) &amp; TRIM(C549) &amp; TRIM(D549)</f>
        <v>First ReviewBid Ad GroupSE</v>
      </c>
      <c r="K549" s="4" t="n">
        <f aca="false">IFERROR(I549*60,"")</f>
        <v>104.838</v>
      </c>
    </row>
    <row r="550" customFormat="false" ht="15" hidden="false" customHeight="false" outlineLevel="0" collapsed="false">
      <c r="A550" s="4" t="s">
        <v>15</v>
      </c>
      <c r="B550" s="4" t="s">
        <v>56</v>
      </c>
      <c r="C550" s="4" t="s">
        <v>93</v>
      </c>
      <c r="D550" s="4" t="s">
        <v>124</v>
      </c>
      <c r="E550" s="4" t="s">
        <v>63</v>
      </c>
      <c r="F550" s="4" t="s">
        <v>63</v>
      </c>
      <c r="G550" s="4" t="s">
        <v>577</v>
      </c>
      <c r="H550" s="4"/>
      <c r="I550" s="4" t="n">
        <v>1.1307</v>
      </c>
      <c r="J550" s="4" t="str">
        <f aca="false">TRIM(E550) &amp; TRIM(C550) &amp; TRIM(D550)</f>
        <v>First ReviewBid AudioPT</v>
      </c>
      <c r="K550" s="4" t="n">
        <f aca="false">IFERROR(I550*60,"")</f>
        <v>67.842</v>
      </c>
    </row>
    <row r="551" customFormat="false" ht="15" hidden="false" customHeight="false" outlineLevel="0" collapsed="false">
      <c r="A551" s="4" t="s">
        <v>15</v>
      </c>
      <c r="B551" s="4" t="s">
        <v>56</v>
      </c>
      <c r="C551" s="4" t="s">
        <v>81</v>
      </c>
      <c r="D551" s="4" t="s">
        <v>85</v>
      </c>
      <c r="E551" s="4" t="s">
        <v>63</v>
      </c>
      <c r="F551" s="4" t="s">
        <v>63</v>
      </c>
      <c r="G551" s="4" t="s">
        <v>578</v>
      </c>
      <c r="H551" s="4"/>
      <c r="I551" s="4" t="n">
        <v>0.5537</v>
      </c>
      <c r="J551" s="4" t="str">
        <f aca="false">TRIM(E551) &amp; TRIM(C551) &amp; TRIM(D551)</f>
        <v>First ReviewBid TextEC</v>
      </c>
      <c r="K551" s="4" t="n">
        <f aca="false">IFERROR(I551*60,"")</f>
        <v>33.222</v>
      </c>
    </row>
    <row r="552" customFormat="false" ht="15" hidden="false" customHeight="false" outlineLevel="0" collapsed="false">
      <c r="A552" s="4" t="s">
        <v>15</v>
      </c>
      <c r="B552" s="4" t="s">
        <v>56</v>
      </c>
      <c r="C552" s="4" t="s">
        <v>93</v>
      </c>
      <c r="D552" s="4" t="s">
        <v>221</v>
      </c>
      <c r="E552" s="4" t="s">
        <v>63</v>
      </c>
      <c r="F552" s="4" t="s">
        <v>63</v>
      </c>
      <c r="G552" s="4" t="s">
        <v>579</v>
      </c>
      <c r="H552" s="4"/>
      <c r="I552" s="4" t="n">
        <v>0.2002</v>
      </c>
      <c r="J552" s="4" t="str">
        <f aca="false">TRIM(E552) &amp; TRIM(C552) &amp; TRIM(D552)</f>
        <v>First ReviewBid AudioOM</v>
      </c>
      <c r="K552" s="4" t="n">
        <f aca="false">IFERROR(I552*60,"")</f>
        <v>12.012</v>
      </c>
    </row>
    <row r="553" customFormat="false" ht="15" hidden="false" customHeight="false" outlineLevel="0" collapsed="false">
      <c r="A553" s="4" t="s">
        <v>15</v>
      </c>
      <c r="B553" s="4" t="s">
        <v>56</v>
      </c>
      <c r="C553" s="4" t="s">
        <v>75</v>
      </c>
      <c r="D553" s="4" t="s">
        <v>111</v>
      </c>
      <c r="E553" s="4" t="s">
        <v>63</v>
      </c>
      <c r="F553" s="4" t="s">
        <v>63</v>
      </c>
      <c r="G553" s="4" t="s">
        <v>487</v>
      </c>
      <c r="H553" s="4"/>
      <c r="I553" s="4" t="n">
        <v>3.129</v>
      </c>
      <c r="J553" s="4" t="str">
        <f aca="false">TRIM(E553) &amp; TRIM(C553) &amp; TRIM(D553)</f>
        <v>First ReviewBid Ecom Ads GroupUS</v>
      </c>
      <c r="K553" s="4" t="n">
        <f aca="false">IFERROR(I553*60,"")</f>
        <v>187.74</v>
      </c>
    </row>
    <row r="554" customFormat="false" ht="15" hidden="false" customHeight="false" outlineLevel="0" collapsed="false">
      <c r="A554" s="4" t="s">
        <v>15</v>
      </c>
      <c r="B554" s="4" t="s">
        <v>56</v>
      </c>
      <c r="C554" s="4" t="s">
        <v>75</v>
      </c>
      <c r="D554" s="4" t="s">
        <v>154</v>
      </c>
      <c r="E554" s="4" t="s">
        <v>66</v>
      </c>
      <c r="F554" s="4" t="s">
        <v>67</v>
      </c>
      <c r="G554" s="4" t="s">
        <v>283</v>
      </c>
      <c r="H554" s="4"/>
      <c r="I554" s="4" t="n">
        <v>2.7909</v>
      </c>
      <c r="J554" s="4" t="str">
        <f aca="false">TRIM(E554) &amp; TRIM(C554) &amp; TRIM(D554)</f>
        <v>Posted RecallBid Ecom Ads GroupES</v>
      </c>
      <c r="K554" s="4" t="n">
        <f aca="false">IFERROR(I554*60,"")</f>
        <v>167.454</v>
      </c>
    </row>
    <row r="555" customFormat="false" ht="15" hidden="false" customHeight="false" outlineLevel="0" collapsed="false">
      <c r="A555" s="4" t="s">
        <v>15</v>
      </c>
      <c r="B555" s="4" t="s">
        <v>56</v>
      </c>
      <c r="C555" s="4" t="s">
        <v>78</v>
      </c>
      <c r="D555" s="4" t="s">
        <v>197</v>
      </c>
      <c r="E555" s="4" t="s">
        <v>63</v>
      </c>
      <c r="F555" s="4" t="s">
        <v>63</v>
      </c>
      <c r="G555" s="4" t="s">
        <v>580</v>
      </c>
      <c r="H555" s="4"/>
      <c r="I555" s="4" t="n">
        <v>0.965</v>
      </c>
      <c r="J555" s="4" t="str">
        <f aca="false">TRIM(E555) &amp; TRIM(C555) &amp; TRIM(D555)</f>
        <v>First ReviewBid VideoGR</v>
      </c>
      <c r="K555" s="4" t="n">
        <f aca="false">IFERROR(I555*60,"")</f>
        <v>57.9</v>
      </c>
    </row>
    <row r="556" customFormat="false" ht="15" hidden="false" customHeight="false" outlineLevel="0" collapsed="false">
      <c r="A556" s="4" t="s">
        <v>15</v>
      </c>
      <c r="B556" s="4" t="s">
        <v>56</v>
      </c>
      <c r="C556" s="4" t="s">
        <v>75</v>
      </c>
      <c r="D556" s="4" t="s">
        <v>210</v>
      </c>
      <c r="E556" s="4" t="s">
        <v>63</v>
      </c>
      <c r="F556" s="4" t="s">
        <v>63</v>
      </c>
      <c r="G556" s="4" t="s">
        <v>270</v>
      </c>
      <c r="H556" s="4"/>
      <c r="I556" s="4" t="n">
        <v>4.8067</v>
      </c>
      <c r="J556" s="4" t="str">
        <f aca="false">TRIM(E556) &amp; TRIM(C556) &amp; TRIM(D556)</f>
        <v>First ReviewBid Ecom Ads GroupPK</v>
      </c>
      <c r="K556" s="4" t="n">
        <f aca="false">IFERROR(I556*60,"")</f>
        <v>288.402</v>
      </c>
    </row>
    <row r="557" customFormat="false" ht="15" hidden="false" customHeight="false" outlineLevel="0" collapsed="false">
      <c r="A557" s="4" t="s">
        <v>15</v>
      </c>
      <c r="B557" s="4" t="s">
        <v>56</v>
      </c>
      <c r="C557" s="4" t="s">
        <v>69</v>
      </c>
      <c r="D557" s="4" t="s">
        <v>203</v>
      </c>
      <c r="E557" s="4" t="s">
        <v>63</v>
      </c>
      <c r="F557" s="4" t="s">
        <v>63</v>
      </c>
      <c r="G557" s="4" t="s">
        <v>581</v>
      </c>
      <c r="H557" s="4"/>
      <c r="I557" s="4" t="n">
        <v>1.4347</v>
      </c>
      <c r="J557" s="4" t="str">
        <f aca="false">TRIM(E557) &amp; TRIM(C557) &amp; TRIM(D557)</f>
        <v>First ReviewBid LinkCA</v>
      </c>
      <c r="K557" s="4" t="n">
        <f aca="false">IFERROR(I557*60,"")</f>
        <v>86.082</v>
      </c>
    </row>
    <row r="558" customFormat="false" ht="15" hidden="false" customHeight="false" outlineLevel="0" collapsed="false">
      <c r="A558" s="4" t="s">
        <v>15</v>
      </c>
      <c r="B558" s="4" t="s">
        <v>56</v>
      </c>
      <c r="C558" s="4" t="s">
        <v>61</v>
      </c>
      <c r="D558" s="4" t="s">
        <v>166</v>
      </c>
      <c r="E558" s="4" t="s">
        <v>63</v>
      </c>
      <c r="F558" s="4" t="s">
        <v>63</v>
      </c>
      <c r="G558" s="4" t="s">
        <v>582</v>
      </c>
      <c r="H558" s="4"/>
      <c r="I558" s="4" t="n">
        <v>1.7242</v>
      </c>
      <c r="J558" s="4" t="str">
        <f aca="false">TRIM(E558) &amp; TRIM(C558) &amp; TRIM(D558)</f>
        <v>First ReviewBid Ecom URLCZ</v>
      </c>
      <c r="K558" s="4" t="n">
        <f aca="false">IFERROR(I558*60,"")</f>
        <v>103.452</v>
      </c>
    </row>
    <row r="559" customFormat="false" ht="15" hidden="false" customHeight="false" outlineLevel="0" collapsed="false">
      <c r="A559" s="4" t="s">
        <v>15</v>
      </c>
      <c r="B559" s="4" t="s">
        <v>56</v>
      </c>
      <c r="C559" s="4" t="s">
        <v>61</v>
      </c>
      <c r="D559" s="4" t="s">
        <v>181</v>
      </c>
      <c r="E559" s="4" t="s">
        <v>63</v>
      </c>
      <c r="F559" s="4" t="s">
        <v>63</v>
      </c>
      <c r="G559" s="4" t="s">
        <v>583</v>
      </c>
      <c r="H559" s="4"/>
      <c r="I559" s="4" t="n">
        <v>0.6513</v>
      </c>
      <c r="J559" s="4" t="str">
        <f aca="false">TRIM(E559) &amp; TRIM(C559) &amp; TRIM(D559)</f>
        <v>First ReviewBid Ecom URLLB</v>
      </c>
      <c r="K559" s="4" t="n">
        <f aca="false">IFERROR(I559*60,"")</f>
        <v>39.078</v>
      </c>
    </row>
    <row r="560" customFormat="false" ht="15" hidden="false" customHeight="false" outlineLevel="0" collapsed="false">
      <c r="A560" s="4" t="s">
        <v>15</v>
      </c>
      <c r="B560" s="4" t="s">
        <v>56</v>
      </c>
      <c r="C560" s="4" t="s">
        <v>72</v>
      </c>
      <c r="D560" s="4" t="s">
        <v>89</v>
      </c>
      <c r="E560" s="4" t="s">
        <v>63</v>
      </c>
      <c r="F560" s="4" t="s">
        <v>63</v>
      </c>
      <c r="G560" s="4" t="s">
        <v>584</v>
      </c>
      <c r="H560" s="4"/>
      <c r="I560" s="4" t="n">
        <v>0.6772</v>
      </c>
      <c r="J560" s="4" t="str">
        <f aca="false">TRIM(E560) &amp; TRIM(C560) &amp; TRIM(D560)</f>
        <v>First ReviewBid ImageFI</v>
      </c>
      <c r="K560" s="4" t="n">
        <f aca="false">IFERROR(I560*60,"")</f>
        <v>40.632</v>
      </c>
    </row>
    <row r="561" customFormat="false" ht="15" hidden="false" customHeight="false" outlineLevel="0" collapsed="false">
      <c r="A561" s="4" t="s">
        <v>15</v>
      </c>
      <c r="B561" s="4" t="s">
        <v>56</v>
      </c>
      <c r="C561" s="4" t="s">
        <v>57</v>
      </c>
      <c r="D561" s="4" t="s">
        <v>197</v>
      </c>
      <c r="E561" s="4" t="s">
        <v>66</v>
      </c>
      <c r="F561" s="4" t="s">
        <v>67</v>
      </c>
      <c r="G561" s="4" t="s">
        <v>402</v>
      </c>
      <c r="H561" s="4"/>
      <c r="I561" s="4" t="n">
        <v>1.3871</v>
      </c>
      <c r="J561" s="4" t="str">
        <f aca="false">TRIM(E561) &amp; TRIM(C561) &amp; TRIM(D561)</f>
        <v>Posted RecallBid Ad GroupGR</v>
      </c>
      <c r="K561" s="4" t="n">
        <f aca="false">IFERROR(I561*60,"")</f>
        <v>83.226</v>
      </c>
    </row>
    <row r="562" customFormat="false" ht="15" hidden="false" customHeight="false" outlineLevel="0" collapsed="false">
      <c r="A562" s="4" t="s">
        <v>15</v>
      </c>
      <c r="B562" s="4" t="s">
        <v>56</v>
      </c>
      <c r="C562" s="4" t="s">
        <v>93</v>
      </c>
      <c r="D562" s="4" t="s">
        <v>275</v>
      </c>
      <c r="E562" s="4" t="s">
        <v>63</v>
      </c>
      <c r="F562" s="4" t="s">
        <v>63</v>
      </c>
      <c r="G562" s="4" t="s">
        <v>585</v>
      </c>
      <c r="H562" s="4"/>
      <c r="I562" s="4" t="n">
        <v>1.212</v>
      </c>
      <c r="J562" s="4" t="str">
        <f aca="false">TRIM(E562) &amp; TRIM(C562) &amp; TRIM(D562)</f>
        <v>First ReviewBid AudioGB</v>
      </c>
      <c r="K562" s="4" t="n">
        <f aca="false">IFERROR(I562*60,"")</f>
        <v>72.72</v>
      </c>
    </row>
    <row r="563" customFormat="false" ht="15" hidden="false" customHeight="false" outlineLevel="0" collapsed="false">
      <c r="A563" s="4" t="s">
        <v>15</v>
      </c>
      <c r="B563" s="4" t="s">
        <v>56</v>
      </c>
      <c r="C563" s="4" t="s">
        <v>81</v>
      </c>
      <c r="D563" s="4" t="s">
        <v>190</v>
      </c>
      <c r="E563" s="4" t="s">
        <v>63</v>
      </c>
      <c r="F563" s="4" t="s">
        <v>63</v>
      </c>
      <c r="G563" s="4" t="s">
        <v>586</v>
      </c>
      <c r="H563" s="4"/>
      <c r="I563" s="4" t="n">
        <v>0.2982</v>
      </c>
      <c r="J563" s="4" t="str">
        <f aca="false">TRIM(E563) &amp; TRIM(C563) &amp; TRIM(D563)</f>
        <v>First ReviewBid TextPH</v>
      </c>
      <c r="K563" s="4" t="n">
        <f aca="false">IFERROR(I563*60,"")</f>
        <v>17.892</v>
      </c>
    </row>
    <row r="564" customFormat="false" ht="15" hidden="false" customHeight="false" outlineLevel="0" collapsed="false">
      <c r="A564" s="4" t="s">
        <v>15</v>
      </c>
      <c r="B564" s="4" t="s">
        <v>56</v>
      </c>
      <c r="C564" s="4" t="s">
        <v>75</v>
      </c>
      <c r="D564" s="4" t="s">
        <v>79</v>
      </c>
      <c r="E564" s="4" t="s">
        <v>63</v>
      </c>
      <c r="F564" s="4" t="s">
        <v>63</v>
      </c>
      <c r="G564" s="4" t="s">
        <v>587</v>
      </c>
      <c r="H564" s="4"/>
      <c r="I564" s="4" t="n">
        <v>1.2318</v>
      </c>
      <c r="J564" s="4" t="str">
        <f aca="false">TRIM(E564) &amp; TRIM(C564) &amp; TRIM(D564)</f>
        <v>First ReviewBid Ecom Ads GroupZA</v>
      </c>
      <c r="K564" s="4" t="n">
        <f aca="false">IFERROR(I564*60,"")</f>
        <v>73.908</v>
      </c>
    </row>
    <row r="565" customFormat="false" ht="15" hidden="false" customHeight="false" outlineLevel="0" collapsed="false">
      <c r="A565" s="4" t="s">
        <v>15</v>
      </c>
      <c r="B565" s="4" t="s">
        <v>56</v>
      </c>
      <c r="C565" s="4" t="s">
        <v>75</v>
      </c>
      <c r="D565" s="4" t="s">
        <v>104</v>
      </c>
      <c r="E565" s="4" t="s">
        <v>63</v>
      </c>
      <c r="F565" s="4" t="s">
        <v>63</v>
      </c>
      <c r="G565" s="4" t="s">
        <v>588</v>
      </c>
      <c r="H565" s="4"/>
      <c r="I565" s="4" t="n">
        <v>4.9135</v>
      </c>
      <c r="J565" s="4" t="str">
        <f aca="false">TRIM(E565) &amp; TRIM(C565) &amp; TRIM(D565)</f>
        <v>First ReviewBid Ecom Ads GroupIE</v>
      </c>
      <c r="K565" s="4" t="n">
        <f aca="false">IFERROR(I565*60,"")</f>
        <v>294.81</v>
      </c>
    </row>
    <row r="566" customFormat="false" ht="15" hidden="false" customHeight="false" outlineLevel="0" collapsed="false">
      <c r="A566" s="4" t="s">
        <v>15</v>
      </c>
      <c r="B566" s="4" t="s">
        <v>56</v>
      </c>
      <c r="C566" s="4" t="s">
        <v>81</v>
      </c>
      <c r="D566" s="4" t="s">
        <v>213</v>
      </c>
      <c r="E566" s="4" t="s">
        <v>63</v>
      </c>
      <c r="F566" s="4" t="s">
        <v>63</v>
      </c>
      <c r="G566" s="4" t="s">
        <v>589</v>
      </c>
      <c r="H566" s="4"/>
      <c r="I566" s="4" t="n">
        <v>0.388</v>
      </c>
      <c r="J566" s="4" t="str">
        <f aca="false">TRIM(E566) &amp; TRIM(C566) &amp; TRIM(D566)</f>
        <v>First ReviewBid TextFR</v>
      </c>
      <c r="K566" s="4" t="n">
        <f aca="false">IFERROR(I566*60,"")</f>
        <v>23.28</v>
      </c>
    </row>
    <row r="567" customFormat="false" ht="15" hidden="false" customHeight="false" outlineLevel="0" collapsed="false">
      <c r="A567" s="4" t="s">
        <v>15</v>
      </c>
      <c r="B567" s="4" t="s">
        <v>56</v>
      </c>
      <c r="C567" s="4" t="s">
        <v>57</v>
      </c>
      <c r="D567" s="4" t="s">
        <v>121</v>
      </c>
      <c r="E567" s="4" t="s">
        <v>66</v>
      </c>
      <c r="F567" s="4" t="s">
        <v>67</v>
      </c>
      <c r="G567" s="4" t="s">
        <v>590</v>
      </c>
      <c r="H567" s="4"/>
      <c r="I567" s="4" t="n">
        <v>1.8242</v>
      </c>
      <c r="J567" s="4" t="str">
        <f aca="false">TRIM(E567) &amp; TRIM(C567) &amp; TRIM(D567)</f>
        <v>Posted RecallBid Ad GroupKR</v>
      </c>
      <c r="K567" s="4" t="n">
        <f aca="false">IFERROR(I567*60,"")</f>
        <v>109.452</v>
      </c>
    </row>
    <row r="568" customFormat="false" ht="15" hidden="false" customHeight="false" outlineLevel="0" collapsed="false">
      <c r="A568" s="4" t="s">
        <v>15</v>
      </c>
      <c r="B568" s="4" t="s">
        <v>56</v>
      </c>
      <c r="C568" s="4" t="s">
        <v>69</v>
      </c>
      <c r="D568" s="4" t="s">
        <v>308</v>
      </c>
      <c r="E568" s="4" t="s">
        <v>63</v>
      </c>
      <c r="F568" s="4" t="s">
        <v>63</v>
      </c>
      <c r="G568" s="4" t="s">
        <v>591</v>
      </c>
      <c r="H568" s="4"/>
      <c r="I568" s="4" t="n">
        <v>1.2433</v>
      </c>
      <c r="J568" s="4" t="str">
        <f aca="false">TRIM(E568) &amp; TRIM(C568) &amp; TRIM(D568)</f>
        <v>First ReviewBid LinkPL</v>
      </c>
      <c r="K568" s="4" t="n">
        <f aca="false">IFERROR(I568*60,"")</f>
        <v>74.598</v>
      </c>
    </row>
    <row r="569" customFormat="false" ht="15" hidden="false" customHeight="false" outlineLevel="0" collapsed="false">
      <c r="A569" s="4" t="s">
        <v>15</v>
      </c>
      <c r="B569" s="4" t="s">
        <v>56</v>
      </c>
      <c r="C569" s="4" t="s">
        <v>84</v>
      </c>
      <c r="D569" s="4" t="s">
        <v>197</v>
      </c>
      <c r="E569" s="4" t="s">
        <v>63</v>
      </c>
      <c r="F569" s="4" t="s">
        <v>63</v>
      </c>
      <c r="G569" s="4" t="s">
        <v>592</v>
      </c>
      <c r="H569" s="4"/>
      <c r="I569" s="4" t="n">
        <v>1.2344</v>
      </c>
      <c r="J569" s="4" t="str">
        <f aca="false">TRIM(E569) &amp; TRIM(C569) &amp; TRIM(D569)</f>
        <v>First ReviewBid Ecom VideoGR</v>
      </c>
      <c r="K569" s="4" t="n">
        <f aca="false">IFERROR(I569*60,"")</f>
        <v>74.064</v>
      </c>
    </row>
    <row r="570" customFormat="false" ht="15" hidden="false" customHeight="false" outlineLevel="0" collapsed="false">
      <c r="A570" s="4" t="s">
        <v>15</v>
      </c>
      <c r="B570" s="4" t="s">
        <v>56</v>
      </c>
      <c r="C570" s="4" t="s">
        <v>57</v>
      </c>
      <c r="D570" s="4" t="s">
        <v>319</v>
      </c>
      <c r="E570" s="4" t="s">
        <v>66</v>
      </c>
      <c r="F570" s="4" t="s">
        <v>67</v>
      </c>
      <c r="G570" s="4" t="s">
        <v>476</v>
      </c>
      <c r="H570" s="4"/>
      <c r="I570" s="4" t="n">
        <v>1.7642</v>
      </c>
      <c r="J570" s="4" t="str">
        <f aca="false">TRIM(E570) &amp; TRIM(C570) &amp; TRIM(D570)</f>
        <v>Posted RecallBid Ad GroupSK</v>
      </c>
      <c r="K570" s="4" t="n">
        <f aca="false">IFERROR(I570*60,"")</f>
        <v>105.852</v>
      </c>
    </row>
    <row r="571" customFormat="false" ht="15" hidden="false" customHeight="false" outlineLevel="0" collapsed="false">
      <c r="A571" s="4" t="s">
        <v>15</v>
      </c>
      <c r="B571" s="4" t="s">
        <v>56</v>
      </c>
      <c r="C571" s="4" t="s">
        <v>78</v>
      </c>
      <c r="D571" s="4" t="s">
        <v>267</v>
      </c>
      <c r="E571" s="4" t="s">
        <v>63</v>
      </c>
      <c r="F571" s="4" t="s">
        <v>63</v>
      </c>
      <c r="G571" s="4" t="s">
        <v>593</v>
      </c>
      <c r="H571" s="4"/>
      <c r="I571" s="4" t="n">
        <v>1.1844</v>
      </c>
      <c r="J571" s="4" t="str">
        <f aca="false">TRIM(E571) &amp; TRIM(C571) &amp; TRIM(D571)</f>
        <v>First ReviewBid VideoID</v>
      </c>
      <c r="K571" s="4" t="n">
        <f aca="false">IFERROR(I571*60,"")</f>
        <v>71.064</v>
      </c>
    </row>
    <row r="572" customFormat="false" ht="15" hidden="false" customHeight="false" outlineLevel="0" collapsed="false">
      <c r="A572" s="4" t="s">
        <v>15</v>
      </c>
      <c r="B572" s="4" t="s">
        <v>56</v>
      </c>
      <c r="C572" s="4" t="s">
        <v>75</v>
      </c>
      <c r="D572" s="4" t="s">
        <v>238</v>
      </c>
      <c r="E572" s="4" t="s">
        <v>66</v>
      </c>
      <c r="F572" s="4" t="s">
        <v>67</v>
      </c>
      <c r="G572" s="4" t="s">
        <v>288</v>
      </c>
      <c r="H572" s="4"/>
      <c r="I572" s="4" t="n">
        <v>1.2315</v>
      </c>
      <c r="J572" s="4" t="str">
        <f aca="false">TRIM(E572) &amp; TRIM(C572) &amp; TRIM(D572)</f>
        <v>Posted RecallBid Ecom Ads GroupCH</v>
      </c>
      <c r="K572" s="4" t="n">
        <f aca="false">IFERROR(I572*60,"")</f>
        <v>73.89</v>
      </c>
    </row>
    <row r="573" customFormat="false" ht="15" hidden="false" customHeight="false" outlineLevel="0" collapsed="false">
      <c r="A573" s="4" t="s">
        <v>15</v>
      </c>
      <c r="B573" s="4" t="s">
        <v>56</v>
      </c>
      <c r="C573" s="4" t="s">
        <v>72</v>
      </c>
      <c r="D573" s="4" t="s">
        <v>117</v>
      </c>
      <c r="E573" s="4" t="s">
        <v>63</v>
      </c>
      <c r="F573" s="4" t="s">
        <v>63</v>
      </c>
      <c r="G573" s="4" t="s">
        <v>594</v>
      </c>
      <c r="H573" s="4"/>
      <c r="I573" s="4" t="n">
        <v>0.4414</v>
      </c>
      <c r="J573" s="4" t="str">
        <f aca="false">TRIM(E573) &amp; TRIM(C573) &amp; TRIM(D573)</f>
        <v>First ReviewBid ImageAR</v>
      </c>
      <c r="K573" s="4" t="n">
        <f aca="false">IFERROR(I573*60,"")</f>
        <v>26.484</v>
      </c>
    </row>
    <row r="574" customFormat="false" ht="15" hidden="false" customHeight="false" outlineLevel="0" collapsed="false">
      <c r="A574" s="4" t="s">
        <v>15</v>
      </c>
      <c r="B574" s="4" t="s">
        <v>56</v>
      </c>
      <c r="C574" s="4" t="s">
        <v>69</v>
      </c>
      <c r="D574" s="4" t="s">
        <v>117</v>
      </c>
      <c r="E574" s="4" t="s">
        <v>63</v>
      </c>
      <c r="F574" s="4" t="s">
        <v>63</v>
      </c>
      <c r="G574" s="4" t="s">
        <v>595</v>
      </c>
      <c r="H574" s="4"/>
      <c r="I574" s="4" t="n">
        <v>0.8548</v>
      </c>
      <c r="J574" s="4" t="str">
        <f aca="false">TRIM(E574) &amp; TRIM(C574) &amp; TRIM(D574)</f>
        <v>First ReviewBid LinkAR</v>
      </c>
      <c r="K574" s="4" t="n">
        <f aca="false">IFERROR(I574*60,"")</f>
        <v>51.288</v>
      </c>
    </row>
    <row r="575" customFormat="false" ht="15" hidden="false" customHeight="false" outlineLevel="0" collapsed="false">
      <c r="A575" s="4" t="s">
        <v>15</v>
      </c>
      <c r="B575" s="4" t="s">
        <v>56</v>
      </c>
      <c r="C575" s="4" t="s">
        <v>93</v>
      </c>
      <c r="D575" s="4" t="s">
        <v>87</v>
      </c>
      <c r="E575" s="4" t="s">
        <v>63</v>
      </c>
      <c r="F575" s="4" t="s">
        <v>63</v>
      </c>
      <c r="G575" s="4" t="s">
        <v>596</v>
      </c>
      <c r="H575" s="4"/>
      <c r="I575" s="4" t="n">
        <v>0.3276</v>
      </c>
      <c r="J575" s="4" t="str">
        <f aca="false">TRIM(E575) &amp; TRIM(C575) &amp; TRIM(D575)</f>
        <v>First ReviewBid AudioAE</v>
      </c>
      <c r="K575" s="4" t="n">
        <f aca="false">IFERROR(I575*60,"")</f>
        <v>19.656</v>
      </c>
    </row>
    <row r="576" customFormat="false" ht="15" hidden="false" customHeight="false" outlineLevel="0" collapsed="false">
      <c r="A576" s="4" t="s">
        <v>15</v>
      </c>
      <c r="B576" s="4" t="s">
        <v>56</v>
      </c>
      <c r="C576" s="4" t="s">
        <v>75</v>
      </c>
      <c r="D576" s="4" t="s">
        <v>284</v>
      </c>
      <c r="E576" s="4" t="s">
        <v>63</v>
      </c>
      <c r="F576" s="4" t="s">
        <v>63</v>
      </c>
      <c r="G576" s="4" t="s">
        <v>473</v>
      </c>
      <c r="H576" s="4"/>
      <c r="I576" s="4" t="n">
        <v>2.633</v>
      </c>
      <c r="J576" s="4" t="str">
        <f aca="false">TRIM(E576) &amp; TRIM(C576) &amp; TRIM(D576)</f>
        <v>First ReviewBid Ecom Ads GroupTR</v>
      </c>
      <c r="K576" s="4" t="n">
        <f aca="false">IFERROR(I576*60,"")</f>
        <v>157.98</v>
      </c>
    </row>
    <row r="577" customFormat="false" ht="15" hidden="false" customHeight="false" outlineLevel="0" collapsed="false">
      <c r="A577" s="4" t="s">
        <v>15</v>
      </c>
      <c r="B577" s="4" t="s">
        <v>56</v>
      </c>
      <c r="C577" s="4" t="s">
        <v>75</v>
      </c>
      <c r="D577" s="4" t="s">
        <v>70</v>
      </c>
      <c r="E577" s="4" t="s">
        <v>63</v>
      </c>
      <c r="F577" s="4" t="s">
        <v>63</v>
      </c>
      <c r="G577" s="4" t="s">
        <v>189</v>
      </c>
      <c r="H577" s="4"/>
      <c r="I577" s="4" t="n">
        <v>3.1003</v>
      </c>
      <c r="J577" s="4" t="str">
        <f aca="false">TRIM(E577) &amp; TRIM(C577) &amp; TRIM(D577)</f>
        <v>First ReviewBid Ecom Ads GroupBE</v>
      </c>
      <c r="K577" s="4" t="n">
        <f aca="false">IFERROR(I577*60,"")</f>
        <v>186.018</v>
      </c>
    </row>
    <row r="578" customFormat="false" ht="15" hidden="false" customHeight="false" outlineLevel="0" collapsed="false">
      <c r="A578" s="4" t="s">
        <v>15</v>
      </c>
      <c r="B578" s="4" t="s">
        <v>56</v>
      </c>
      <c r="C578" s="4" t="s">
        <v>75</v>
      </c>
      <c r="D578" s="4" t="s">
        <v>199</v>
      </c>
      <c r="E578" s="4" t="s">
        <v>59</v>
      </c>
      <c r="F578" s="4" t="s">
        <v>59</v>
      </c>
      <c r="G578" s="4" t="s">
        <v>597</v>
      </c>
      <c r="H578" s="4"/>
      <c r="I578" s="4" t="n">
        <v>9.1641</v>
      </c>
      <c r="J578" s="4" t="str">
        <f aca="false">TRIM(E578) &amp; TRIM(C578) &amp; TRIM(D578)</f>
        <v>Re-reviewBid Ecom Ads GroupBH</v>
      </c>
      <c r="K578" s="4" t="n">
        <f aca="false">IFERROR(I578*60,"")</f>
        <v>549.846</v>
      </c>
    </row>
    <row r="579" customFormat="false" ht="15" hidden="false" customHeight="false" outlineLevel="0" collapsed="false">
      <c r="A579" s="4" t="s">
        <v>15</v>
      </c>
      <c r="B579" s="4" t="s">
        <v>56</v>
      </c>
      <c r="C579" s="4" t="s">
        <v>57</v>
      </c>
      <c r="D579" s="4" t="s">
        <v>262</v>
      </c>
      <c r="E579" s="4" t="s">
        <v>59</v>
      </c>
      <c r="F579" s="4" t="s">
        <v>59</v>
      </c>
      <c r="G579" s="4" t="s">
        <v>598</v>
      </c>
      <c r="H579" s="4"/>
      <c r="I579" s="4" t="n">
        <v>5.4423</v>
      </c>
      <c r="J579" s="4" t="str">
        <f aca="false">TRIM(E579) &amp; TRIM(C579) &amp; TRIM(D579)</f>
        <v>Re-reviewBid Ad GroupSI</v>
      </c>
      <c r="K579" s="4" t="n">
        <f aca="false">IFERROR(I579*60,"")</f>
        <v>326.538</v>
      </c>
    </row>
    <row r="580" customFormat="false" ht="15" hidden="false" customHeight="false" outlineLevel="0" collapsed="false">
      <c r="A580" s="4" t="s">
        <v>15</v>
      </c>
      <c r="B580" s="4" t="s">
        <v>56</v>
      </c>
      <c r="C580" s="4" t="s">
        <v>84</v>
      </c>
      <c r="D580" s="4" t="s">
        <v>95</v>
      </c>
      <c r="E580" s="4" t="s">
        <v>63</v>
      </c>
      <c r="F580" s="4" t="s">
        <v>63</v>
      </c>
      <c r="G580" s="4" t="s">
        <v>599</v>
      </c>
      <c r="H580" s="4"/>
      <c r="I580" s="4" t="n">
        <v>1.4199</v>
      </c>
      <c r="J580" s="4" t="str">
        <f aca="false">TRIM(E580) &amp; TRIM(C580) &amp; TRIM(D580)</f>
        <v>First ReviewBid Ecom VideoVN</v>
      </c>
      <c r="K580" s="4" t="n">
        <f aca="false">IFERROR(I580*60,"")</f>
        <v>85.194</v>
      </c>
    </row>
    <row r="581" customFormat="false" ht="15" hidden="false" customHeight="false" outlineLevel="0" collapsed="false">
      <c r="A581" s="4" t="s">
        <v>15</v>
      </c>
      <c r="B581" s="4" t="s">
        <v>56</v>
      </c>
      <c r="C581" s="4" t="s">
        <v>84</v>
      </c>
      <c r="D581" s="4" t="s">
        <v>203</v>
      </c>
      <c r="E581" s="4" t="s">
        <v>63</v>
      </c>
      <c r="F581" s="4" t="s">
        <v>63</v>
      </c>
      <c r="G581" s="4" t="s">
        <v>600</v>
      </c>
      <c r="H581" s="4"/>
      <c r="I581" s="4" t="n">
        <v>1.2474</v>
      </c>
      <c r="J581" s="4" t="str">
        <f aca="false">TRIM(E581) &amp; TRIM(C581) &amp; TRIM(D581)</f>
        <v>First ReviewBid Ecom VideoCA</v>
      </c>
      <c r="K581" s="4" t="n">
        <f aca="false">IFERROR(I581*60,"")</f>
        <v>74.844</v>
      </c>
    </row>
    <row r="582" customFormat="false" ht="15" hidden="false" customHeight="false" outlineLevel="0" collapsed="false">
      <c r="A582" s="4" t="s">
        <v>15</v>
      </c>
      <c r="B582" s="4" t="s">
        <v>56</v>
      </c>
      <c r="C582" s="4" t="s">
        <v>78</v>
      </c>
      <c r="D582" s="4" t="s">
        <v>319</v>
      </c>
      <c r="E582" s="4" t="s">
        <v>63</v>
      </c>
      <c r="F582" s="4" t="s">
        <v>63</v>
      </c>
      <c r="G582" s="4" t="s">
        <v>601</v>
      </c>
      <c r="H582" s="4"/>
      <c r="I582" s="4" t="n">
        <v>0.7095</v>
      </c>
      <c r="J582" s="4" t="str">
        <f aca="false">TRIM(E582) &amp; TRIM(C582) &amp; TRIM(D582)</f>
        <v>First ReviewBid VideoSK</v>
      </c>
      <c r="K582" s="4" t="n">
        <f aca="false">IFERROR(I582*60,"")</f>
        <v>42.57</v>
      </c>
    </row>
    <row r="583" customFormat="false" ht="15" hidden="false" customHeight="false" outlineLevel="0" collapsed="false">
      <c r="A583" s="4" t="s">
        <v>15</v>
      </c>
      <c r="B583" s="4" t="s">
        <v>56</v>
      </c>
      <c r="C583" s="4" t="s">
        <v>119</v>
      </c>
      <c r="D583" s="4" t="s">
        <v>308</v>
      </c>
      <c r="E583" s="4" t="s">
        <v>63</v>
      </c>
      <c r="F583" s="4" t="s">
        <v>63</v>
      </c>
      <c r="G583" s="4" t="s">
        <v>602</v>
      </c>
      <c r="H583" s="4"/>
      <c r="I583" s="4" t="n">
        <v>6.5866</v>
      </c>
      <c r="J583" s="4" t="str">
        <f aca="false">TRIM(E583) &amp; TRIM(C583) &amp; TRIM(D583)</f>
        <v>First ReviewBid Pre ApprovalPL</v>
      </c>
      <c r="K583" s="4" t="n">
        <f aca="false">IFERROR(I583*60,"")</f>
        <v>395.196</v>
      </c>
    </row>
    <row r="584" customFormat="false" ht="15" hidden="false" customHeight="false" outlineLevel="0" collapsed="false">
      <c r="A584" s="4" t="s">
        <v>15</v>
      </c>
      <c r="B584" s="4" t="s">
        <v>56</v>
      </c>
      <c r="C584" s="4" t="s">
        <v>75</v>
      </c>
      <c r="D584" s="4" t="s">
        <v>203</v>
      </c>
      <c r="E584" s="4" t="s">
        <v>59</v>
      </c>
      <c r="F584" s="4" t="s">
        <v>59</v>
      </c>
      <c r="G584" s="4" t="s">
        <v>204</v>
      </c>
      <c r="H584" s="4"/>
      <c r="I584" s="4" t="n">
        <v>5.4617</v>
      </c>
      <c r="J584" s="4" t="str">
        <f aca="false">TRIM(E584) &amp; TRIM(C584) &amp; TRIM(D584)</f>
        <v>Re-reviewBid Ecom Ads GroupCA</v>
      </c>
      <c r="K584" s="4" t="n">
        <f aca="false">IFERROR(I584*60,"")</f>
        <v>327.702</v>
      </c>
    </row>
    <row r="585" customFormat="false" ht="15" hidden="false" customHeight="false" outlineLevel="0" collapsed="false">
      <c r="A585" s="4" t="s">
        <v>15</v>
      </c>
      <c r="B585" s="4" t="s">
        <v>56</v>
      </c>
      <c r="C585" s="4" t="s">
        <v>57</v>
      </c>
      <c r="D585" s="4" t="s">
        <v>195</v>
      </c>
      <c r="E585" s="4" t="s">
        <v>59</v>
      </c>
      <c r="F585" s="4" t="s">
        <v>59</v>
      </c>
      <c r="G585" s="4" t="s">
        <v>603</v>
      </c>
      <c r="H585" s="4"/>
      <c r="I585" s="4" t="n">
        <v>4.5471</v>
      </c>
      <c r="J585" s="4" t="str">
        <f aca="false">TRIM(E585) &amp; TRIM(C585) &amp; TRIM(D585)</f>
        <v>Re-reviewBid Ad GroupIT</v>
      </c>
      <c r="K585" s="4" t="n">
        <f aca="false">IFERROR(I585*60,"")</f>
        <v>272.826</v>
      </c>
    </row>
    <row r="586" customFormat="false" ht="15" hidden="false" customHeight="false" outlineLevel="0" collapsed="false">
      <c r="A586" s="4" t="s">
        <v>15</v>
      </c>
      <c r="B586" s="4" t="s">
        <v>56</v>
      </c>
      <c r="C586" s="4" t="s">
        <v>84</v>
      </c>
      <c r="D586" s="4" t="s">
        <v>231</v>
      </c>
      <c r="E586" s="4" t="s">
        <v>63</v>
      </c>
      <c r="F586" s="4" t="s">
        <v>63</v>
      </c>
      <c r="G586" s="4" t="s">
        <v>604</v>
      </c>
      <c r="H586" s="4"/>
      <c r="I586" s="4" t="n">
        <v>2.1349</v>
      </c>
      <c r="J586" s="4" t="str">
        <f aca="false">TRIM(E586) &amp; TRIM(C586) &amp; TRIM(D586)</f>
        <v>First ReviewBid Ecom VideoIL</v>
      </c>
      <c r="K586" s="4" t="n">
        <f aca="false">IFERROR(I586*60,"")</f>
        <v>128.094</v>
      </c>
    </row>
    <row r="587" customFormat="false" ht="15" hidden="false" customHeight="false" outlineLevel="0" collapsed="false">
      <c r="A587" s="4" t="s">
        <v>15</v>
      </c>
      <c r="B587" s="4" t="s">
        <v>56</v>
      </c>
      <c r="C587" s="4" t="s">
        <v>75</v>
      </c>
      <c r="D587" s="4" t="s">
        <v>208</v>
      </c>
      <c r="E587" s="4" t="s">
        <v>63</v>
      </c>
      <c r="F587" s="4" t="s">
        <v>63</v>
      </c>
      <c r="G587" s="4" t="s">
        <v>534</v>
      </c>
      <c r="H587" s="4"/>
      <c r="I587" s="4" t="n">
        <v>2.8281</v>
      </c>
      <c r="J587" s="4" t="str">
        <f aca="false">TRIM(E587) &amp; TRIM(C587) &amp; TRIM(D587)</f>
        <v>First ReviewBid Ecom Ads GroupCO</v>
      </c>
      <c r="K587" s="4" t="n">
        <f aca="false">IFERROR(I587*60,"")</f>
        <v>169.686</v>
      </c>
    </row>
    <row r="588" customFormat="false" ht="15" hidden="false" customHeight="false" outlineLevel="0" collapsed="false">
      <c r="A588" s="4" t="s">
        <v>15</v>
      </c>
      <c r="B588" s="4" t="s">
        <v>56</v>
      </c>
      <c r="C588" s="4" t="s">
        <v>75</v>
      </c>
      <c r="D588" s="4" t="s">
        <v>213</v>
      </c>
      <c r="E588" s="4" t="s">
        <v>59</v>
      </c>
      <c r="F588" s="4" t="s">
        <v>59</v>
      </c>
      <c r="G588" s="4" t="s">
        <v>215</v>
      </c>
      <c r="H588" s="4"/>
      <c r="I588" s="4" t="n">
        <v>9.0527</v>
      </c>
      <c r="J588" s="4" t="str">
        <f aca="false">TRIM(E588) &amp; TRIM(C588) &amp; TRIM(D588)</f>
        <v>Re-reviewBid Ecom Ads GroupFR</v>
      </c>
      <c r="K588" s="4" t="n">
        <f aca="false">IFERROR(I588*60,"")</f>
        <v>543.162</v>
      </c>
    </row>
    <row r="589" customFormat="false" ht="15" hidden="false" customHeight="false" outlineLevel="0" collapsed="false">
      <c r="A589" s="4" t="s">
        <v>15</v>
      </c>
      <c r="B589" s="4" t="s">
        <v>56</v>
      </c>
      <c r="C589" s="4" t="s">
        <v>75</v>
      </c>
      <c r="D589" s="4" t="s">
        <v>87</v>
      </c>
      <c r="E589" s="4" t="s">
        <v>63</v>
      </c>
      <c r="F589" s="4" t="s">
        <v>63</v>
      </c>
      <c r="G589" s="4" t="s">
        <v>88</v>
      </c>
      <c r="H589" s="4"/>
      <c r="I589" s="4" t="n">
        <v>2.5615</v>
      </c>
      <c r="J589" s="4" t="str">
        <f aca="false">TRIM(E589) &amp; TRIM(C589) &amp; TRIM(D589)</f>
        <v>First ReviewBid Ecom Ads GroupAE</v>
      </c>
      <c r="K589" s="4" t="n">
        <f aca="false">IFERROR(I589*60,"")</f>
        <v>153.69</v>
      </c>
    </row>
    <row r="590" customFormat="false" ht="15" hidden="false" customHeight="false" outlineLevel="0" collapsed="false">
      <c r="A590" s="4" t="s">
        <v>15</v>
      </c>
      <c r="B590" s="4" t="s">
        <v>56</v>
      </c>
      <c r="C590" s="4" t="s">
        <v>81</v>
      </c>
      <c r="D590" s="4" t="s">
        <v>124</v>
      </c>
      <c r="E590" s="4" t="s">
        <v>63</v>
      </c>
      <c r="F590" s="4" t="s">
        <v>63</v>
      </c>
      <c r="G590" s="4" t="s">
        <v>605</v>
      </c>
      <c r="H590" s="4"/>
      <c r="I590" s="4" t="n">
        <v>0.5851</v>
      </c>
      <c r="J590" s="4" t="str">
        <f aca="false">TRIM(E590) &amp; TRIM(C590) &amp; TRIM(D590)</f>
        <v>First ReviewBid TextPT</v>
      </c>
      <c r="K590" s="4" t="n">
        <f aca="false">IFERROR(I590*60,"")</f>
        <v>35.106</v>
      </c>
    </row>
    <row r="591" customFormat="false" ht="15" hidden="false" customHeight="false" outlineLevel="0" collapsed="false">
      <c r="A591" s="4" t="s">
        <v>15</v>
      </c>
      <c r="B591" s="4" t="s">
        <v>56</v>
      </c>
      <c r="C591" s="4" t="s">
        <v>93</v>
      </c>
      <c r="D591" s="4" t="s">
        <v>181</v>
      </c>
      <c r="E591" s="4" t="s">
        <v>63</v>
      </c>
      <c r="F591" s="4" t="s">
        <v>63</v>
      </c>
      <c r="G591" s="4" t="s">
        <v>606</v>
      </c>
      <c r="H591" s="4"/>
      <c r="I591" s="4" t="n">
        <v>0.5508</v>
      </c>
      <c r="J591" s="4" t="str">
        <f aca="false">TRIM(E591) &amp; TRIM(C591) &amp; TRIM(D591)</f>
        <v>First ReviewBid AudioLB</v>
      </c>
      <c r="K591" s="4" t="n">
        <f aca="false">IFERROR(I591*60,"")</f>
        <v>33.048</v>
      </c>
    </row>
    <row r="592" customFormat="false" ht="15" hidden="false" customHeight="false" outlineLevel="0" collapsed="false">
      <c r="A592" s="4" t="s">
        <v>15</v>
      </c>
      <c r="B592" s="4" t="s">
        <v>56</v>
      </c>
      <c r="C592" s="4" t="s">
        <v>78</v>
      </c>
      <c r="D592" s="4" t="s">
        <v>271</v>
      </c>
      <c r="E592" s="4" t="s">
        <v>63</v>
      </c>
      <c r="F592" s="4" t="s">
        <v>63</v>
      </c>
      <c r="G592" s="4" t="s">
        <v>607</v>
      </c>
      <c r="H592" s="4"/>
      <c r="I592" s="4" t="n">
        <v>1.0953</v>
      </c>
      <c r="J592" s="4" t="str">
        <f aca="false">TRIM(E592) &amp; TRIM(C592) &amp; TRIM(D592)</f>
        <v>First ReviewBid VideoKW</v>
      </c>
      <c r="K592" s="4" t="n">
        <f aca="false">IFERROR(I592*60,"")</f>
        <v>65.718</v>
      </c>
    </row>
    <row r="593" customFormat="false" ht="15" hidden="false" customHeight="false" outlineLevel="0" collapsed="false">
      <c r="A593" s="4" t="s">
        <v>15</v>
      </c>
      <c r="B593" s="4" t="s">
        <v>56</v>
      </c>
      <c r="C593" s="4" t="s">
        <v>57</v>
      </c>
      <c r="D593" s="4" t="s">
        <v>145</v>
      </c>
      <c r="E593" s="4" t="s">
        <v>66</v>
      </c>
      <c r="F593" s="4" t="s">
        <v>67</v>
      </c>
      <c r="G593" s="4" t="s">
        <v>146</v>
      </c>
      <c r="H593" s="4"/>
      <c r="I593" s="4" t="n">
        <v>2.0832</v>
      </c>
      <c r="J593" s="4" t="str">
        <f aca="false">TRIM(E593) &amp; TRIM(C593) &amp; TRIM(D593)</f>
        <v>Posted RecallBid Ad GroupRS</v>
      </c>
      <c r="K593" s="4" t="n">
        <f aca="false">IFERROR(I593*60,"")</f>
        <v>124.992</v>
      </c>
    </row>
    <row r="594" customFormat="false" ht="15" hidden="false" customHeight="false" outlineLevel="0" collapsed="false">
      <c r="A594" s="4" t="s">
        <v>15</v>
      </c>
      <c r="B594" s="4" t="s">
        <v>56</v>
      </c>
      <c r="C594" s="4" t="s">
        <v>72</v>
      </c>
      <c r="D594" s="4" t="s">
        <v>195</v>
      </c>
      <c r="E594" s="4" t="s">
        <v>63</v>
      </c>
      <c r="F594" s="4" t="s">
        <v>63</v>
      </c>
      <c r="G594" s="4" t="s">
        <v>608</v>
      </c>
      <c r="H594" s="4"/>
      <c r="I594" s="4" t="n">
        <v>0.6075</v>
      </c>
      <c r="J594" s="4" t="str">
        <f aca="false">TRIM(E594) &amp; TRIM(C594) &amp; TRIM(D594)</f>
        <v>First ReviewBid ImageIT</v>
      </c>
      <c r="K594" s="4" t="n">
        <f aca="false">IFERROR(I594*60,"")</f>
        <v>36.45</v>
      </c>
    </row>
    <row r="595" customFormat="false" ht="15" hidden="false" customHeight="false" outlineLevel="0" collapsed="false">
      <c r="A595" s="4" t="s">
        <v>15</v>
      </c>
      <c r="B595" s="4" t="s">
        <v>56</v>
      </c>
      <c r="C595" s="4" t="s">
        <v>75</v>
      </c>
      <c r="D595" s="4" t="s">
        <v>195</v>
      </c>
      <c r="E595" s="4" t="s">
        <v>66</v>
      </c>
      <c r="F595" s="4" t="s">
        <v>67</v>
      </c>
      <c r="G595" s="4" t="s">
        <v>196</v>
      </c>
      <c r="H595" s="4"/>
      <c r="I595" s="4" t="n">
        <v>2.2148</v>
      </c>
      <c r="J595" s="4" t="str">
        <f aca="false">TRIM(E595) &amp; TRIM(C595) &amp; TRIM(D595)</f>
        <v>Posted RecallBid Ecom Ads GroupIT</v>
      </c>
      <c r="K595" s="4" t="n">
        <f aca="false">IFERROR(I595*60,"")</f>
        <v>132.888</v>
      </c>
    </row>
    <row r="596" customFormat="false" ht="15" hidden="false" customHeight="false" outlineLevel="0" collapsed="false">
      <c r="A596" s="4" t="s">
        <v>15</v>
      </c>
      <c r="B596" s="4" t="s">
        <v>56</v>
      </c>
      <c r="C596" s="4" t="s">
        <v>78</v>
      </c>
      <c r="D596" s="4" t="s">
        <v>284</v>
      </c>
      <c r="E596" s="4" t="s">
        <v>63</v>
      </c>
      <c r="F596" s="4" t="s">
        <v>63</v>
      </c>
      <c r="G596" s="4" t="s">
        <v>609</v>
      </c>
      <c r="H596" s="4"/>
      <c r="I596" s="4" t="n">
        <v>1.0741</v>
      </c>
      <c r="J596" s="4" t="str">
        <f aca="false">TRIM(E596) &amp; TRIM(C596) &amp; TRIM(D596)</f>
        <v>First ReviewBid VideoTR</v>
      </c>
      <c r="K596" s="4" t="n">
        <f aca="false">IFERROR(I596*60,"")</f>
        <v>64.446</v>
      </c>
    </row>
    <row r="597" customFormat="false" ht="15" hidden="false" customHeight="false" outlineLevel="0" collapsed="false">
      <c r="A597" s="4" t="s">
        <v>15</v>
      </c>
      <c r="B597" s="4" t="s">
        <v>56</v>
      </c>
      <c r="C597" s="4" t="s">
        <v>57</v>
      </c>
      <c r="D597" s="4" t="s">
        <v>192</v>
      </c>
      <c r="E597" s="4" t="s">
        <v>66</v>
      </c>
      <c r="F597" s="4" t="s">
        <v>67</v>
      </c>
      <c r="G597" s="4" t="s">
        <v>193</v>
      </c>
      <c r="H597" s="4"/>
      <c r="I597" s="4" t="n">
        <v>1.2458</v>
      </c>
      <c r="J597" s="4" t="str">
        <f aca="false">TRIM(E597) &amp; TRIM(C597) &amp; TRIM(D597)</f>
        <v>Posted RecallBid Ad GroupGT</v>
      </c>
      <c r="K597" s="4" t="n">
        <f aca="false">IFERROR(I597*60,"")</f>
        <v>74.748</v>
      </c>
    </row>
    <row r="598" customFormat="false" ht="15" hidden="false" customHeight="false" outlineLevel="0" collapsed="false">
      <c r="A598" s="4" t="s">
        <v>15</v>
      </c>
      <c r="B598" s="4" t="s">
        <v>56</v>
      </c>
      <c r="C598" s="4" t="s">
        <v>57</v>
      </c>
      <c r="D598" s="4" t="s">
        <v>190</v>
      </c>
      <c r="E598" s="4" t="s">
        <v>63</v>
      </c>
      <c r="F598" s="4" t="s">
        <v>63</v>
      </c>
      <c r="G598" s="4" t="s">
        <v>191</v>
      </c>
      <c r="H598" s="4"/>
      <c r="I598" s="4" t="n">
        <v>1.3633</v>
      </c>
      <c r="J598" s="4" t="str">
        <f aca="false">TRIM(E598) &amp; TRIM(C598) &amp; TRIM(D598)</f>
        <v>First ReviewBid Ad GroupPH</v>
      </c>
      <c r="K598" s="4" t="n">
        <f aca="false">IFERROR(I598*60,"")</f>
        <v>81.798</v>
      </c>
    </row>
    <row r="599" customFormat="false" ht="15" hidden="false" customHeight="false" outlineLevel="0" collapsed="false">
      <c r="A599" s="4" t="s">
        <v>15</v>
      </c>
      <c r="B599" s="4" t="s">
        <v>56</v>
      </c>
      <c r="C599" s="4" t="s">
        <v>119</v>
      </c>
      <c r="D599" s="4" t="s">
        <v>95</v>
      </c>
      <c r="E599" s="4" t="s">
        <v>63</v>
      </c>
      <c r="F599" s="4" t="s">
        <v>63</v>
      </c>
      <c r="G599" s="4" t="s">
        <v>610</v>
      </c>
      <c r="H599" s="4"/>
      <c r="I599" s="4" t="n">
        <v>2.5586</v>
      </c>
      <c r="J599" s="4" t="str">
        <f aca="false">TRIM(E599) &amp; TRIM(C599) &amp; TRIM(D599)</f>
        <v>First ReviewBid Pre ApprovalVN</v>
      </c>
      <c r="K599" s="4" t="n">
        <f aca="false">IFERROR(I599*60,"")</f>
        <v>153.516</v>
      </c>
    </row>
    <row r="600" customFormat="false" ht="15" hidden="false" customHeight="false" outlineLevel="0" collapsed="false">
      <c r="A600" s="4" t="s">
        <v>15</v>
      </c>
      <c r="B600" s="4" t="s">
        <v>56</v>
      </c>
      <c r="C600" s="4" t="s">
        <v>119</v>
      </c>
      <c r="D600" s="4" t="s">
        <v>213</v>
      </c>
      <c r="E600" s="4" t="s">
        <v>63</v>
      </c>
      <c r="F600" s="4" t="s">
        <v>63</v>
      </c>
      <c r="G600" s="4" t="s">
        <v>611</v>
      </c>
      <c r="H600" s="4"/>
      <c r="I600" s="4" t="n">
        <v>2.1794</v>
      </c>
      <c r="J600" s="4" t="str">
        <f aca="false">TRIM(E600) &amp; TRIM(C600) &amp; TRIM(D600)</f>
        <v>First ReviewBid Pre ApprovalFR</v>
      </c>
      <c r="K600" s="4" t="n">
        <f aca="false">IFERROR(I600*60,"")</f>
        <v>130.764</v>
      </c>
    </row>
    <row r="601" customFormat="false" ht="15" hidden="false" customHeight="false" outlineLevel="0" collapsed="false">
      <c r="A601" s="4" t="s">
        <v>15</v>
      </c>
      <c r="B601" s="4" t="s">
        <v>56</v>
      </c>
      <c r="C601" s="4" t="s">
        <v>72</v>
      </c>
      <c r="D601" s="4" t="s">
        <v>357</v>
      </c>
      <c r="E601" s="4" t="s">
        <v>63</v>
      </c>
      <c r="F601" s="4" t="s">
        <v>63</v>
      </c>
      <c r="G601" s="4" t="s">
        <v>612</v>
      </c>
      <c r="H601" s="4"/>
      <c r="I601" s="4" t="n">
        <v>0.3929</v>
      </c>
      <c r="J601" s="4" t="str">
        <f aca="false">TRIM(E601) &amp; TRIM(C601) &amp; TRIM(D601)</f>
        <v>First ReviewBid ImageHU</v>
      </c>
      <c r="K601" s="4" t="n">
        <f aca="false">IFERROR(I601*60,"")</f>
        <v>23.574</v>
      </c>
    </row>
    <row r="602" customFormat="false" ht="15" hidden="false" customHeight="false" outlineLevel="0" collapsed="false">
      <c r="A602" s="4" t="s">
        <v>15</v>
      </c>
      <c r="B602" s="4" t="s">
        <v>56</v>
      </c>
      <c r="C602" s="4" t="s">
        <v>57</v>
      </c>
      <c r="D602" s="4" t="s">
        <v>199</v>
      </c>
      <c r="E602" s="4" t="s">
        <v>66</v>
      </c>
      <c r="F602" s="4" t="s">
        <v>67</v>
      </c>
      <c r="G602" s="4" t="s">
        <v>613</v>
      </c>
      <c r="H602" s="4"/>
      <c r="I602" s="4" t="n">
        <v>2.3328</v>
      </c>
      <c r="J602" s="4" t="str">
        <f aca="false">TRIM(E602) &amp; TRIM(C602) &amp; TRIM(D602)</f>
        <v>Posted RecallBid Ad GroupBH</v>
      </c>
      <c r="K602" s="4" t="n">
        <f aca="false">IFERROR(I602*60,"")</f>
        <v>139.968</v>
      </c>
    </row>
    <row r="603" customFormat="false" ht="15" hidden="false" customHeight="false" outlineLevel="0" collapsed="false">
      <c r="A603" s="4" t="s">
        <v>15</v>
      </c>
      <c r="B603" s="4" t="s">
        <v>56</v>
      </c>
      <c r="C603" s="4" t="s">
        <v>57</v>
      </c>
      <c r="D603" s="4" t="s">
        <v>76</v>
      </c>
      <c r="E603" s="4" t="s">
        <v>63</v>
      </c>
      <c r="F603" s="4" t="s">
        <v>63</v>
      </c>
      <c r="G603" s="4" t="s">
        <v>614</v>
      </c>
      <c r="H603" s="4"/>
      <c r="I603" s="4" t="n">
        <v>3.255</v>
      </c>
      <c r="J603" s="4" t="str">
        <f aca="false">TRIM(E603) &amp; TRIM(C603) &amp; TRIM(D603)</f>
        <v>First ReviewBid Ad GroupLT</v>
      </c>
      <c r="K603" s="4" t="n">
        <f aca="false">IFERROR(I603*60,"")</f>
        <v>195.3</v>
      </c>
    </row>
    <row r="604" customFormat="false" ht="15" hidden="false" customHeight="false" outlineLevel="0" collapsed="false">
      <c r="A604" s="4" t="s">
        <v>15</v>
      </c>
      <c r="B604" s="4" t="s">
        <v>56</v>
      </c>
      <c r="C604" s="4" t="s">
        <v>75</v>
      </c>
      <c r="D604" s="4" t="s">
        <v>145</v>
      </c>
      <c r="E604" s="4" t="s">
        <v>66</v>
      </c>
      <c r="F604" s="4" t="s">
        <v>67</v>
      </c>
      <c r="G604" s="4" t="s">
        <v>615</v>
      </c>
      <c r="H604" s="4"/>
      <c r="I604" s="4" t="n">
        <v>2.5209</v>
      </c>
      <c r="J604" s="4" t="str">
        <f aca="false">TRIM(E604) &amp; TRIM(C604) &amp; TRIM(D604)</f>
        <v>Posted RecallBid Ecom Ads GroupRS</v>
      </c>
      <c r="K604" s="4" t="n">
        <f aca="false">IFERROR(I604*60,"")</f>
        <v>151.254</v>
      </c>
    </row>
    <row r="605" customFormat="false" ht="15" hidden="false" customHeight="false" outlineLevel="0" collapsed="false">
      <c r="A605" s="4" t="s">
        <v>15</v>
      </c>
      <c r="B605" s="4" t="s">
        <v>56</v>
      </c>
      <c r="C605" s="4" t="s">
        <v>81</v>
      </c>
      <c r="D605" s="4" t="s">
        <v>308</v>
      </c>
      <c r="E605" s="4" t="s">
        <v>63</v>
      </c>
      <c r="F605" s="4" t="s">
        <v>63</v>
      </c>
      <c r="G605" s="4" t="s">
        <v>616</v>
      </c>
      <c r="H605" s="4"/>
      <c r="I605" s="4" t="n">
        <v>0.5498</v>
      </c>
      <c r="J605" s="4" t="str">
        <f aca="false">TRIM(E605) &amp; TRIM(C605) &amp; TRIM(D605)</f>
        <v>First ReviewBid TextPL</v>
      </c>
      <c r="K605" s="4" t="n">
        <f aca="false">IFERROR(I605*60,"")</f>
        <v>32.988</v>
      </c>
    </row>
    <row r="606" customFormat="false" ht="15" hidden="false" customHeight="false" outlineLevel="0" collapsed="false">
      <c r="A606" s="4" t="s">
        <v>15</v>
      </c>
      <c r="B606" s="4" t="s">
        <v>56</v>
      </c>
      <c r="C606" s="4" t="s">
        <v>81</v>
      </c>
      <c r="D606" s="4" t="s">
        <v>104</v>
      </c>
      <c r="E606" s="4" t="s">
        <v>63</v>
      </c>
      <c r="F606" s="4" t="s">
        <v>63</v>
      </c>
      <c r="G606" s="4" t="s">
        <v>617</v>
      </c>
      <c r="H606" s="4"/>
      <c r="I606" s="4" t="n">
        <v>0.688</v>
      </c>
      <c r="J606" s="4" t="str">
        <f aca="false">TRIM(E606) &amp; TRIM(C606) &amp; TRIM(D606)</f>
        <v>First ReviewBid TextIE</v>
      </c>
      <c r="K606" s="4" t="n">
        <f aca="false">IFERROR(I606*60,"")</f>
        <v>41.28</v>
      </c>
    </row>
    <row r="607" customFormat="false" ht="15" hidden="false" customHeight="false" outlineLevel="0" collapsed="false">
      <c r="A607" s="4" t="s">
        <v>15</v>
      </c>
      <c r="B607" s="4" t="s">
        <v>56</v>
      </c>
      <c r="C607" s="4" t="s">
        <v>57</v>
      </c>
      <c r="D607" s="4" t="s">
        <v>265</v>
      </c>
      <c r="E607" s="4" t="s">
        <v>66</v>
      </c>
      <c r="F607" s="4" t="s">
        <v>67</v>
      </c>
      <c r="G607" s="4" t="s">
        <v>418</v>
      </c>
      <c r="H607" s="4"/>
      <c r="I607" s="4" t="n">
        <v>1.4492</v>
      </c>
      <c r="J607" s="4" t="str">
        <f aca="false">TRIM(E607) &amp; TRIM(C607) &amp; TRIM(D607)</f>
        <v>Posted RecallBid Ad GroupNO</v>
      </c>
      <c r="K607" s="4" t="n">
        <f aca="false">IFERROR(I607*60,"")</f>
        <v>86.952</v>
      </c>
    </row>
    <row r="608" customFormat="false" ht="15" hidden="false" customHeight="false" outlineLevel="0" collapsed="false">
      <c r="A608" s="4" t="s">
        <v>15</v>
      </c>
      <c r="B608" s="4" t="s">
        <v>56</v>
      </c>
      <c r="C608" s="4" t="s">
        <v>72</v>
      </c>
      <c r="D608" s="4" t="s">
        <v>95</v>
      </c>
      <c r="E608" s="4" t="s">
        <v>63</v>
      </c>
      <c r="F608" s="4" t="s">
        <v>63</v>
      </c>
      <c r="G608" s="4" t="s">
        <v>618</v>
      </c>
      <c r="H608" s="4"/>
      <c r="I608" s="4" t="n">
        <v>0.4299</v>
      </c>
      <c r="J608" s="4" t="str">
        <f aca="false">TRIM(E608) &amp; TRIM(C608) &amp; TRIM(D608)</f>
        <v>First ReviewBid ImageVN</v>
      </c>
      <c r="K608" s="4" t="n">
        <f aca="false">IFERROR(I608*60,"")</f>
        <v>25.794</v>
      </c>
    </row>
    <row r="609" customFormat="false" ht="15" hidden="false" customHeight="false" outlineLevel="0" collapsed="false">
      <c r="A609" s="4" t="s">
        <v>15</v>
      </c>
      <c r="B609" s="4" t="s">
        <v>56</v>
      </c>
      <c r="C609" s="4" t="s">
        <v>75</v>
      </c>
      <c r="D609" s="4" t="s">
        <v>306</v>
      </c>
      <c r="E609" s="4" t="s">
        <v>66</v>
      </c>
      <c r="F609" s="4" t="s">
        <v>67</v>
      </c>
      <c r="G609" s="4" t="s">
        <v>434</v>
      </c>
      <c r="H609" s="4"/>
      <c r="I609" s="4" t="n">
        <v>0.8361</v>
      </c>
      <c r="J609" s="4" t="str">
        <f aca="false">TRIM(E609) &amp; TRIM(C609) &amp; TRIM(D609)</f>
        <v>Posted RecallBid Ecom Ads GroupTH</v>
      </c>
      <c r="K609" s="4" t="n">
        <f aca="false">IFERROR(I609*60,"")</f>
        <v>50.166</v>
      </c>
    </row>
    <row r="610" customFormat="false" ht="15" hidden="false" customHeight="false" outlineLevel="0" collapsed="false">
      <c r="A610" s="4" t="s">
        <v>15</v>
      </c>
      <c r="B610" s="4" t="s">
        <v>56</v>
      </c>
      <c r="C610" s="4" t="s">
        <v>61</v>
      </c>
      <c r="D610" s="4" t="s">
        <v>58</v>
      </c>
      <c r="E610" s="4" t="s">
        <v>63</v>
      </c>
      <c r="F610" s="4" t="s">
        <v>63</v>
      </c>
      <c r="G610" s="4" t="s">
        <v>619</v>
      </c>
      <c r="H610" s="4"/>
      <c r="I610" s="4" t="n">
        <v>1.0508</v>
      </c>
      <c r="J610" s="4" t="str">
        <f aca="false">TRIM(E610) &amp; TRIM(C610) &amp; TRIM(D610)</f>
        <v>First ReviewBid Ecom URLSG</v>
      </c>
      <c r="K610" s="4" t="n">
        <f aca="false">IFERROR(I610*60,"")</f>
        <v>63.048</v>
      </c>
    </row>
    <row r="611" customFormat="false" ht="15" hidden="false" customHeight="false" outlineLevel="0" collapsed="false">
      <c r="A611" s="4" t="s">
        <v>15</v>
      </c>
      <c r="B611" s="4" t="s">
        <v>56</v>
      </c>
      <c r="C611" s="4" t="s">
        <v>72</v>
      </c>
      <c r="D611" s="4" t="s">
        <v>87</v>
      </c>
      <c r="E611" s="4" t="s">
        <v>63</v>
      </c>
      <c r="F611" s="4" t="s">
        <v>63</v>
      </c>
      <c r="G611" s="4" t="s">
        <v>620</v>
      </c>
      <c r="H611" s="4"/>
      <c r="I611" s="4" t="n">
        <v>0.5243</v>
      </c>
      <c r="J611" s="4" t="str">
        <f aca="false">TRIM(E611) &amp; TRIM(C611) &amp; TRIM(D611)</f>
        <v>First ReviewBid ImageAE</v>
      </c>
      <c r="K611" s="4" t="n">
        <f aca="false">IFERROR(I611*60,"")</f>
        <v>31.458</v>
      </c>
    </row>
    <row r="612" customFormat="false" ht="15" hidden="false" customHeight="false" outlineLevel="0" collapsed="false">
      <c r="A612" s="4" t="s">
        <v>15</v>
      </c>
      <c r="B612" s="4" t="s">
        <v>56</v>
      </c>
      <c r="C612" s="4" t="s">
        <v>93</v>
      </c>
      <c r="D612" s="4" t="s">
        <v>117</v>
      </c>
      <c r="E612" s="4" t="s">
        <v>63</v>
      </c>
      <c r="F612" s="4" t="s">
        <v>63</v>
      </c>
      <c r="G612" s="4" t="s">
        <v>621</v>
      </c>
      <c r="H612" s="4"/>
      <c r="I612" s="4" t="n">
        <v>0.401</v>
      </c>
      <c r="J612" s="4" t="str">
        <f aca="false">TRIM(E612) &amp; TRIM(C612) &amp; TRIM(D612)</f>
        <v>First ReviewBid AudioAR</v>
      </c>
      <c r="K612" s="4" t="n">
        <f aca="false">IFERROR(I612*60,"")</f>
        <v>24.06</v>
      </c>
    </row>
    <row r="613" customFormat="false" ht="15" hidden="false" customHeight="false" outlineLevel="0" collapsed="false">
      <c r="A613" s="4" t="s">
        <v>15</v>
      </c>
      <c r="B613" s="4" t="s">
        <v>56</v>
      </c>
      <c r="C613" s="4" t="s">
        <v>57</v>
      </c>
      <c r="D613" s="4" t="s">
        <v>97</v>
      </c>
      <c r="E613" s="4" t="s">
        <v>63</v>
      </c>
      <c r="F613" s="4" t="s">
        <v>63</v>
      </c>
      <c r="G613" s="4" t="s">
        <v>432</v>
      </c>
      <c r="H613" s="4"/>
      <c r="I613" s="4" t="n">
        <v>1.4927</v>
      </c>
      <c r="J613" s="4" t="str">
        <f aca="false">TRIM(E613) &amp; TRIM(C613) &amp; TRIM(D613)</f>
        <v>First ReviewBid Ad GroupBR</v>
      </c>
      <c r="K613" s="4" t="n">
        <f aca="false">IFERROR(I613*60,"")</f>
        <v>89.562</v>
      </c>
    </row>
    <row r="614" customFormat="false" ht="15" hidden="false" customHeight="false" outlineLevel="0" collapsed="false">
      <c r="A614" s="4" t="s">
        <v>15</v>
      </c>
      <c r="B614" s="4" t="s">
        <v>56</v>
      </c>
      <c r="C614" s="4" t="s">
        <v>75</v>
      </c>
      <c r="D614" s="4" t="s">
        <v>150</v>
      </c>
      <c r="E614" s="4" t="s">
        <v>59</v>
      </c>
      <c r="F614" s="4" t="s">
        <v>59</v>
      </c>
      <c r="G614" s="4" t="s">
        <v>545</v>
      </c>
      <c r="H614" s="4"/>
      <c r="I614" s="4" t="n">
        <v>6.5164</v>
      </c>
      <c r="J614" s="4" t="str">
        <f aca="false">TRIM(E614) &amp; TRIM(C614) &amp; TRIM(D614)</f>
        <v>Re-reviewBid Ecom Ads GroupDE</v>
      </c>
      <c r="K614" s="4" t="n">
        <f aca="false">IFERROR(I614*60,"")</f>
        <v>390.984</v>
      </c>
    </row>
    <row r="615" customFormat="false" ht="15" hidden="false" customHeight="false" outlineLevel="0" collapsed="false">
      <c r="A615" s="4" t="s">
        <v>15</v>
      </c>
      <c r="B615" s="4" t="s">
        <v>56</v>
      </c>
      <c r="C615" s="4" t="s">
        <v>69</v>
      </c>
      <c r="D615" s="4" t="s">
        <v>271</v>
      </c>
      <c r="E615" s="4" t="s">
        <v>63</v>
      </c>
      <c r="F615" s="4" t="s">
        <v>63</v>
      </c>
      <c r="G615" s="4" t="s">
        <v>622</v>
      </c>
      <c r="H615" s="4"/>
      <c r="I615" s="4" t="n">
        <v>0.6054</v>
      </c>
      <c r="J615" s="4" t="str">
        <f aca="false">TRIM(E615) &amp; TRIM(C615) &amp; TRIM(D615)</f>
        <v>First ReviewBid LinkKW</v>
      </c>
      <c r="K615" s="4" t="n">
        <f aca="false">IFERROR(I615*60,"")</f>
        <v>36.324</v>
      </c>
    </row>
    <row r="616" customFormat="false" ht="15" hidden="false" customHeight="false" outlineLevel="0" collapsed="false">
      <c r="A616" s="4" t="s">
        <v>15</v>
      </c>
      <c r="B616" s="4" t="s">
        <v>56</v>
      </c>
      <c r="C616" s="4" t="s">
        <v>61</v>
      </c>
      <c r="D616" s="4" t="s">
        <v>238</v>
      </c>
      <c r="E616" s="4" t="s">
        <v>63</v>
      </c>
      <c r="F616" s="4" t="s">
        <v>63</v>
      </c>
      <c r="G616" s="4" t="s">
        <v>623</v>
      </c>
      <c r="H616" s="4"/>
      <c r="I616" s="4" t="n">
        <v>1.6693</v>
      </c>
      <c r="J616" s="4" t="str">
        <f aca="false">TRIM(E616) &amp; TRIM(C616) &amp; TRIM(D616)</f>
        <v>First ReviewBid Ecom URLCH</v>
      </c>
      <c r="K616" s="4" t="n">
        <f aca="false">IFERROR(I616*60,"")</f>
        <v>100.158</v>
      </c>
    </row>
    <row r="617" customFormat="false" ht="15" hidden="false" customHeight="false" outlineLevel="0" collapsed="false">
      <c r="A617" s="4" t="s">
        <v>15</v>
      </c>
      <c r="B617" s="4" t="s">
        <v>56</v>
      </c>
      <c r="C617" s="4" t="s">
        <v>78</v>
      </c>
      <c r="D617" s="4" t="s">
        <v>157</v>
      </c>
      <c r="E617" s="4" t="s">
        <v>63</v>
      </c>
      <c r="F617" s="4" t="s">
        <v>63</v>
      </c>
      <c r="G617" s="4" t="s">
        <v>624</v>
      </c>
      <c r="H617" s="4"/>
      <c r="I617" s="4" t="n">
        <v>0.6728</v>
      </c>
      <c r="J617" s="4" t="str">
        <f aca="false">TRIM(E617) &amp; TRIM(C617) &amp; TRIM(D617)</f>
        <v>First ReviewBid VideoSA</v>
      </c>
      <c r="K617" s="4" t="n">
        <f aca="false">IFERROR(I617*60,"")</f>
        <v>40.368</v>
      </c>
    </row>
    <row r="618" customFormat="false" ht="15" hidden="false" customHeight="false" outlineLevel="0" collapsed="false">
      <c r="A618" s="4" t="s">
        <v>15</v>
      </c>
      <c r="B618" s="4" t="s">
        <v>56</v>
      </c>
      <c r="C618" s="4" t="s">
        <v>72</v>
      </c>
      <c r="D618" s="4" t="s">
        <v>275</v>
      </c>
      <c r="E618" s="4" t="s">
        <v>63</v>
      </c>
      <c r="F618" s="4" t="s">
        <v>63</v>
      </c>
      <c r="G618" s="4" t="s">
        <v>625</v>
      </c>
      <c r="H618" s="4"/>
      <c r="I618" s="4" t="n">
        <v>0.3903</v>
      </c>
      <c r="J618" s="4" t="str">
        <f aca="false">TRIM(E618) &amp; TRIM(C618) &amp; TRIM(D618)</f>
        <v>First ReviewBid ImageGB</v>
      </c>
      <c r="K618" s="4" t="n">
        <f aca="false">IFERROR(I618*60,"")</f>
        <v>23.418</v>
      </c>
    </row>
    <row r="619" customFormat="false" ht="15" hidden="false" customHeight="false" outlineLevel="0" collapsed="false">
      <c r="A619" s="4" t="s">
        <v>15</v>
      </c>
      <c r="B619" s="4" t="s">
        <v>56</v>
      </c>
      <c r="C619" s="4" t="s">
        <v>72</v>
      </c>
      <c r="D619" s="4" t="s">
        <v>168</v>
      </c>
      <c r="E619" s="4" t="s">
        <v>63</v>
      </c>
      <c r="F619" s="4" t="s">
        <v>63</v>
      </c>
      <c r="G619" s="4" t="s">
        <v>626</v>
      </c>
      <c r="H619" s="4"/>
      <c r="I619" s="4" t="n">
        <v>0.5223</v>
      </c>
      <c r="J619" s="4" t="str">
        <f aca="false">TRIM(E619) &amp; TRIM(C619) &amp; TRIM(D619)</f>
        <v>First ReviewBid ImageKZ</v>
      </c>
      <c r="K619" s="4" t="n">
        <f aca="false">IFERROR(I619*60,"")</f>
        <v>31.338</v>
      </c>
    </row>
    <row r="620" customFormat="false" ht="15" hidden="false" customHeight="false" outlineLevel="0" collapsed="false">
      <c r="A620" s="4" t="s">
        <v>15</v>
      </c>
      <c r="B620" s="4" t="s">
        <v>56</v>
      </c>
      <c r="C620" s="4" t="s">
        <v>75</v>
      </c>
      <c r="D620" s="4" t="s">
        <v>267</v>
      </c>
      <c r="E620" s="4" t="s">
        <v>63</v>
      </c>
      <c r="F620" s="4" t="s">
        <v>63</v>
      </c>
      <c r="G620" s="4" t="s">
        <v>339</v>
      </c>
      <c r="H620" s="4"/>
      <c r="I620" s="4" t="n">
        <v>2.588</v>
      </c>
      <c r="J620" s="4" t="str">
        <f aca="false">TRIM(E620) &amp; TRIM(C620) &amp; TRIM(D620)</f>
        <v>First ReviewBid Ecom Ads GroupID</v>
      </c>
      <c r="K620" s="4" t="n">
        <f aca="false">IFERROR(I620*60,"")</f>
        <v>155.28</v>
      </c>
    </row>
    <row r="621" customFormat="false" ht="15" hidden="false" customHeight="false" outlineLevel="0" collapsed="false">
      <c r="A621" s="4" t="s">
        <v>15</v>
      </c>
      <c r="B621" s="4" t="s">
        <v>56</v>
      </c>
      <c r="C621" s="4" t="s">
        <v>75</v>
      </c>
      <c r="D621" s="4" t="s">
        <v>221</v>
      </c>
      <c r="E621" s="4" t="s">
        <v>59</v>
      </c>
      <c r="F621" s="4" t="s">
        <v>59</v>
      </c>
      <c r="G621" s="4" t="s">
        <v>627</v>
      </c>
      <c r="H621" s="4"/>
      <c r="I621" s="4" t="n">
        <v>10.6614</v>
      </c>
      <c r="J621" s="4" t="str">
        <f aca="false">TRIM(E621) &amp; TRIM(C621) &amp; TRIM(D621)</f>
        <v>Re-reviewBid Ecom Ads GroupOM</v>
      </c>
      <c r="K621" s="4" t="n">
        <f aca="false">IFERROR(I621*60,"")</f>
        <v>639.684</v>
      </c>
    </row>
    <row r="622" customFormat="false" ht="15" hidden="false" customHeight="false" outlineLevel="0" collapsed="false">
      <c r="A622" s="4" t="s">
        <v>15</v>
      </c>
      <c r="B622" s="4" t="s">
        <v>56</v>
      </c>
      <c r="C622" s="4" t="s">
        <v>78</v>
      </c>
      <c r="D622" s="4" t="s">
        <v>62</v>
      </c>
      <c r="E622" s="4" t="s">
        <v>63</v>
      </c>
      <c r="F622" s="4" t="s">
        <v>63</v>
      </c>
      <c r="G622" s="4" t="s">
        <v>628</v>
      </c>
      <c r="H622" s="4"/>
      <c r="I622" s="4" t="n">
        <v>1.1601</v>
      </c>
      <c r="J622" s="4" t="str">
        <f aca="false">TRIM(E622) &amp; TRIM(C622) &amp; TRIM(D622)</f>
        <v>First ReviewBid VideoCL</v>
      </c>
      <c r="K622" s="4" t="n">
        <f aca="false">IFERROR(I622*60,"")</f>
        <v>69.606</v>
      </c>
    </row>
    <row r="623" customFormat="false" ht="15" hidden="false" customHeight="false" outlineLevel="0" collapsed="false">
      <c r="A623" s="4" t="s">
        <v>15</v>
      </c>
      <c r="B623" s="4" t="s">
        <v>56</v>
      </c>
      <c r="C623" s="4" t="s">
        <v>84</v>
      </c>
      <c r="D623" s="4" t="s">
        <v>190</v>
      </c>
      <c r="E623" s="4" t="s">
        <v>63</v>
      </c>
      <c r="F623" s="4" t="s">
        <v>63</v>
      </c>
      <c r="G623" s="4" t="s">
        <v>629</v>
      </c>
      <c r="H623" s="4"/>
      <c r="I623" s="4" t="n">
        <v>0.7097</v>
      </c>
      <c r="J623" s="4" t="str">
        <f aca="false">TRIM(E623) &amp; TRIM(C623) &amp; TRIM(D623)</f>
        <v>First ReviewBid Ecom VideoPH</v>
      </c>
      <c r="K623" s="4" t="n">
        <f aca="false">IFERROR(I623*60,"")</f>
        <v>42.582</v>
      </c>
    </row>
    <row r="624" customFormat="false" ht="15" hidden="false" customHeight="false" outlineLevel="0" collapsed="false">
      <c r="A624" s="4" t="s">
        <v>15</v>
      </c>
      <c r="B624" s="4" t="s">
        <v>56</v>
      </c>
      <c r="C624" s="4" t="s">
        <v>75</v>
      </c>
      <c r="D624" s="4" t="s">
        <v>199</v>
      </c>
      <c r="E624" s="4" t="s">
        <v>66</v>
      </c>
      <c r="F624" s="4" t="s">
        <v>67</v>
      </c>
      <c r="G624" s="4" t="s">
        <v>597</v>
      </c>
      <c r="H624" s="4"/>
      <c r="I624" s="4" t="n">
        <v>3.3237</v>
      </c>
      <c r="J624" s="4" t="str">
        <f aca="false">TRIM(E624) &amp; TRIM(C624) &amp; TRIM(D624)</f>
        <v>Posted RecallBid Ecom Ads GroupBH</v>
      </c>
      <c r="K624" s="4" t="n">
        <f aca="false">IFERROR(I624*60,"")</f>
        <v>199.422</v>
      </c>
    </row>
    <row r="625" customFormat="false" ht="15" hidden="false" customHeight="false" outlineLevel="0" collapsed="false">
      <c r="A625" s="4" t="s">
        <v>15</v>
      </c>
      <c r="B625" s="4" t="s">
        <v>56</v>
      </c>
      <c r="C625" s="4" t="s">
        <v>69</v>
      </c>
      <c r="D625" s="4" t="s">
        <v>171</v>
      </c>
      <c r="E625" s="4" t="s">
        <v>63</v>
      </c>
      <c r="F625" s="4" t="s">
        <v>63</v>
      </c>
      <c r="G625" s="4" t="s">
        <v>630</v>
      </c>
      <c r="H625" s="4"/>
      <c r="I625" s="4" t="n">
        <v>3.6981</v>
      </c>
      <c r="J625" s="4" t="str">
        <f aca="false">TRIM(E625) &amp; TRIM(C625) &amp; TRIM(D625)</f>
        <v>First ReviewBid LinkKE</v>
      </c>
      <c r="K625" s="4" t="n">
        <f aca="false">IFERROR(I625*60,"")</f>
        <v>221.886</v>
      </c>
    </row>
    <row r="626" customFormat="false" ht="15" hidden="false" customHeight="false" outlineLevel="0" collapsed="false">
      <c r="A626" s="4" t="s">
        <v>15</v>
      </c>
      <c r="B626" s="4" t="s">
        <v>56</v>
      </c>
      <c r="C626" s="4" t="s">
        <v>81</v>
      </c>
      <c r="D626" s="4" t="s">
        <v>203</v>
      </c>
      <c r="E626" s="4" t="s">
        <v>63</v>
      </c>
      <c r="F626" s="4" t="s">
        <v>63</v>
      </c>
      <c r="G626" s="4" t="s">
        <v>631</v>
      </c>
      <c r="H626" s="4"/>
      <c r="I626" s="4" t="n">
        <v>0.3684</v>
      </c>
      <c r="J626" s="4" t="str">
        <f aca="false">TRIM(E626) &amp; TRIM(C626) &amp; TRIM(D626)</f>
        <v>First ReviewBid TextCA</v>
      </c>
      <c r="K626" s="4" t="n">
        <f aca="false">IFERROR(I626*60,"")</f>
        <v>22.104</v>
      </c>
    </row>
    <row r="627" customFormat="false" ht="15" hidden="false" customHeight="false" outlineLevel="0" collapsed="false">
      <c r="A627" s="4" t="s">
        <v>15</v>
      </c>
      <c r="B627" s="4" t="s">
        <v>56</v>
      </c>
      <c r="C627" s="4" t="s">
        <v>69</v>
      </c>
      <c r="D627" s="4" t="s">
        <v>85</v>
      </c>
      <c r="E627" s="4" t="s">
        <v>63</v>
      </c>
      <c r="F627" s="4" t="s">
        <v>63</v>
      </c>
      <c r="G627" s="4" t="s">
        <v>632</v>
      </c>
      <c r="H627" s="4"/>
      <c r="I627" s="4" t="n">
        <v>0.8855</v>
      </c>
      <c r="J627" s="4" t="str">
        <f aca="false">TRIM(E627) &amp; TRIM(C627) &amp; TRIM(D627)</f>
        <v>First ReviewBid LinkEC</v>
      </c>
      <c r="K627" s="4" t="n">
        <f aca="false">IFERROR(I627*60,"")</f>
        <v>53.13</v>
      </c>
    </row>
    <row r="628" customFormat="false" ht="15" hidden="false" customHeight="false" outlineLevel="0" collapsed="false">
      <c r="A628" s="4" t="s">
        <v>15</v>
      </c>
      <c r="B628" s="4" t="s">
        <v>56</v>
      </c>
      <c r="C628" s="4" t="s">
        <v>75</v>
      </c>
      <c r="D628" s="4" t="s">
        <v>308</v>
      </c>
      <c r="E628" s="4" t="s">
        <v>59</v>
      </c>
      <c r="F628" s="4" t="s">
        <v>59</v>
      </c>
      <c r="G628" s="4" t="s">
        <v>633</v>
      </c>
      <c r="H628" s="4"/>
      <c r="I628" s="4" t="n">
        <v>5.3815</v>
      </c>
      <c r="J628" s="4" t="str">
        <f aca="false">TRIM(E628) &amp; TRIM(C628) &amp; TRIM(D628)</f>
        <v>Re-reviewBid Ecom Ads GroupPL</v>
      </c>
      <c r="K628" s="4" t="n">
        <f aca="false">IFERROR(I628*60,"")</f>
        <v>322.89</v>
      </c>
    </row>
    <row r="629" customFormat="false" ht="15" hidden="false" customHeight="false" outlineLevel="0" collapsed="false">
      <c r="A629" s="4" t="s">
        <v>15</v>
      </c>
      <c r="B629" s="4" t="s">
        <v>56</v>
      </c>
      <c r="C629" s="4" t="s">
        <v>72</v>
      </c>
      <c r="D629" s="4" t="s">
        <v>192</v>
      </c>
      <c r="E629" s="4" t="s">
        <v>63</v>
      </c>
      <c r="F629" s="4" t="s">
        <v>63</v>
      </c>
      <c r="G629" s="4" t="s">
        <v>634</v>
      </c>
      <c r="H629" s="4"/>
      <c r="I629" s="4" t="n">
        <v>0.4162</v>
      </c>
      <c r="J629" s="4" t="str">
        <f aca="false">TRIM(E629) &amp; TRIM(C629) &amp; TRIM(D629)</f>
        <v>First ReviewBid ImageGT</v>
      </c>
      <c r="K629" s="4" t="n">
        <f aca="false">IFERROR(I629*60,"")</f>
        <v>24.972</v>
      </c>
    </row>
    <row r="630" customFormat="false" ht="15" hidden="false" customHeight="false" outlineLevel="0" collapsed="false">
      <c r="A630" s="4" t="s">
        <v>15</v>
      </c>
      <c r="B630" s="4" t="s">
        <v>56</v>
      </c>
      <c r="C630" s="4" t="s">
        <v>81</v>
      </c>
      <c r="D630" s="4" t="s">
        <v>199</v>
      </c>
      <c r="E630" s="4" t="s">
        <v>63</v>
      </c>
      <c r="F630" s="4" t="s">
        <v>63</v>
      </c>
      <c r="G630" s="4" t="s">
        <v>635</v>
      </c>
      <c r="H630" s="4"/>
      <c r="I630" s="4" t="n">
        <v>0.2224</v>
      </c>
      <c r="J630" s="4" t="str">
        <f aca="false">TRIM(E630) &amp; TRIM(C630) &amp; TRIM(D630)</f>
        <v>First ReviewBid TextBH</v>
      </c>
      <c r="K630" s="4" t="n">
        <f aca="false">IFERROR(I630*60,"")</f>
        <v>13.344</v>
      </c>
    </row>
    <row r="631" customFormat="false" ht="15" hidden="false" customHeight="false" outlineLevel="0" collapsed="false">
      <c r="A631" s="4" t="s">
        <v>15</v>
      </c>
      <c r="B631" s="4" t="s">
        <v>56</v>
      </c>
      <c r="C631" s="4" t="s">
        <v>84</v>
      </c>
      <c r="D631" s="4" t="s">
        <v>134</v>
      </c>
      <c r="E631" s="4" t="s">
        <v>63</v>
      </c>
      <c r="F631" s="4" t="s">
        <v>63</v>
      </c>
      <c r="G631" s="4" t="s">
        <v>636</v>
      </c>
      <c r="H631" s="4"/>
      <c r="I631" s="4" t="n">
        <v>2.6385</v>
      </c>
      <c r="J631" s="4" t="str">
        <f aca="false">TRIM(E631) &amp; TRIM(C631) &amp; TRIM(D631)</f>
        <v>First ReviewBid Ecom VideoPR</v>
      </c>
      <c r="K631" s="4" t="n">
        <f aca="false">IFERROR(I631*60,"")</f>
        <v>158.31</v>
      </c>
    </row>
    <row r="632" customFormat="false" ht="15" hidden="false" customHeight="false" outlineLevel="0" collapsed="false">
      <c r="A632" s="4" t="s">
        <v>15</v>
      </c>
      <c r="B632" s="4" t="s">
        <v>56</v>
      </c>
      <c r="C632" s="4" t="s">
        <v>93</v>
      </c>
      <c r="D632" s="4" t="s">
        <v>210</v>
      </c>
      <c r="E632" s="4" t="s">
        <v>63</v>
      </c>
      <c r="F632" s="4" t="s">
        <v>63</v>
      </c>
      <c r="G632" s="4" t="s">
        <v>637</v>
      </c>
      <c r="H632" s="4"/>
      <c r="I632" s="4" t="n">
        <v>0.5441</v>
      </c>
      <c r="J632" s="4" t="str">
        <f aca="false">TRIM(E632) &amp; TRIM(C632) &amp; TRIM(D632)</f>
        <v>First ReviewBid AudioPK</v>
      </c>
      <c r="K632" s="4" t="n">
        <f aca="false">IFERROR(I632*60,"")</f>
        <v>32.646</v>
      </c>
    </row>
    <row r="633" customFormat="false" ht="15" hidden="false" customHeight="false" outlineLevel="0" collapsed="false">
      <c r="A633" s="4" t="s">
        <v>15</v>
      </c>
      <c r="B633" s="4" t="s">
        <v>56</v>
      </c>
      <c r="C633" s="4" t="s">
        <v>69</v>
      </c>
      <c r="D633" s="4" t="s">
        <v>102</v>
      </c>
      <c r="E633" s="4" t="s">
        <v>63</v>
      </c>
      <c r="F633" s="4" t="s">
        <v>63</v>
      </c>
      <c r="G633" s="4" t="s">
        <v>638</v>
      </c>
      <c r="H633" s="4"/>
      <c r="I633" s="4" t="n">
        <v>1.17</v>
      </c>
      <c r="J633" s="4" t="str">
        <f aca="false">TRIM(E633) &amp; TRIM(C633) &amp; TRIM(D633)</f>
        <v>First ReviewBid LinkSE</v>
      </c>
      <c r="K633" s="4" t="n">
        <f aca="false">IFERROR(I633*60,"")</f>
        <v>70.2</v>
      </c>
    </row>
    <row r="634" customFormat="false" ht="15" hidden="false" customHeight="false" outlineLevel="0" collapsed="false">
      <c r="A634" s="4" t="s">
        <v>15</v>
      </c>
      <c r="B634" s="4" t="s">
        <v>56</v>
      </c>
      <c r="C634" s="4" t="s">
        <v>61</v>
      </c>
      <c r="D634" s="4" t="s">
        <v>246</v>
      </c>
      <c r="E634" s="4" t="s">
        <v>63</v>
      </c>
      <c r="F634" s="4" t="s">
        <v>63</v>
      </c>
      <c r="G634" s="4" t="s">
        <v>639</v>
      </c>
      <c r="H634" s="4"/>
      <c r="I634" s="4" t="n">
        <v>3.8976</v>
      </c>
      <c r="J634" s="4" t="str">
        <f aca="false">TRIM(E634) &amp; TRIM(C634) &amp; TRIM(D634)</f>
        <v>First ReviewBid Ecom URLLV</v>
      </c>
      <c r="K634" s="4" t="n">
        <f aca="false">IFERROR(I634*60,"")</f>
        <v>233.856</v>
      </c>
    </row>
    <row r="635" customFormat="false" ht="15" hidden="false" customHeight="false" outlineLevel="0" collapsed="false">
      <c r="A635" s="4" t="s">
        <v>15</v>
      </c>
      <c r="B635" s="4" t="s">
        <v>56</v>
      </c>
      <c r="C635" s="4" t="s">
        <v>78</v>
      </c>
      <c r="D635" s="4" t="s">
        <v>97</v>
      </c>
      <c r="E635" s="4" t="s">
        <v>63</v>
      </c>
      <c r="F635" s="4" t="s">
        <v>63</v>
      </c>
      <c r="G635" s="4" t="s">
        <v>640</v>
      </c>
      <c r="H635" s="4"/>
      <c r="I635" s="4" t="n">
        <v>0.9241</v>
      </c>
      <c r="J635" s="4" t="str">
        <f aca="false">TRIM(E635) &amp; TRIM(C635) &amp; TRIM(D635)</f>
        <v>First ReviewBid VideoBR</v>
      </c>
      <c r="K635" s="4" t="n">
        <f aca="false">IFERROR(I635*60,"")</f>
        <v>55.446</v>
      </c>
    </row>
    <row r="636" customFormat="false" ht="15" hidden="false" customHeight="false" outlineLevel="0" collapsed="false">
      <c r="A636" s="4" t="s">
        <v>15</v>
      </c>
      <c r="B636" s="4" t="s">
        <v>56</v>
      </c>
      <c r="C636" s="4" t="s">
        <v>84</v>
      </c>
      <c r="D636" s="4" t="s">
        <v>192</v>
      </c>
      <c r="E636" s="4" t="s">
        <v>63</v>
      </c>
      <c r="F636" s="4" t="s">
        <v>63</v>
      </c>
      <c r="G636" s="4" t="s">
        <v>641</v>
      </c>
      <c r="H636" s="4"/>
      <c r="I636" s="4" t="n">
        <v>1.1617</v>
      </c>
      <c r="J636" s="4" t="str">
        <f aca="false">TRIM(E636) &amp; TRIM(C636) &amp; TRIM(D636)</f>
        <v>First ReviewBid Ecom VideoGT</v>
      </c>
      <c r="K636" s="4" t="n">
        <f aca="false">IFERROR(I636*60,"")</f>
        <v>69.702</v>
      </c>
    </row>
    <row r="637" customFormat="false" ht="15" hidden="false" customHeight="false" outlineLevel="0" collapsed="false">
      <c r="A637" s="4" t="s">
        <v>15</v>
      </c>
      <c r="B637" s="4" t="s">
        <v>56</v>
      </c>
      <c r="C637" s="4" t="s">
        <v>78</v>
      </c>
      <c r="D637" s="4" t="s">
        <v>216</v>
      </c>
      <c r="E637" s="4" t="s">
        <v>63</v>
      </c>
      <c r="F637" s="4" t="s">
        <v>63</v>
      </c>
      <c r="G637" s="4" t="s">
        <v>642</v>
      </c>
      <c r="H637" s="4"/>
      <c r="I637" s="4" t="n">
        <v>1.1124</v>
      </c>
      <c r="J637" s="4" t="str">
        <f aca="false">TRIM(E637) &amp; TRIM(C637) &amp; TRIM(D637)</f>
        <v>First ReviewBid VideoPY</v>
      </c>
      <c r="K637" s="4" t="n">
        <f aca="false">IFERROR(I637*60,"")</f>
        <v>66.744</v>
      </c>
    </row>
    <row r="638" customFormat="false" ht="15" hidden="false" customHeight="false" outlineLevel="0" collapsed="false">
      <c r="A638" s="4" t="s">
        <v>15</v>
      </c>
      <c r="B638" s="4" t="s">
        <v>56</v>
      </c>
      <c r="C638" s="4" t="s">
        <v>75</v>
      </c>
      <c r="D638" s="4" t="s">
        <v>255</v>
      </c>
      <c r="E638" s="4" t="s">
        <v>59</v>
      </c>
      <c r="F638" s="4" t="s">
        <v>59</v>
      </c>
      <c r="G638" s="4" t="s">
        <v>303</v>
      </c>
      <c r="H638" s="4"/>
      <c r="I638" s="4" t="n">
        <v>3.6452</v>
      </c>
      <c r="J638" s="4" t="str">
        <f aca="false">TRIM(E638) &amp; TRIM(C638) &amp; TRIM(D638)</f>
        <v>Re-reviewBid Ecom Ads GroupNZ</v>
      </c>
      <c r="K638" s="4" t="n">
        <f aca="false">IFERROR(I638*60,"")</f>
        <v>218.712</v>
      </c>
    </row>
    <row r="639" customFormat="false" ht="15" hidden="false" customHeight="false" outlineLevel="0" collapsed="false">
      <c r="A639" s="4" t="s">
        <v>15</v>
      </c>
      <c r="B639" s="4" t="s">
        <v>56</v>
      </c>
      <c r="C639" s="4" t="s">
        <v>78</v>
      </c>
      <c r="D639" s="4" t="s">
        <v>185</v>
      </c>
      <c r="E639" s="4" t="s">
        <v>63</v>
      </c>
      <c r="F639" s="4" t="s">
        <v>63</v>
      </c>
      <c r="G639" s="4" t="s">
        <v>643</v>
      </c>
      <c r="H639" s="4"/>
      <c r="I639" s="4" t="n">
        <v>1.621</v>
      </c>
      <c r="J639" s="4" t="str">
        <f aca="false">TRIM(E639) &amp; TRIM(C639) &amp; TRIM(D639)</f>
        <v>First ReviewBid VideoDK</v>
      </c>
      <c r="K639" s="4" t="n">
        <f aca="false">IFERROR(I639*60,"")</f>
        <v>97.26</v>
      </c>
    </row>
    <row r="640" customFormat="false" ht="15" hidden="false" customHeight="false" outlineLevel="0" collapsed="false">
      <c r="A640" s="4" t="s">
        <v>15</v>
      </c>
      <c r="B640" s="4" t="s">
        <v>56</v>
      </c>
      <c r="C640" s="4" t="s">
        <v>84</v>
      </c>
      <c r="D640" s="4" t="s">
        <v>113</v>
      </c>
      <c r="E640" s="4" t="s">
        <v>63</v>
      </c>
      <c r="F640" s="4" t="s">
        <v>63</v>
      </c>
      <c r="G640" s="4" t="s">
        <v>644</v>
      </c>
      <c r="H640" s="4"/>
      <c r="I640" s="4" t="n">
        <v>3.7739</v>
      </c>
      <c r="J640" s="4" t="str">
        <f aca="false">TRIM(E640) &amp; TRIM(C640) &amp; TRIM(D640)</f>
        <v>First ReviewBid Ecom VideoNL</v>
      </c>
      <c r="K640" s="4" t="n">
        <f aca="false">IFERROR(I640*60,"")</f>
        <v>226.434</v>
      </c>
    </row>
    <row r="641" customFormat="false" ht="15" hidden="false" customHeight="false" outlineLevel="0" collapsed="false">
      <c r="A641" s="4" t="s">
        <v>15</v>
      </c>
      <c r="B641" s="4" t="s">
        <v>56</v>
      </c>
      <c r="C641" s="4" t="s">
        <v>81</v>
      </c>
      <c r="D641" s="4" t="s">
        <v>235</v>
      </c>
      <c r="E641" s="4" t="s">
        <v>63</v>
      </c>
      <c r="F641" s="4" t="s">
        <v>63</v>
      </c>
      <c r="G641" s="4" t="s">
        <v>645</v>
      </c>
      <c r="H641" s="4"/>
      <c r="I641" s="4" t="n">
        <v>0.591</v>
      </c>
      <c r="J641" s="4" t="str">
        <f aca="false">TRIM(E641) &amp; TRIM(C641) &amp; TRIM(D641)</f>
        <v>First ReviewBid TextJP</v>
      </c>
      <c r="K641" s="4" t="n">
        <f aca="false">IFERROR(I641*60,"")</f>
        <v>35.46</v>
      </c>
    </row>
    <row r="642" customFormat="false" ht="15" hidden="false" customHeight="false" outlineLevel="0" collapsed="false">
      <c r="A642" s="4" t="s">
        <v>15</v>
      </c>
      <c r="B642" s="4" t="s">
        <v>56</v>
      </c>
      <c r="C642" s="4" t="s">
        <v>75</v>
      </c>
      <c r="D642" s="4" t="s">
        <v>150</v>
      </c>
      <c r="E642" s="4" t="s">
        <v>66</v>
      </c>
      <c r="F642" s="4" t="s">
        <v>67</v>
      </c>
      <c r="G642" s="4" t="s">
        <v>545</v>
      </c>
      <c r="H642" s="4"/>
      <c r="I642" s="4" t="n">
        <v>2.5287</v>
      </c>
      <c r="J642" s="4" t="str">
        <f aca="false">TRIM(E642) &amp; TRIM(C642) &amp; TRIM(D642)</f>
        <v>Posted RecallBid Ecom Ads GroupDE</v>
      </c>
      <c r="K642" s="4" t="n">
        <f aca="false">IFERROR(I642*60,"")</f>
        <v>151.722</v>
      </c>
    </row>
    <row r="643" customFormat="false" ht="15" hidden="false" customHeight="false" outlineLevel="0" collapsed="false">
      <c r="A643" s="4" t="s">
        <v>15</v>
      </c>
      <c r="B643" s="4" t="s">
        <v>56</v>
      </c>
      <c r="C643" s="4" t="s">
        <v>93</v>
      </c>
      <c r="D643" s="4" t="s">
        <v>150</v>
      </c>
      <c r="E643" s="4" t="s">
        <v>63</v>
      </c>
      <c r="F643" s="4" t="s">
        <v>63</v>
      </c>
      <c r="G643" s="4" t="s">
        <v>646</v>
      </c>
      <c r="H643" s="4"/>
      <c r="I643" s="4" t="n">
        <v>0.5831</v>
      </c>
      <c r="J643" s="4" t="str">
        <f aca="false">TRIM(E643) &amp; TRIM(C643) &amp; TRIM(D643)</f>
        <v>First ReviewBid AudioDE</v>
      </c>
      <c r="K643" s="4" t="n">
        <f aca="false">IFERROR(I643*60,"")</f>
        <v>34.986</v>
      </c>
    </row>
    <row r="644" customFormat="false" ht="15" hidden="false" customHeight="false" outlineLevel="0" collapsed="false">
      <c r="A644" s="4" t="s">
        <v>15</v>
      </c>
      <c r="B644" s="4" t="s">
        <v>56</v>
      </c>
      <c r="C644" s="4" t="s">
        <v>61</v>
      </c>
      <c r="D644" s="4" t="s">
        <v>121</v>
      </c>
      <c r="E644" s="4" t="s">
        <v>63</v>
      </c>
      <c r="F644" s="4" t="s">
        <v>63</v>
      </c>
      <c r="G644" s="4" t="s">
        <v>647</v>
      </c>
      <c r="H644" s="4"/>
      <c r="I644" s="4" t="n">
        <v>1.4824</v>
      </c>
      <c r="J644" s="4" t="str">
        <f aca="false">TRIM(E644) &amp; TRIM(C644) &amp; TRIM(D644)</f>
        <v>First ReviewBid Ecom URLKR</v>
      </c>
      <c r="K644" s="4" t="n">
        <f aca="false">IFERROR(I644*60,"")</f>
        <v>88.944</v>
      </c>
    </row>
    <row r="645" customFormat="false" ht="15" hidden="false" customHeight="false" outlineLevel="0" collapsed="false">
      <c r="A645" s="4" t="s">
        <v>15</v>
      </c>
      <c r="B645" s="4" t="s">
        <v>56</v>
      </c>
      <c r="C645" s="4" t="s">
        <v>84</v>
      </c>
      <c r="D645" s="4" t="s">
        <v>106</v>
      </c>
      <c r="E645" s="4" t="s">
        <v>63</v>
      </c>
      <c r="F645" s="4" t="s">
        <v>63</v>
      </c>
      <c r="G645" s="4" t="s">
        <v>648</v>
      </c>
      <c r="H645" s="4"/>
      <c r="I645" s="4" t="n">
        <v>0.8954</v>
      </c>
      <c r="J645" s="4" t="str">
        <f aca="false">TRIM(E645) &amp; TRIM(C645) &amp; TRIM(D645)</f>
        <v>First ReviewBid Ecom VideoMY</v>
      </c>
      <c r="K645" s="4" t="n">
        <f aca="false">IFERROR(I645*60,"")</f>
        <v>53.724</v>
      </c>
    </row>
    <row r="646" customFormat="false" ht="15" hidden="false" customHeight="false" outlineLevel="0" collapsed="false">
      <c r="A646" s="4" t="s">
        <v>15</v>
      </c>
      <c r="B646" s="4" t="s">
        <v>56</v>
      </c>
      <c r="C646" s="4" t="s">
        <v>81</v>
      </c>
      <c r="D646" s="4" t="s">
        <v>246</v>
      </c>
      <c r="E646" s="4" t="s">
        <v>63</v>
      </c>
      <c r="F646" s="4" t="s">
        <v>63</v>
      </c>
      <c r="G646" s="4" t="s">
        <v>649</v>
      </c>
      <c r="H646" s="4"/>
      <c r="I646" s="4" t="n">
        <v>0.9023</v>
      </c>
      <c r="J646" s="4" t="str">
        <f aca="false">TRIM(E646) &amp; TRIM(C646) &amp; TRIM(D646)</f>
        <v>First ReviewBid TextLV</v>
      </c>
      <c r="K646" s="4" t="n">
        <f aca="false">IFERROR(I646*60,"")</f>
        <v>54.138</v>
      </c>
    </row>
    <row r="647" customFormat="false" ht="15" hidden="false" customHeight="false" outlineLevel="0" collapsed="false">
      <c r="A647" s="4" t="s">
        <v>15</v>
      </c>
      <c r="B647" s="4" t="s">
        <v>56</v>
      </c>
      <c r="C647" s="4" t="s">
        <v>75</v>
      </c>
      <c r="D647" s="4" t="s">
        <v>306</v>
      </c>
      <c r="E647" s="4" t="s">
        <v>59</v>
      </c>
      <c r="F647" s="4" t="s">
        <v>59</v>
      </c>
      <c r="G647" s="4" t="s">
        <v>434</v>
      </c>
      <c r="H647" s="4"/>
      <c r="I647" s="4" t="n">
        <v>2.3501</v>
      </c>
      <c r="J647" s="4" t="str">
        <f aca="false">TRIM(E647) &amp; TRIM(C647) &amp; TRIM(D647)</f>
        <v>Re-reviewBid Ecom Ads GroupTH</v>
      </c>
      <c r="K647" s="4" t="n">
        <f aca="false">IFERROR(I647*60,"")</f>
        <v>141.006</v>
      </c>
    </row>
    <row r="648" customFormat="false" ht="15" hidden="false" customHeight="false" outlineLevel="0" collapsed="false">
      <c r="A648" s="4" t="s">
        <v>15</v>
      </c>
      <c r="B648" s="4" t="s">
        <v>56</v>
      </c>
      <c r="C648" s="4" t="s">
        <v>75</v>
      </c>
      <c r="D648" s="4" t="s">
        <v>106</v>
      </c>
      <c r="E648" s="4" t="s">
        <v>59</v>
      </c>
      <c r="F648" s="4" t="s">
        <v>59</v>
      </c>
      <c r="G648" s="4" t="s">
        <v>132</v>
      </c>
      <c r="H648" s="4"/>
      <c r="I648" s="4" t="n">
        <v>2.3945</v>
      </c>
      <c r="J648" s="4" t="str">
        <f aca="false">TRIM(E648) &amp; TRIM(C648) &amp; TRIM(D648)</f>
        <v>Re-reviewBid Ecom Ads GroupMY</v>
      </c>
      <c r="K648" s="4" t="n">
        <f aca="false">IFERROR(I648*60,"")</f>
        <v>143.67</v>
      </c>
    </row>
    <row r="649" customFormat="false" ht="15" hidden="false" customHeight="false" outlineLevel="0" collapsed="false">
      <c r="A649" s="4" t="s">
        <v>15</v>
      </c>
      <c r="B649" s="4" t="s">
        <v>56</v>
      </c>
      <c r="C649" s="4" t="s">
        <v>93</v>
      </c>
      <c r="D649" s="4" t="s">
        <v>113</v>
      </c>
      <c r="E649" s="4" t="s">
        <v>63</v>
      </c>
      <c r="F649" s="4" t="s">
        <v>63</v>
      </c>
      <c r="G649" s="4" t="s">
        <v>650</v>
      </c>
      <c r="H649" s="4"/>
      <c r="I649" s="4" t="n">
        <v>1.0241</v>
      </c>
      <c r="J649" s="4" t="str">
        <f aca="false">TRIM(E649) &amp; TRIM(C649) &amp; TRIM(D649)</f>
        <v>First ReviewBid AudioNL</v>
      </c>
      <c r="K649" s="4" t="n">
        <f aca="false">IFERROR(I649*60,"")</f>
        <v>61.446</v>
      </c>
    </row>
    <row r="650" customFormat="false" ht="15" hidden="false" customHeight="false" outlineLevel="0" collapsed="false">
      <c r="A650" s="4" t="s">
        <v>15</v>
      </c>
      <c r="B650" s="4" t="s">
        <v>56</v>
      </c>
      <c r="C650" s="4" t="s">
        <v>75</v>
      </c>
      <c r="D650" s="4" t="s">
        <v>145</v>
      </c>
      <c r="E650" s="4" t="s">
        <v>59</v>
      </c>
      <c r="F650" s="4" t="s">
        <v>59</v>
      </c>
      <c r="G650" s="4" t="s">
        <v>615</v>
      </c>
      <c r="H650" s="4"/>
      <c r="I650" s="4" t="n">
        <v>6.0133</v>
      </c>
      <c r="J650" s="4" t="str">
        <f aca="false">TRIM(E650) &amp; TRIM(C650) &amp; TRIM(D650)</f>
        <v>Re-reviewBid Ecom Ads GroupRS</v>
      </c>
      <c r="K650" s="4" t="n">
        <f aca="false">IFERROR(I650*60,"")</f>
        <v>360.798</v>
      </c>
    </row>
    <row r="651" customFormat="false" ht="15" hidden="false" customHeight="false" outlineLevel="0" collapsed="false">
      <c r="A651" s="4" t="s">
        <v>15</v>
      </c>
      <c r="B651" s="4" t="s">
        <v>56</v>
      </c>
      <c r="C651" s="4" t="s">
        <v>93</v>
      </c>
      <c r="D651" s="4" t="s">
        <v>306</v>
      </c>
      <c r="E651" s="4" t="s">
        <v>63</v>
      </c>
      <c r="F651" s="4" t="s">
        <v>63</v>
      </c>
      <c r="G651" s="4" t="s">
        <v>651</v>
      </c>
      <c r="H651" s="4"/>
      <c r="I651" s="4" t="n">
        <v>0.5112</v>
      </c>
      <c r="J651" s="4" t="str">
        <f aca="false">TRIM(E651) &amp; TRIM(C651) &amp; TRIM(D651)</f>
        <v>First ReviewBid AudioTH</v>
      </c>
      <c r="K651" s="4" t="n">
        <f aca="false">IFERROR(I651*60,"")</f>
        <v>30.672</v>
      </c>
    </row>
    <row r="652" customFormat="false" ht="15" hidden="false" customHeight="false" outlineLevel="0" collapsed="false">
      <c r="A652" s="4" t="s">
        <v>15</v>
      </c>
      <c r="B652" s="4" t="s">
        <v>56</v>
      </c>
      <c r="C652" s="4" t="s">
        <v>61</v>
      </c>
      <c r="D652" s="4" t="s">
        <v>255</v>
      </c>
      <c r="E652" s="4" t="s">
        <v>63</v>
      </c>
      <c r="F652" s="4" t="s">
        <v>63</v>
      </c>
      <c r="G652" s="4" t="s">
        <v>652</v>
      </c>
      <c r="H652" s="4"/>
      <c r="I652" s="4" t="n">
        <v>1.0778</v>
      </c>
      <c r="J652" s="4" t="str">
        <f aca="false">TRIM(E652) &amp; TRIM(C652) &amp; TRIM(D652)</f>
        <v>First ReviewBid Ecom URLNZ</v>
      </c>
      <c r="K652" s="4" t="n">
        <f aca="false">IFERROR(I652*60,"")</f>
        <v>64.668</v>
      </c>
    </row>
    <row r="653" customFormat="false" ht="15" hidden="false" customHeight="false" outlineLevel="0" collapsed="false">
      <c r="A653" s="4" t="s">
        <v>15</v>
      </c>
      <c r="B653" s="4" t="s">
        <v>56</v>
      </c>
      <c r="C653" s="4" t="s">
        <v>93</v>
      </c>
      <c r="D653" s="4" t="s">
        <v>168</v>
      </c>
      <c r="E653" s="4" t="s">
        <v>63</v>
      </c>
      <c r="F653" s="4" t="s">
        <v>63</v>
      </c>
      <c r="G653" s="4" t="s">
        <v>653</v>
      </c>
      <c r="H653" s="4"/>
      <c r="I653" s="4" t="n">
        <v>1.2798</v>
      </c>
      <c r="J653" s="4" t="str">
        <f aca="false">TRIM(E653) &amp; TRIM(C653) &amp; TRIM(D653)</f>
        <v>First ReviewBid AudioKZ</v>
      </c>
      <c r="K653" s="4" t="n">
        <f aca="false">IFERROR(I653*60,"")</f>
        <v>76.788</v>
      </c>
    </row>
    <row r="654" customFormat="false" ht="15" hidden="false" customHeight="false" outlineLevel="0" collapsed="false">
      <c r="A654" s="4" t="s">
        <v>15</v>
      </c>
      <c r="B654" s="4" t="s">
        <v>56</v>
      </c>
      <c r="C654" s="4" t="s">
        <v>69</v>
      </c>
      <c r="D654" s="4" t="s">
        <v>357</v>
      </c>
      <c r="E654" s="4" t="s">
        <v>63</v>
      </c>
      <c r="F654" s="4" t="s">
        <v>63</v>
      </c>
      <c r="G654" s="4" t="s">
        <v>654</v>
      </c>
      <c r="H654" s="4"/>
      <c r="I654" s="4" t="n">
        <v>1.2623</v>
      </c>
      <c r="J654" s="4" t="str">
        <f aca="false">TRIM(E654) &amp; TRIM(C654) &amp; TRIM(D654)</f>
        <v>First ReviewBid LinkHU</v>
      </c>
      <c r="K654" s="4" t="n">
        <f aca="false">IFERROR(I654*60,"")</f>
        <v>75.738</v>
      </c>
    </row>
    <row r="655" customFormat="false" ht="15" hidden="false" customHeight="false" outlineLevel="0" collapsed="false">
      <c r="A655" s="4" t="s">
        <v>15</v>
      </c>
      <c r="B655" s="4" t="s">
        <v>56</v>
      </c>
      <c r="C655" s="4" t="s">
        <v>81</v>
      </c>
      <c r="D655" s="4" t="s">
        <v>164</v>
      </c>
      <c r="E655" s="4" t="s">
        <v>63</v>
      </c>
      <c r="F655" s="4" t="s">
        <v>63</v>
      </c>
      <c r="G655" s="4" t="s">
        <v>655</v>
      </c>
      <c r="H655" s="4"/>
      <c r="I655" s="4" t="n">
        <v>0.6565</v>
      </c>
      <c r="J655" s="4" t="str">
        <f aca="false">TRIM(E655) &amp; TRIM(C655) &amp; TRIM(D655)</f>
        <v>First ReviewBid TextCR</v>
      </c>
      <c r="K655" s="4" t="n">
        <f aca="false">IFERROR(I655*60,"")</f>
        <v>39.39</v>
      </c>
    </row>
    <row r="656" customFormat="false" ht="15" hidden="false" customHeight="false" outlineLevel="0" collapsed="false">
      <c r="A656" s="4" t="s">
        <v>15</v>
      </c>
      <c r="B656" s="4" t="s">
        <v>56</v>
      </c>
      <c r="C656" s="4" t="s">
        <v>75</v>
      </c>
      <c r="D656" s="4" t="s">
        <v>97</v>
      </c>
      <c r="E656" s="4" t="s">
        <v>63</v>
      </c>
      <c r="F656" s="4" t="s">
        <v>63</v>
      </c>
      <c r="G656" s="4" t="s">
        <v>228</v>
      </c>
      <c r="H656" s="4"/>
      <c r="I656" s="4" t="n">
        <v>2.0378</v>
      </c>
      <c r="J656" s="4" t="str">
        <f aca="false">TRIM(E656) &amp; TRIM(C656) &amp; TRIM(D656)</f>
        <v>First ReviewBid Ecom Ads GroupBR</v>
      </c>
      <c r="K656" s="4" t="n">
        <f aca="false">IFERROR(I656*60,"")</f>
        <v>122.268</v>
      </c>
    </row>
    <row r="657" customFormat="false" ht="15" hidden="false" customHeight="false" outlineLevel="0" collapsed="false">
      <c r="A657" s="4" t="s">
        <v>15</v>
      </c>
      <c r="B657" s="4" t="s">
        <v>56</v>
      </c>
      <c r="C657" s="4" t="s">
        <v>61</v>
      </c>
      <c r="D657" s="4" t="s">
        <v>154</v>
      </c>
      <c r="E657" s="4" t="s">
        <v>63</v>
      </c>
      <c r="F657" s="4" t="s">
        <v>63</v>
      </c>
      <c r="G657" s="4" t="s">
        <v>656</v>
      </c>
      <c r="H657" s="4"/>
      <c r="I657" s="4" t="n">
        <v>1.1564</v>
      </c>
      <c r="J657" s="4" t="str">
        <f aca="false">TRIM(E657) &amp; TRIM(C657) &amp; TRIM(D657)</f>
        <v>First ReviewBid Ecom URLES</v>
      </c>
      <c r="K657" s="4" t="n">
        <f aca="false">IFERROR(I657*60,"")</f>
        <v>69.384</v>
      </c>
    </row>
    <row r="658" customFormat="false" ht="15" hidden="false" customHeight="false" outlineLevel="0" collapsed="false">
      <c r="A658" s="4" t="s">
        <v>15</v>
      </c>
      <c r="B658" s="4" t="s">
        <v>56</v>
      </c>
      <c r="C658" s="4" t="s">
        <v>57</v>
      </c>
      <c r="D658" s="4" t="s">
        <v>62</v>
      </c>
      <c r="E658" s="4" t="s">
        <v>59</v>
      </c>
      <c r="F658" s="4" t="s">
        <v>59</v>
      </c>
      <c r="G658" s="4" t="s">
        <v>392</v>
      </c>
      <c r="H658" s="4"/>
      <c r="I658" s="4" t="n">
        <v>4.6992</v>
      </c>
      <c r="J658" s="4" t="str">
        <f aca="false">TRIM(E658) &amp; TRIM(C658) &amp; TRIM(D658)</f>
        <v>Re-reviewBid Ad GroupCL</v>
      </c>
      <c r="K658" s="4" t="n">
        <f aca="false">IFERROR(I658*60,"")</f>
        <v>281.952</v>
      </c>
    </row>
    <row r="659" customFormat="false" ht="15" hidden="false" customHeight="false" outlineLevel="0" collapsed="false">
      <c r="A659" s="4" t="s">
        <v>15</v>
      </c>
      <c r="B659" s="4" t="s">
        <v>56</v>
      </c>
      <c r="C659" s="4" t="s">
        <v>75</v>
      </c>
      <c r="D659" s="4" t="s">
        <v>65</v>
      </c>
      <c r="E659" s="4" t="s">
        <v>59</v>
      </c>
      <c r="F659" s="4" t="s">
        <v>59</v>
      </c>
      <c r="G659" s="4" t="s">
        <v>378</v>
      </c>
      <c r="H659" s="4"/>
      <c r="I659" s="4" t="n">
        <v>6.066</v>
      </c>
      <c r="J659" s="4" t="str">
        <f aca="false">TRIM(E659) &amp; TRIM(C659) &amp; TRIM(D659)</f>
        <v>Re-reviewBid Ecom Ads GroupEE</v>
      </c>
      <c r="K659" s="4" t="n">
        <f aca="false">IFERROR(I659*60,"")</f>
        <v>363.96</v>
      </c>
    </row>
    <row r="660" customFormat="false" ht="15" hidden="false" customHeight="false" outlineLevel="0" collapsed="false">
      <c r="A660" s="4" t="s">
        <v>15</v>
      </c>
      <c r="B660" s="4" t="s">
        <v>56</v>
      </c>
      <c r="C660" s="4" t="s">
        <v>72</v>
      </c>
      <c r="D660" s="4" t="s">
        <v>162</v>
      </c>
      <c r="E660" s="4" t="s">
        <v>63</v>
      </c>
      <c r="F660" s="4" t="s">
        <v>63</v>
      </c>
      <c r="G660" s="4" t="s">
        <v>657</v>
      </c>
      <c r="H660" s="4"/>
      <c r="I660" s="4" t="n">
        <v>0.3671</v>
      </c>
      <c r="J660" s="4" t="str">
        <f aca="false">TRIM(E660) &amp; TRIM(C660) &amp; TRIM(D660)</f>
        <v>First ReviewBid ImageJO</v>
      </c>
      <c r="K660" s="4" t="n">
        <f aca="false">IFERROR(I660*60,"")</f>
        <v>22.026</v>
      </c>
    </row>
    <row r="661" customFormat="false" ht="15" hidden="false" customHeight="false" outlineLevel="0" collapsed="false">
      <c r="A661" s="4" t="s">
        <v>15</v>
      </c>
      <c r="B661" s="4" t="s">
        <v>56</v>
      </c>
      <c r="C661" s="4" t="s">
        <v>75</v>
      </c>
      <c r="D661" s="4" t="s">
        <v>243</v>
      </c>
      <c r="E661" s="4" t="s">
        <v>63</v>
      </c>
      <c r="F661" s="4" t="s">
        <v>63</v>
      </c>
      <c r="G661" s="4" t="s">
        <v>259</v>
      </c>
      <c r="H661" s="4"/>
      <c r="I661" s="4" t="n">
        <v>5.7701</v>
      </c>
      <c r="J661" s="4" t="str">
        <f aca="false">TRIM(E661) &amp; TRIM(C661) &amp; TRIM(D661)</f>
        <v>First ReviewBid Ecom Ads GroupBY</v>
      </c>
      <c r="K661" s="4" t="n">
        <f aca="false">IFERROR(I661*60,"")</f>
        <v>346.206</v>
      </c>
    </row>
    <row r="662" customFormat="false" ht="15" hidden="false" customHeight="false" outlineLevel="0" collapsed="false">
      <c r="A662" s="4" t="s">
        <v>15</v>
      </c>
      <c r="B662" s="4" t="s">
        <v>56</v>
      </c>
      <c r="C662" s="4" t="s">
        <v>72</v>
      </c>
      <c r="D662" s="4" t="s">
        <v>210</v>
      </c>
      <c r="E662" s="4" t="s">
        <v>63</v>
      </c>
      <c r="F662" s="4" t="s">
        <v>63</v>
      </c>
      <c r="G662" s="4" t="s">
        <v>658</v>
      </c>
      <c r="H662" s="4"/>
      <c r="I662" s="4" t="n">
        <v>0.622</v>
      </c>
      <c r="J662" s="4" t="str">
        <f aca="false">TRIM(E662) &amp; TRIM(C662) &amp; TRIM(D662)</f>
        <v>First ReviewBid ImagePK</v>
      </c>
      <c r="K662" s="4" t="n">
        <f aca="false">IFERROR(I662*60,"")</f>
        <v>37.32</v>
      </c>
    </row>
    <row r="663" customFormat="false" ht="15" hidden="false" customHeight="false" outlineLevel="0" collapsed="false">
      <c r="A663" s="4" t="s">
        <v>15</v>
      </c>
      <c r="B663" s="4" t="s">
        <v>56</v>
      </c>
      <c r="C663" s="4" t="s">
        <v>57</v>
      </c>
      <c r="D663" s="4" t="s">
        <v>192</v>
      </c>
      <c r="E663" s="4" t="s">
        <v>59</v>
      </c>
      <c r="F663" s="4" t="s">
        <v>59</v>
      </c>
      <c r="G663" s="4" t="s">
        <v>193</v>
      </c>
      <c r="H663" s="4"/>
      <c r="I663" s="4" t="n">
        <v>5.0572</v>
      </c>
      <c r="J663" s="4" t="str">
        <f aca="false">TRIM(E663) &amp; TRIM(C663) &amp; TRIM(D663)</f>
        <v>Re-reviewBid Ad GroupGT</v>
      </c>
      <c r="K663" s="4" t="n">
        <f aca="false">IFERROR(I663*60,"")</f>
        <v>303.432</v>
      </c>
    </row>
    <row r="664" customFormat="false" ht="15" hidden="false" customHeight="false" outlineLevel="0" collapsed="false">
      <c r="A664" s="4" t="s">
        <v>15</v>
      </c>
      <c r="B664" s="4" t="s">
        <v>56</v>
      </c>
      <c r="C664" s="4" t="s">
        <v>57</v>
      </c>
      <c r="D664" s="4" t="s">
        <v>100</v>
      </c>
      <c r="E664" s="4" t="s">
        <v>63</v>
      </c>
      <c r="F664" s="4" t="s">
        <v>63</v>
      </c>
      <c r="G664" s="4" t="s">
        <v>443</v>
      </c>
      <c r="H664" s="4"/>
      <c r="I664" s="4" t="n">
        <v>1.4785</v>
      </c>
      <c r="J664" s="4" t="str">
        <f aca="false">TRIM(E664) &amp; TRIM(C664) &amp; TRIM(D664)</f>
        <v>First ReviewBid Ad GroupAU</v>
      </c>
      <c r="K664" s="4" t="n">
        <f aca="false">IFERROR(I664*60,"")</f>
        <v>88.71</v>
      </c>
    </row>
    <row r="665" customFormat="false" ht="15" hidden="false" customHeight="false" outlineLevel="0" collapsed="false">
      <c r="A665" s="4" t="s">
        <v>15</v>
      </c>
      <c r="B665" s="4" t="s">
        <v>56</v>
      </c>
      <c r="C665" s="4" t="s">
        <v>84</v>
      </c>
      <c r="D665" s="4" t="s">
        <v>185</v>
      </c>
      <c r="E665" s="4" t="s">
        <v>63</v>
      </c>
      <c r="F665" s="4" t="s">
        <v>63</v>
      </c>
      <c r="G665" s="4" t="s">
        <v>659</v>
      </c>
      <c r="H665" s="4"/>
      <c r="I665" s="4" t="n">
        <v>1.3312</v>
      </c>
      <c r="J665" s="4" t="str">
        <f aca="false">TRIM(E665) &amp; TRIM(C665) &amp; TRIM(D665)</f>
        <v>First ReviewBid Ecom VideoDK</v>
      </c>
      <c r="K665" s="4" t="n">
        <f aca="false">IFERROR(I665*60,"")</f>
        <v>79.872</v>
      </c>
    </row>
    <row r="666" customFormat="false" ht="15" hidden="false" customHeight="false" outlineLevel="0" collapsed="false">
      <c r="A666" s="4" t="s">
        <v>15</v>
      </c>
      <c r="B666" s="4" t="s">
        <v>56</v>
      </c>
      <c r="C666" s="4" t="s">
        <v>78</v>
      </c>
      <c r="D666" s="4" t="s">
        <v>243</v>
      </c>
      <c r="E666" s="4" t="s">
        <v>63</v>
      </c>
      <c r="F666" s="4" t="s">
        <v>63</v>
      </c>
      <c r="G666" s="4" t="s">
        <v>660</v>
      </c>
      <c r="H666" s="4"/>
      <c r="I666" s="4" t="n">
        <v>1.0877</v>
      </c>
      <c r="J666" s="4" t="str">
        <f aca="false">TRIM(E666) &amp; TRIM(C666) &amp; TRIM(D666)</f>
        <v>First ReviewBid VideoBY</v>
      </c>
      <c r="K666" s="4" t="n">
        <f aca="false">IFERROR(I666*60,"")</f>
        <v>65.262</v>
      </c>
    </row>
    <row r="667" customFormat="false" ht="15" hidden="false" customHeight="false" outlineLevel="0" collapsed="false">
      <c r="A667" s="4" t="s">
        <v>15</v>
      </c>
      <c r="B667" s="4" t="s">
        <v>56</v>
      </c>
      <c r="C667" s="4" t="s">
        <v>75</v>
      </c>
      <c r="D667" s="4" t="s">
        <v>265</v>
      </c>
      <c r="E667" s="4" t="s">
        <v>66</v>
      </c>
      <c r="F667" s="4" t="s">
        <v>67</v>
      </c>
      <c r="G667" s="4" t="s">
        <v>661</v>
      </c>
      <c r="H667" s="4"/>
      <c r="I667" s="4" t="n">
        <v>2.4999</v>
      </c>
      <c r="J667" s="4" t="str">
        <f aca="false">TRIM(E667) &amp; TRIM(C667) &amp; TRIM(D667)</f>
        <v>Posted RecallBid Ecom Ads GroupNO</v>
      </c>
      <c r="K667" s="4" t="n">
        <f aca="false">IFERROR(I667*60,"")</f>
        <v>149.994</v>
      </c>
    </row>
    <row r="668" customFormat="false" ht="15" hidden="false" customHeight="false" outlineLevel="0" collapsed="false">
      <c r="A668" s="4" t="s">
        <v>15</v>
      </c>
      <c r="B668" s="4" t="s">
        <v>56</v>
      </c>
      <c r="C668" s="4" t="s">
        <v>57</v>
      </c>
      <c r="D668" s="4" t="s">
        <v>157</v>
      </c>
      <c r="E668" s="4" t="s">
        <v>66</v>
      </c>
      <c r="F668" s="4" t="s">
        <v>67</v>
      </c>
      <c r="G668" s="4" t="s">
        <v>158</v>
      </c>
      <c r="H668" s="4"/>
      <c r="I668" s="4" t="n">
        <v>1.8998</v>
      </c>
      <c r="J668" s="4" t="str">
        <f aca="false">TRIM(E668) &amp; TRIM(C668) &amp; TRIM(D668)</f>
        <v>Posted RecallBid Ad GroupSA</v>
      </c>
      <c r="K668" s="4" t="n">
        <f aca="false">IFERROR(I668*60,"")</f>
        <v>113.988</v>
      </c>
    </row>
    <row r="669" customFormat="false" ht="15" hidden="false" customHeight="false" outlineLevel="0" collapsed="false">
      <c r="A669" s="4" t="s">
        <v>15</v>
      </c>
      <c r="B669" s="4" t="s">
        <v>56</v>
      </c>
      <c r="C669" s="4" t="s">
        <v>72</v>
      </c>
      <c r="D669" s="4" t="s">
        <v>139</v>
      </c>
      <c r="E669" s="4" t="s">
        <v>63</v>
      </c>
      <c r="F669" s="4" t="s">
        <v>63</v>
      </c>
      <c r="G669" s="4" t="s">
        <v>662</v>
      </c>
      <c r="H669" s="4"/>
      <c r="I669" s="4" t="n">
        <v>0.4006</v>
      </c>
      <c r="J669" s="4" t="str">
        <f aca="false">TRIM(E669) &amp; TRIM(C669) &amp; TRIM(D669)</f>
        <v>First ReviewBid ImageEG</v>
      </c>
      <c r="K669" s="4" t="n">
        <f aca="false">IFERROR(I669*60,"")</f>
        <v>24.036</v>
      </c>
    </row>
    <row r="670" customFormat="false" ht="15" hidden="false" customHeight="false" outlineLevel="0" collapsed="false">
      <c r="A670" s="4" t="s">
        <v>15</v>
      </c>
      <c r="B670" s="4" t="s">
        <v>56</v>
      </c>
      <c r="C670" s="4" t="s">
        <v>119</v>
      </c>
      <c r="D670" s="4" t="s">
        <v>275</v>
      </c>
      <c r="E670" s="4" t="s">
        <v>63</v>
      </c>
      <c r="F670" s="4" t="s">
        <v>63</v>
      </c>
      <c r="G670" s="4" t="s">
        <v>663</v>
      </c>
      <c r="H670" s="4"/>
      <c r="I670" s="4" t="n">
        <v>2.3554</v>
      </c>
      <c r="J670" s="4" t="str">
        <f aca="false">TRIM(E670) &amp; TRIM(C670) &amp; TRIM(D670)</f>
        <v>First ReviewBid Pre ApprovalGB</v>
      </c>
      <c r="K670" s="4" t="n">
        <f aca="false">IFERROR(I670*60,"")</f>
        <v>141.324</v>
      </c>
    </row>
    <row r="671" customFormat="false" ht="15" hidden="false" customHeight="false" outlineLevel="0" collapsed="false">
      <c r="A671" s="4" t="s">
        <v>15</v>
      </c>
      <c r="B671" s="4" t="s">
        <v>56</v>
      </c>
      <c r="C671" s="4" t="s">
        <v>57</v>
      </c>
      <c r="D671" s="4" t="s">
        <v>79</v>
      </c>
      <c r="E671" s="4" t="s">
        <v>63</v>
      </c>
      <c r="F671" s="4" t="s">
        <v>63</v>
      </c>
      <c r="G671" s="4" t="s">
        <v>664</v>
      </c>
      <c r="H671" s="4"/>
      <c r="I671" s="4" t="n">
        <v>1.3863</v>
      </c>
      <c r="J671" s="4" t="str">
        <f aca="false">TRIM(E671) &amp; TRIM(C671) &amp; TRIM(D671)</f>
        <v>First ReviewBid Ad GroupZA</v>
      </c>
      <c r="K671" s="4" t="n">
        <f aca="false">IFERROR(I671*60,"")</f>
        <v>83.178</v>
      </c>
    </row>
    <row r="672" customFormat="false" ht="15" hidden="false" customHeight="false" outlineLevel="0" collapsed="false">
      <c r="A672" s="4" t="s">
        <v>15</v>
      </c>
      <c r="B672" s="4" t="s">
        <v>56</v>
      </c>
      <c r="C672" s="4" t="s">
        <v>57</v>
      </c>
      <c r="D672" s="4" t="s">
        <v>70</v>
      </c>
      <c r="E672" s="4" t="s">
        <v>66</v>
      </c>
      <c r="F672" s="4" t="s">
        <v>67</v>
      </c>
      <c r="G672" s="4" t="s">
        <v>503</v>
      </c>
      <c r="H672" s="4"/>
      <c r="I672" s="4" t="n">
        <v>1.1406</v>
      </c>
      <c r="J672" s="4" t="str">
        <f aca="false">TRIM(E672) &amp; TRIM(C672) &amp; TRIM(D672)</f>
        <v>Posted RecallBid Ad GroupBE</v>
      </c>
      <c r="K672" s="4" t="n">
        <f aca="false">IFERROR(I672*60,"")</f>
        <v>68.436</v>
      </c>
    </row>
    <row r="673" customFormat="false" ht="15" hidden="false" customHeight="false" outlineLevel="0" collapsed="false">
      <c r="A673" s="4" t="s">
        <v>15</v>
      </c>
      <c r="B673" s="4" t="s">
        <v>56</v>
      </c>
      <c r="C673" s="4" t="s">
        <v>57</v>
      </c>
      <c r="D673" s="4" t="s">
        <v>310</v>
      </c>
      <c r="E673" s="4" t="s">
        <v>63</v>
      </c>
      <c r="F673" s="4" t="s">
        <v>63</v>
      </c>
      <c r="G673" s="4" t="s">
        <v>665</v>
      </c>
      <c r="H673" s="4"/>
      <c r="I673" s="4" t="n">
        <v>1.169</v>
      </c>
      <c r="J673" s="4" t="str">
        <f aca="false">TRIM(E673) &amp; TRIM(C673) &amp; TRIM(D673)</f>
        <v>First ReviewBid Ad GroupUY</v>
      </c>
      <c r="K673" s="4" t="n">
        <f aca="false">IFERROR(I673*60,"")</f>
        <v>70.14</v>
      </c>
    </row>
    <row r="674" customFormat="false" ht="15" hidden="false" customHeight="false" outlineLevel="0" collapsed="false">
      <c r="A674" s="4" t="s">
        <v>15</v>
      </c>
      <c r="B674" s="4" t="s">
        <v>56</v>
      </c>
      <c r="C674" s="4" t="s">
        <v>75</v>
      </c>
      <c r="D674" s="4" t="s">
        <v>178</v>
      </c>
      <c r="E674" s="4" t="s">
        <v>63</v>
      </c>
      <c r="F674" s="4" t="s">
        <v>63</v>
      </c>
      <c r="G674" s="4" t="s">
        <v>666</v>
      </c>
      <c r="H674" s="4"/>
      <c r="I674" s="4" t="n">
        <v>0.9234</v>
      </c>
      <c r="J674" s="4" t="str">
        <f aca="false">TRIM(E674) &amp; TRIM(C674) &amp; TRIM(D674)</f>
        <v>First ReviewBid Ecom Ads GroupBO</v>
      </c>
      <c r="K674" s="4" t="n">
        <f aca="false">IFERROR(I674*60,"")</f>
        <v>55.404</v>
      </c>
    </row>
    <row r="675" customFormat="false" ht="15" hidden="false" customHeight="false" outlineLevel="0" collapsed="false">
      <c r="A675" s="4" t="s">
        <v>15</v>
      </c>
      <c r="B675" s="4" t="s">
        <v>56</v>
      </c>
      <c r="C675" s="4" t="s">
        <v>57</v>
      </c>
      <c r="D675" s="4" t="s">
        <v>203</v>
      </c>
      <c r="E675" s="4" t="s">
        <v>63</v>
      </c>
      <c r="F675" s="4" t="s">
        <v>63</v>
      </c>
      <c r="G675" s="4" t="s">
        <v>302</v>
      </c>
      <c r="H675" s="4"/>
      <c r="I675" s="4" t="n">
        <v>3.1425</v>
      </c>
      <c r="J675" s="4" t="str">
        <f aca="false">TRIM(E675) &amp; TRIM(C675) &amp; TRIM(D675)</f>
        <v>First ReviewBid Ad GroupCA</v>
      </c>
      <c r="K675" s="4" t="n">
        <f aca="false">IFERROR(I675*60,"")</f>
        <v>188.55</v>
      </c>
    </row>
    <row r="676" customFormat="false" ht="15" hidden="false" customHeight="false" outlineLevel="0" collapsed="false">
      <c r="A676" s="4" t="s">
        <v>15</v>
      </c>
      <c r="B676" s="4" t="s">
        <v>56</v>
      </c>
      <c r="C676" s="4" t="s">
        <v>78</v>
      </c>
      <c r="D676" s="4" t="s">
        <v>70</v>
      </c>
      <c r="E676" s="4" t="s">
        <v>63</v>
      </c>
      <c r="F676" s="4" t="s">
        <v>63</v>
      </c>
      <c r="G676" s="4" t="s">
        <v>667</v>
      </c>
      <c r="H676" s="4"/>
      <c r="I676" s="4" t="n">
        <v>0.7654</v>
      </c>
      <c r="J676" s="4" t="str">
        <f aca="false">TRIM(E676) &amp; TRIM(C676) &amp; TRIM(D676)</f>
        <v>First ReviewBid VideoBE</v>
      </c>
      <c r="K676" s="4" t="n">
        <f aca="false">IFERROR(I676*60,"")</f>
        <v>45.924</v>
      </c>
    </row>
    <row r="677" customFormat="false" ht="15" hidden="false" customHeight="false" outlineLevel="0" collapsed="false">
      <c r="A677" s="4" t="s">
        <v>15</v>
      </c>
      <c r="B677" s="4" t="s">
        <v>56</v>
      </c>
      <c r="C677" s="4" t="s">
        <v>84</v>
      </c>
      <c r="D677" s="4" t="s">
        <v>341</v>
      </c>
      <c r="E677" s="4" t="s">
        <v>63</v>
      </c>
      <c r="F677" s="4" t="s">
        <v>63</v>
      </c>
      <c r="G677" s="4" t="s">
        <v>668</v>
      </c>
      <c r="H677" s="4"/>
      <c r="I677" s="4" t="n">
        <v>0.9148</v>
      </c>
      <c r="J677" s="4" t="str">
        <f aca="false">TRIM(E677) &amp; TRIM(C677) &amp; TRIM(D677)</f>
        <v>First ReviewBid Ecom VideoBG</v>
      </c>
      <c r="K677" s="4" t="n">
        <f aca="false">IFERROR(I677*60,"")</f>
        <v>54.888</v>
      </c>
    </row>
    <row r="678" customFormat="false" ht="15" hidden="false" customHeight="false" outlineLevel="0" collapsed="false">
      <c r="A678" s="4" t="s">
        <v>15</v>
      </c>
      <c r="B678" s="4" t="s">
        <v>56</v>
      </c>
      <c r="C678" s="4" t="s">
        <v>72</v>
      </c>
      <c r="D678" s="4" t="s">
        <v>76</v>
      </c>
      <c r="E678" s="4" t="s">
        <v>63</v>
      </c>
      <c r="F678" s="4" t="s">
        <v>63</v>
      </c>
      <c r="G678" s="4" t="s">
        <v>669</v>
      </c>
      <c r="H678" s="4"/>
      <c r="I678" s="4" t="n">
        <v>0.9428</v>
      </c>
      <c r="J678" s="4" t="str">
        <f aca="false">TRIM(E678) &amp; TRIM(C678) &amp; TRIM(D678)</f>
        <v>First ReviewBid ImageLT</v>
      </c>
      <c r="K678" s="4" t="n">
        <f aca="false">IFERROR(I678*60,"")</f>
        <v>56.568</v>
      </c>
    </row>
    <row r="679" customFormat="false" ht="15" hidden="false" customHeight="false" outlineLevel="0" collapsed="false">
      <c r="A679" s="4" t="s">
        <v>15</v>
      </c>
      <c r="B679" s="4" t="s">
        <v>56</v>
      </c>
      <c r="C679" s="4" t="s">
        <v>61</v>
      </c>
      <c r="D679" s="4" t="s">
        <v>178</v>
      </c>
      <c r="E679" s="4" t="s">
        <v>63</v>
      </c>
      <c r="F679" s="4" t="s">
        <v>63</v>
      </c>
      <c r="G679" s="4" t="s">
        <v>670</v>
      </c>
      <c r="H679" s="4"/>
      <c r="I679" s="4" t="n">
        <v>1.6572</v>
      </c>
      <c r="J679" s="4" t="str">
        <f aca="false">TRIM(E679) &amp; TRIM(C679) &amp; TRIM(D679)</f>
        <v>First ReviewBid Ecom URLBO</v>
      </c>
      <c r="K679" s="4" t="n">
        <f aca="false">IFERROR(I679*60,"")</f>
        <v>99.432</v>
      </c>
    </row>
    <row r="680" customFormat="false" ht="15" hidden="false" customHeight="false" outlineLevel="0" collapsed="false">
      <c r="A680" s="4" t="s">
        <v>15</v>
      </c>
      <c r="B680" s="4" t="s">
        <v>56</v>
      </c>
      <c r="C680" s="4" t="s">
        <v>75</v>
      </c>
      <c r="D680" s="4" t="s">
        <v>102</v>
      </c>
      <c r="E680" s="4" t="s">
        <v>66</v>
      </c>
      <c r="F680" s="4" t="s">
        <v>67</v>
      </c>
      <c r="G680" s="4" t="s">
        <v>508</v>
      </c>
      <c r="H680" s="4"/>
      <c r="I680" s="4" t="n">
        <v>2.1442</v>
      </c>
      <c r="J680" s="4" t="str">
        <f aca="false">TRIM(E680) &amp; TRIM(C680) &amp; TRIM(D680)</f>
        <v>Posted RecallBid Ecom Ads GroupSE</v>
      </c>
      <c r="K680" s="4" t="n">
        <f aca="false">IFERROR(I680*60,"")</f>
        <v>128.652</v>
      </c>
    </row>
    <row r="681" customFormat="false" ht="15" hidden="false" customHeight="false" outlineLevel="0" collapsed="false">
      <c r="A681" s="4" t="s">
        <v>15</v>
      </c>
      <c r="B681" s="4" t="s">
        <v>56</v>
      </c>
      <c r="C681" s="4" t="s">
        <v>72</v>
      </c>
      <c r="D681" s="4" t="s">
        <v>113</v>
      </c>
      <c r="E681" s="4" t="s">
        <v>63</v>
      </c>
      <c r="F681" s="4" t="s">
        <v>63</v>
      </c>
      <c r="G681" s="4" t="s">
        <v>671</v>
      </c>
      <c r="H681" s="4"/>
      <c r="I681" s="4" t="n">
        <v>0.4323</v>
      </c>
      <c r="J681" s="4" t="str">
        <f aca="false">TRIM(E681) &amp; TRIM(C681) &amp; TRIM(D681)</f>
        <v>First ReviewBid ImageNL</v>
      </c>
      <c r="K681" s="4" t="n">
        <f aca="false">IFERROR(I681*60,"")</f>
        <v>25.938</v>
      </c>
    </row>
    <row r="682" customFormat="false" ht="15" hidden="false" customHeight="false" outlineLevel="0" collapsed="false">
      <c r="A682" s="4" t="s">
        <v>15</v>
      </c>
      <c r="B682" s="4" t="s">
        <v>56</v>
      </c>
      <c r="C682" s="4" t="s">
        <v>81</v>
      </c>
      <c r="D682" s="4" t="s">
        <v>150</v>
      </c>
      <c r="E682" s="4" t="s">
        <v>63</v>
      </c>
      <c r="F682" s="4" t="s">
        <v>63</v>
      </c>
      <c r="G682" s="4" t="s">
        <v>672</v>
      </c>
      <c r="H682" s="4"/>
      <c r="I682" s="4" t="n">
        <v>0.5674</v>
      </c>
      <c r="J682" s="4" t="str">
        <f aca="false">TRIM(E682) &amp; TRIM(C682) &amp; TRIM(D682)</f>
        <v>First ReviewBid TextDE</v>
      </c>
      <c r="K682" s="4" t="n">
        <f aca="false">IFERROR(I682*60,"")</f>
        <v>34.044</v>
      </c>
    </row>
    <row r="683" customFormat="false" ht="15" hidden="false" customHeight="false" outlineLevel="0" collapsed="false">
      <c r="A683" s="4" t="s">
        <v>15</v>
      </c>
      <c r="B683" s="4" t="s">
        <v>56</v>
      </c>
      <c r="C683" s="4" t="s">
        <v>72</v>
      </c>
      <c r="D683" s="4" t="s">
        <v>306</v>
      </c>
      <c r="E683" s="4" t="s">
        <v>63</v>
      </c>
      <c r="F683" s="4" t="s">
        <v>63</v>
      </c>
      <c r="G683" s="4" t="s">
        <v>673</v>
      </c>
      <c r="H683" s="4"/>
      <c r="I683" s="4" t="n">
        <v>0.1448</v>
      </c>
      <c r="J683" s="4" t="str">
        <f aca="false">TRIM(E683) &amp; TRIM(C683) &amp; TRIM(D683)</f>
        <v>First ReviewBid ImageTH</v>
      </c>
      <c r="K683" s="4" t="n">
        <f aca="false">IFERROR(I683*60,"")</f>
        <v>8.688</v>
      </c>
    </row>
    <row r="684" customFormat="false" ht="15" hidden="false" customHeight="false" outlineLevel="0" collapsed="false">
      <c r="A684" s="4" t="s">
        <v>15</v>
      </c>
      <c r="B684" s="4" t="s">
        <v>56</v>
      </c>
      <c r="C684" s="4" t="s">
        <v>61</v>
      </c>
      <c r="D684" s="4" t="s">
        <v>458</v>
      </c>
      <c r="E684" s="4" t="s">
        <v>63</v>
      </c>
      <c r="F684" s="4" t="s">
        <v>63</v>
      </c>
      <c r="G684" s="4" t="s">
        <v>674</v>
      </c>
      <c r="H684" s="4"/>
      <c r="I684" s="4" t="n">
        <v>2.1708</v>
      </c>
      <c r="J684" s="4" t="str">
        <f aca="false">TRIM(E684) &amp; TRIM(C684) &amp; TRIM(D684)</f>
        <v>First ReviewBid Ecom URLTW</v>
      </c>
      <c r="K684" s="4" t="n">
        <f aca="false">IFERROR(I684*60,"")</f>
        <v>130.248</v>
      </c>
    </row>
    <row r="685" customFormat="false" ht="15" hidden="false" customHeight="false" outlineLevel="0" collapsed="false">
      <c r="A685" s="4" t="s">
        <v>15</v>
      </c>
      <c r="B685" s="4" t="s">
        <v>56</v>
      </c>
      <c r="C685" s="4" t="s">
        <v>75</v>
      </c>
      <c r="D685" s="4" t="s">
        <v>275</v>
      </c>
      <c r="E685" s="4" t="s">
        <v>63</v>
      </c>
      <c r="F685" s="4" t="s">
        <v>63</v>
      </c>
      <c r="G685" s="4" t="s">
        <v>276</v>
      </c>
      <c r="H685" s="4"/>
      <c r="I685" s="4" t="n">
        <v>3.6968</v>
      </c>
      <c r="J685" s="4" t="str">
        <f aca="false">TRIM(E685) &amp; TRIM(C685) &amp; TRIM(D685)</f>
        <v>First ReviewBid Ecom Ads GroupGB</v>
      </c>
      <c r="K685" s="4" t="n">
        <f aca="false">IFERROR(I685*60,"")</f>
        <v>221.808</v>
      </c>
    </row>
    <row r="686" customFormat="false" ht="15" hidden="false" customHeight="false" outlineLevel="0" collapsed="false">
      <c r="A686" s="4" t="s">
        <v>15</v>
      </c>
      <c r="B686" s="4" t="s">
        <v>56</v>
      </c>
      <c r="C686" s="4" t="s">
        <v>72</v>
      </c>
      <c r="D686" s="4" t="s">
        <v>251</v>
      </c>
      <c r="E686" s="4" t="s">
        <v>63</v>
      </c>
      <c r="F686" s="4" t="s">
        <v>63</v>
      </c>
      <c r="G686" s="4" t="s">
        <v>675</v>
      </c>
      <c r="H686" s="4"/>
      <c r="I686" s="4" t="n">
        <v>1.133</v>
      </c>
      <c r="J686" s="4" t="str">
        <f aca="false">TRIM(E686) &amp; TRIM(C686) &amp; TRIM(D686)</f>
        <v>First ReviewBid ImageRO</v>
      </c>
      <c r="K686" s="4" t="n">
        <f aca="false">IFERROR(I686*60,"")</f>
        <v>67.98</v>
      </c>
    </row>
    <row r="687" customFormat="false" ht="15" hidden="false" customHeight="false" outlineLevel="0" collapsed="false">
      <c r="A687" s="4" t="s">
        <v>15</v>
      </c>
      <c r="B687" s="4" t="s">
        <v>56</v>
      </c>
      <c r="C687" s="4" t="s">
        <v>84</v>
      </c>
      <c r="D687" s="4" t="s">
        <v>210</v>
      </c>
      <c r="E687" s="4" t="s">
        <v>63</v>
      </c>
      <c r="F687" s="4" t="s">
        <v>63</v>
      </c>
      <c r="G687" s="4" t="s">
        <v>676</v>
      </c>
      <c r="H687" s="4"/>
      <c r="I687" s="4" t="n">
        <v>1.2427</v>
      </c>
      <c r="J687" s="4" t="str">
        <f aca="false">TRIM(E687) &amp; TRIM(C687) &amp; TRIM(D687)</f>
        <v>First ReviewBid Ecom VideoPK</v>
      </c>
      <c r="K687" s="4" t="n">
        <f aca="false">IFERROR(I687*60,"")</f>
        <v>74.562</v>
      </c>
    </row>
    <row r="688" customFormat="false" ht="15" hidden="false" customHeight="false" outlineLevel="0" collapsed="false">
      <c r="A688" s="4" t="s">
        <v>15</v>
      </c>
      <c r="B688" s="4" t="s">
        <v>56</v>
      </c>
      <c r="C688" s="4" t="s">
        <v>72</v>
      </c>
      <c r="D688" s="4" t="s">
        <v>289</v>
      </c>
      <c r="E688" s="4" t="s">
        <v>63</v>
      </c>
      <c r="F688" s="4" t="s">
        <v>63</v>
      </c>
      <c r="G688" s="4" t="s">
        <v>677</v>
      </c>
      <c r="H688" s="4"/>
      <c r="I688" s="4" t="n">
        <v>0.3354</v>
      </c>
      <c r="J688" s="4" t="str">
        <f aca="false">TRIM(E688) &amp; TRIM(C688) &amp; TRIM(D688)</f>
        <v>First ReviewBid ImageLK</v>
      </c>
      <c r="K688" s="4" t="n">
        <f aca="false">IFERROR(I688*60,"")</f>
        <v>20.124</v>
      </c>
    </row>
    <row r="689" customFormat="false" ht="15" hidden="false" customHeight="false" outlineLevel="0" collapsed="false">
      <c r="A689" s="4" t="s">
        <v>15</v>
      </c>
      <c r="B689" s="4" t="s">
        <v>56</v>
      </c>
      <c r="C689" s="4" t="s">
        <v>57</v>
      </c>
      <c r="D689" s="4" t="s">
        <v>284</v>
      </c>
      <c r="E689" s="4" t="s">
        <v>59</v>
      </c>
      <c r="F689" s="4" t="s">
        <v>59</v>
      </c>
      <c r="G689" s="4" t="s">
        <v>323</v>
      </c>
      <c r="H689" s="4"/>
      <c r="I689" s="4" t="n">
        <v>6.1847</v>
      </c>
      <c r="J689" s="4" t="str">
        <f aca="false">TRIM(E689) &amp; TRIM(C689) &amp; TRIM(D689)</f>
        <v>Re-reviewBid Ad GroupTR</v>
      </c>
      <c r="K689" s="4" t="n">
        <f aca="false">IFERROR(I689*60,"")</f>
        <v>371.082</v>
      </c>
    </row>
    <row r="690" customFormat="false" ht="15" hidden="false" customHeight="false" outlineLevel="0" collapsed="false">
      <c r="A690" s="4" t="s">
        <v>15</v>
      </c>
      <c r="B690" s="4" t="s">
        <v>56</v>
      </c>
      <c r="C690" s="4" t="s">
        <v>61</v>
      </c>
      <c r="D690" s="4" t="s">
        <v>87</v>
      </c>
      <c r="E690" s="4" t="s">
        <v>63</v>
      </c>
      <c r="F690" s="4" t="s">
        <v>63</v>
      </c>
      <c r="G690" s="4" t="s">
        <v>678</v>
      </c>
      <c r="H690" s="4"/>
      <c r="I690" s="4" t="n">
        <v>0.8241</v>
      </c>
      <c r="J690" s="4" t="str">
        <f aca="false">TRIM(E690) &amp; TRIM(C690) &amp; TRIM(D690)</f>
        <v>First ReviewBid Ecom URLAE</v>
      </c>
      <c r="K690" s="4" t="n">
        <f aca="false">IFERROR(I690*60,"")</f>
        <v>49.446</v>
      </c>
    </row>
    <row r="691" customFormat="false" ht="15" hidden="false" customHeight="false" outlineLevel="0" collapsed="false">
      <c r="A691" s="4" t="s">
        <v>15</v>
      </c>
      <c r="B691" s="4" t="s">
        <v>56</v>
      </c>
      <c r="C691" s="4" t="s">
        <v>93</v>
      </c>
      <c r="D691" s="4" t="s">
        <v>238</v>
      </c>
      <c r="E691" s="4" t="s">
        <v>63</v>
      </c>
      <c r="F691" s="4" t="s">
        <v>63</v>
      </c>
      <c r="G691" s="4" t="s">
        <v>679</v>
      </c>
      <c r="H691" s="4"/>
      <c r="I691" s="4" t="n">
        <v>0.8383</v>
      </c>
      <c r="J691" s="4" t="str">
        <f aca="false">TRIM(E691) &amp; TRIM(C691) &amp; TRIM(D691)</f>
        <v>First ReviewBid AudioCH</v>
      </c>
      <c r="K691" s="4" t="n">
        <f aca="false">IFERROR(I691*60,"")</f>
        <v>50.298</v>
      </c>
    </row>
    <row r="692" customFormat="false" ht="15" hidden="false" customHeight="false" outlineLevel="0" collapsed="false">
      <c r="A692" s="4" t="s">
        <v>15</v>
      </c>
      <c r="B692" s="4" t="s">
        <v>56</v>
      </c>
      <c r="C692" s="4" t="s">
        <v>69</v>
      </c>
      <c r="D692" s="4" t="s">
        <v>150</v>
      </c>
      <c r="E692" s="4" t="s">
        <v>63</v>
      </c>
      <c r="F692" s="4" t="s">
        <v>63</v>
      </c>
      <c r="G692" s="4" t="s">
        <v>680</v>
      </c>
      <c r="H692" s="4"/>
      <c r="I692" s="4" t="n">
        <v>1.2569</v>
      </c>
      <c r="J692" s="4" t="str">
        <f aca="false">TRIM(E692) &amp; TRIM(C692) &amp; TRIM(D692)</f>
        <v>First ReviewBid LinkDE</v>
      </c>
      <c r="K692" s="4" t="n">
        <f aca="false">IFERROR(I692*60,"")</f>
        <v>75.414</v>
      </c>
    </row>
    <row r="693" customFormat="false" ht="15" hidden="false" customHeight="false" outlineLevel="0" collapsed="false">
      <c r="A693" s="4" t="s">
        <v>15</v>
      </c>
      <c r="B693" s="4" t="s">
        <v>56</v>
      </c>
      <c r="C693" s="4" t="s">
        <v>75</v>
      </c>
      <c r="D693" s="4" t="s">
        <v>115</v>
      </c>
      <c r="E693" s="4" t="s">
        <v>59</v>
      </c>
      <c r="F693" s="4" t="s">
        <v>59</v>
      </c>
      <c r="G693" s="4" t="s">
        <v>138</v>
      </c>
      <c r="H693" s="4"/>
      <c r="I693" s="4" t="n">
        <v>6.5909</v>
      </c>
      <c r="J693" s="4" t="str">
        <f aca="false">TRIM(E693) &amp; TRIM(C693) &amp; TRIM(D693)</f>
        <v>Re-reviewBid Ecom Ads GroupAT</v>
      </c>
      <c r="K693" s="4" t="n">
        <f aca="false">IFERROR(I693*60,"")</f>
        <v>395.454</v>
      </c>
    </row>
    <row r="694" customFormat="false" ht="15" hidden="false" customHeight="false" outlineLevel="0" collapsed="false">
      <c r="A694" s="4" t="s">
        <v>15</v>
      </c>
      <c r="B694" s="4" t="s">
        <v>56</v>
      </c>
      <c r="C694" s="4" t="s">
        <v>69</v>
      </c>
      <c r="D694" s="4" t="s">
        <v>265</v>
      </c>
      <c r="E694" s="4" t="s">
        <v>63</v>
      </c>
      <c r="F694" s="4" t="s">
        <v>63</v>
      </c>
      <c r="G694" s="4" t="s">
        <v>681</v>
      </c>
      <c r="H694" s="4"/>
      <c r="I694" s="4" t="n">
        <v>1.0603</v>
      </c>
      <c r="J694" s="4" t="str">
        <f aca="false">TRIM(E694) &amp; TRIM(C694) &amp; TRIM(D694)</f>
        <v>First ReviewBid LinkNO</v>
      </c>
      <c r="K694" s="4" t="n">
        <f aca="false">IFERROR(I694*60,"")</f>
        <v>63.618</v>
      </c>
    </row>
    <row r="695" customFormat="false" ht="15" hidden="false" customHeight="false" outlineLevel="0" collapsed="false">
      <c r="A695" s="4" t="s">
        <v>15</v>
      </c>
      <c r="B695" s="4" t="s">
        <v>56</v>
      </c>
      <c r="C695" s="4" t="s">
        <v>72</v>
      </c>
      <c r="D695" s="4" t="s">
        <v>458</v>
      </c>
      <c r="E695" s="4" t="s">
        <v>63</v>
      </c>
      <c r="F695" s="4" t="s">
        <v>63</v>
      </c>
      <c r="G695" s="4" t="s">
        <v>682</v>
      </c>
      <c r="H695" s="4"/>
      <c r="I695" s="4" t="n">
        <v>1.3362</v>
      </c>
      <c r="J695" s="4" t="str">
        <f aca="false">TRIM(E695) &amp; TRIM(C695) &amp; TRIM(D695)</f>
        <v>First ReviewBid ImageTW</v>
      </c>
      <c r="K695" s="4" t="n">
        <f aca="false">IFERROR(I695*60,"")</f>
        <v>80.172</v>
      </c>
    </row>
    <row r="696" customFormat="false" ht="15" hidden="false" customHeight="false" outlineLevel="0" collapsed="false">
      <c r="A696" s="4" t="s">
        <v>15</v>
      </c>
      <c r="B696" s="4" t="s">
        <v>56</v>
      </c>
      <c r="C696" s="4" t="s">
        <v>72</v>
      </c>
      <c r="D696" s="4" t="s">
        <v>206</v>
      </c>
      <c r="E696" s="4" t="s">
        <v>63</v>
      </c>
      <c r="F696" s="4" t="s">
        <v>63</v>
      </c>
      <c r="G696" s="4" t="s">
        <v>683</v>
      </c>
      <c r="H696" s="4"/>
      <c r="I696" s="4" t="n">
        <v>0.1229</v>
      </c>
      <c r="J696" s="4" t="str">
        <f aca="false">TRIM(E696) &amp; TRIM(C696) &amp; TRIM(D696)</f>
        <v>First ReviewBid ImageDZ</v>
      </c>
      <c r="K696" s="4" t="n">
        <f aca="false">IFERROR(I696*60,"")</f>
        <v>7.374</v>
      </c>
    </row>
    <row r="697" customFormat="false" ht="15" hidden="false" customHeight="false" outlineLevel="0" collapsed="false">
      <c r="A697" s="4" t="s">
        <v>15</v>
      </c>
      <c r="B697" s="4" t="s">
        <v>56</v>
      </c>
      <c r="C697" s="4" t="s">
        <v>57</v>
      </c>
      <c r="D697" s="4" t="s">
        <v>141</v>
      </c>
      <c r="E697" s="4" t="s">
        <v>66</v>
      </c>
      <c r="F697" s="4" t="s">
        <v>67</v>
      </c>
      <c r="G697" s="4" t="s">
        <v>517</v>
      </c>
      <c r="H697" s="4"/>
      <c r="I697" s="4" t="n">
        <v>1.7877</v>
      </c>
      <c r="J697" s="4" t="str">
        <f aca="false">TRIM(E697) &amp; TRIM(C697) &amp; TRIM(D697)</f>
        <v>Posted RecallBid Ad GroupAZ</v>
      </c>
      <c r="K697" s="4" t="n">
        <f aca="false">IFERROR(I697*60,"")</f>
        <v>107.262</v>
      </c>
    </row>
    <row r="698" customFormat="false" ht="15" hidden="false" customHeight="false" outlineLevel="0" collapsed="false">
      <c r="A698" s="4" t="s">
        <v>15</v>
      </c>
      <c r="B698" s="4" t="s">
        <v>56</v>
      </c>
      <c r="C698" s="4" t="s">
        <v>57</v>
      </c>
      <c r="D698" s="4" t="s">
        <v>246</v>
      </c>
      <c r="E698" s="4" t="s">
        <v>66</v>
      </c>
      <c r="F698" s="4" t="s">
        <v>67</v>
      </c>
      <c r="G698" s="4" t="s">
        <v>247</v>
      </c>
      <c r="H698" s="4"/>
      <c r="I698" s="4" t="n">
        <v>2.7692</v>
      </c>
      <c r="J698" s="4" t="str">
        <f aca="false">TRIM(E698) &amp; TRIM(C698) &amp; TRIM(D698)</f>
        <v>Posted RecallBid Ad GroupLV</v>
      </c>
      <c r="K698" s="4" t="n">
        <f aca="false">IFERROR(I698*60,"")</f>
        <v>166.152</v>
      </c>
    </row>
    <row r="699" customFormat="false" ht="15" hidden="false" customHeight="false" outlineLevel="0" collapsed="false">
      <c r="A699" s="4" t="s">
        <v>15</v>
      </c>
      <c r="B699" s="4" t="s">
        <v>56</v>
      </c>
      <c r="C699" s="4" t="s">
        <v>57</v>
      </c>
      <c r="D699" s="4" t="s">
        <v>284</v>
      </c>
      <c r="E699" s="4" t="s">
        <v>63</v>
      </c>
      <c r="F699" s="4" t="s">
        <v>63</v>
      </c>
      <c r="G699" s="4" t="s">
        <v>323</v>
      </c>
      <c r="H699" s="4"/>
      <c r="I699" s="4" t="n">
        <v>1.1722</v>
      </c>
      <c r="J699" s="4" t="str">
        <f aca="false">TRIM(E699) &amp; TRIM(C699) &amp; TRIM(D699)</f>
        <v>First ReviewBid Ad GroupTR</v>
      </c>
      <c r="K699" s="4" t="n">
        <f aca="false">IFERROR(I699*60,"")</f>
        <v>70.332</v>
      </c>
    </row>
    <row r="700" customFormat="false" ht="15" hidden="false" customHeight="false" outlineLevel="0" collapsed="false">
      <c r="A700" s="4" t="s">
        <v>15</v>
      </c>
      <c r="B700" s="4" t="s">
        <v>56</v>
      </c>
      <c r="C700" s="4" t="s">
        <v>72</v>
      </c>
      <c r="D700" s="4" t="s">
        <v>121</v>
      </c>
      <c r="E700" s="4" t="s">
        <v>63</v>
      </c>
      <c r="F700" s="4" t="s">
        <v>63</v>
      </c>
      <c r="G700" s="4" t="s">
        <v>684</v>
      </c>
      <c r="H700" s="4"/>
      <c r="I700" s="4" t="n">
        <v>1.2103</v>
      </c>
      <c r="J700" s="4" t="str">
        <f aca="false">TRIM(E700) &amp; TRIM(C700) &amp; TRIM(D700)</f>
        <v>First ReviewBid ImageKR</v>
      </c>
      <c r="K700" s="4" t="n">
        <f aca="false">IFERROR(I700*60,"")</f>
        <v>72.618</v>
      </c>
    </row>
    <row r="701" customFormat="false" ht="15" hidden="false" customHeight="false" outlineLevel="0" collapsed="false">
      <c r="A701" s="4" t="s">
        <v>15</v>
      </c>
      <c r="B701" s="4" t="s">
        <v>56</v>
      </c>
      <c r="C701" s="4" t="s">
        <v>75</v>
      </c>
      <c r="D701" s="4" t="s">
        <v>221</v>
      </c>
      <c r="E701" s="4" t="s">
        <v>66</v>
      </c>
      <c r="F701" s="4" t="s">
        <v>67</v>
      </c>
      <c r="G701" s="4" t="s">
        <v>627</v>
      </c>
      <c r="H701" s="4"/>
      <c r="I701" s="4" t="n">
        <v>4.3179</v>
      </c>
      <c r="J701" s="4" t="str">
        <f aca="false">TRIM(E701) &amp; TRIM(C701) &amp; TRIM(D701)</f>
        <v>Posted RecallBid Ecom Ads GroupOM</v>
      </c>
      <c r="K701" s="4" t="n">
        <f aca="false">IFERROR(I701*60,"")</f>
        <v>259.074</v>
      </c>
    </row>
    <row r="702" customFormat="false" ht="15" hidden="false" customHeight="false" outlineLevel="0" collapsed="false">
      <c r="A702" s="4" t="s">
        <v>15</v>
      </c>
      <c r="B702" s="4" t="s">
        <v>56</v>
      </c>
      <c r="C702" s="4" t="s">
        <v>75</v>
      </c>
      <c r="D702" s="4" t="s">
        <v>197</v>
      </c>
      <c r="E702" s="4" t="s">
        <v>59</v>
      </c>
      <c r="F702" s="4" t="s">
        <v>59</v>
      </c>
      <c r="G702" s="4" t="s">
        <v>352</v>
      </c>
      <c r="H702" s="4"/>
      <c r="I702" s="4" t="n">
        <v>4.1314</v>
      </c>
      <c r="J702" s="4" t="str">
        <f aca="false">TRIM(E702) &amp; TRIM(C702) &amp; TRIM(D702)</f>
        <v>Re-reviewBid Ecom Ads GroupGR</v>
      </c>
      <c r="K702" s="4" t="n">
        <f aca="false">IFERROR(I702*60,"")</f>
        <v>247.884</v>
      </c>
    </row>
    <row r="703" customFormat="false" ht="15" hidden="false" customHeight="false" outlineLevel="0" collapsed="false">
      <c r="A703" s="4" t="s">
        <v>15</v>
      </c>
      <c r="B703" s="4" t="s">
        <v>56</v>
      </c>
      <c r="C703" s="4" t="s">
        <v>57</v>
      </c>
      <c r="D703" s="4" t="s">
        <v>210</v>
      </c>
      <c r="E703" s="4" t="s">
        <v>66</v>
      </c>
      <c r="F703" s="4" t="s">
        <v>67</v>
      </c>
      <c r="G703" s="4" t="s">
        <v>277</v>
      </c>
      <c r="H703" s="4"/>
      <c r="I703" s="4" t="n">
        <v>1.7938</v>
      </c>
      <c r="J703" s="4" t="str">
        <f aca="false">TRIM(E703) &amp; TRIM(C703) &amp; TRIM(D703)</f>
        <v>Posted RecallBid Ad GroupPK</v>
      </c>
      <c r="K703" s="4" t="n">
        <f aca="false">IFERROR(I703*60,"")</f>
        <v>107.628</v>
      </c>
    </row>
    <row r="704" customFormat="false" ht="15" hidden="false" customHeight="false" outlineLevel="0" collapsed="false">
      <c r="A704" s="4" t="s">
        <v>15</v>
      </c>
      <c r="B704" s="4" t="s">
        <v>56</v>
      </c>
      <c r="C704" s="4" t="s">
        <v>75</v>
      </c>
      <c r="D704" s="4" t="s">
        <v>136</v>
      </c>
      <c r="E704" s="4" t="s">
        <v>66</v>
      </c>
      <c r="F704" s="4" t="s">
        <v>67</v>
      </c>
      <c r="G704" s="4" t="s">
        <v>685</v>
      </c>
      <c r="H704" s="4"/>
      <c r="I704" s="4" t="n">
        <v>1.6948</v>
      </c>
      <c r="J704" s="4" t="str">
        <f aca="false">TRIM(E704) &amp; TRIM(C704) &amp; TRIM(D704)</f>
        <v>Posted RecallBid Ecom Ads GroupPE</v>
      </c>
      <c r="K704" s="4" t="n">
        <f aca="false">IFERROR(I704*60,"")</f>
        <v>101.688</v>
      </c>
    </row>
    <row r="705" customFormat="false" ht="15" hidden="false" customHeight="false" outlineLevel="0" collapsed="false">
      <c r="A705" s="4" t="s">
        <v>15</v>
      </c>
      <c r="B705" s="4" t="s">
        <v>56</v>
      </c>
      <c r="C705" s="4" t="s">
        <v>57</v>
      </c>
      <c r="D705" s="4" t="s">
        <v>275</v>
      </c>
      <c r="E705" s="4" t="s">
        <v>59</v>
      </c>
      <c r="F705" s="4" t="s">
        <v>59</v>
      </c>
      <c r="G705" s="4" t="s">
        <v>325</v>
      </c>
      <c r="H705" s="4"/>
      <c r="I705" s="4" t="n">
        <v>10.6344</v>
      </c>
      <c r="J705" s="4" t="str">
        <f aca="false">TRIM(E705) &amp; TRIM(C705) &amp; TRIM(D705)</f>
        <v>Re-reviewBid Ad GroupGB</v>
      </c>
      <c r="K705" s="4" t="n">
        <f aca="false">IFERROR(I705*60,"")</f>
        <v>638.064</v>
      </c>
    </row>
    <row r="706" customFormat="false" ht="15" hidden="false" customHeight="false" outlineLevel="0" collapsed="false">
      <c r="A706" s="4" t="s">
        <v>15</v>
      </c>
      <c r="B706" s="4" t="s">
        <v>56</v>
      </c>
      <c r="C706" s="4" t="s">
        <v>78</v>
      </c>
      <c r="D706" s="4" t="s">
        <v>262</v>
      </c>
      <c r="E706" s="4" t="s">
        <v>63</v>
      </c>
      <c r="F706" s="4" t="s">
        <v>63</v>
      </c>
      <c r="G706" s="4" t="s">
        <v>686</v>
      </c>
      <c r="H706" s="4"/>
      <c r="I706" s="4" t="n">
        <v>0.7972</v>
      </c>
      <c r="J706" s="4" t="str">
        <f aca="false">TRIM(E706) &amp; TRIM(C706) &amp; TRIM(D706)</f>
        <v>First ReviewBid VideoSI</v>
      </c>
      <c r="K706" s="4" t="n">
        <f aca="false">IFERROR(I706*60,"")</f>
        <v>47.832</v>
      </c>
    </row>
    <row r="707" customFormat="false" ht="15" hidden="false" customHeight="false" outlineLevel="0" collapsed="false">
      <c r="A707" s="4" t="s">
        <v>15</v>
      </c>
      <c r="B707" s="4" t="s">
        <v>56</v>
      </c>
      <c r="C707" s="4" t="s">
        <v>93</v>
      </c>
      <c r="D707" s="4" t="s">
        <v>299</v>
      </c>
      <c r="E707" s="4" t="s">
        <v>63</v>
      </c>
      <c r="F707" s="4" t="s">
        <v>63</v>
      </c>
      <c r="G707" s="4" t="s">
        <v>687</v>
      </c>
      <c r="H707" s="4"/>
      <c r="I707" s="4" t="n">
        <v>0.1512</v>
      </c>
      <c r="J707" s="4" t="str">
        <f aca="false">TRIM(E707) &amp; TRIM(C707) &amp; TRIM(D707)</f>
        <v>First ReviewBid AudioQA</v>
      </c>
      <c r="K707" s="4" t="n">
        <f aca="false">IFERROR(I707*60,"")</f>
        <v>9.072</v>
      </c>
    </row>
    <row r="708" customFormat="false" ht="15" hidden="false" customHeight="false" outlineLevel="0" collapsed="false">
      <c r="A708" s="4" t="s">
        <v>15</v>
      </c>
      <c r="B708" s="4" t="s">
        <v>56</v>
      </c>
      <c r="C708" s="4" t="s">
        <v>75</v>
      </c>
      <c r="D708" s="4" t="s">
        <v>458</v>
      </c>
      <c r="E708" s="4" t="s">
        <v>66</v>
      </c>
      <c r="F708" s="4" t="s">
        <v>67</v>
      </c>
      <c r="G708" s="4" t="s">
        <v>688</v>
      </c>
      <c r="H708" s="4"/>
      <c r="I708" s="4" t="n">
        <v>1.7148</v>
      </c>
      <c r="J708" s="4" t="str">
        <f aca="false">TRIM(E708) &amp; TRIM(C708) &amp; TRIM(D708)</f>
        <v>Posted RecallBid Ecom Ads GroupTW</v>
      </c>
      <c r="K708" s="4" t="n">
        <f aca="false">IFERROR(I708*60,"")</f>
        <v>102.888</v>
      </c>
    </row>
    <row r="709" customFormat="false" ht="15" hidden="false" customHeight="false" outlineLevel="0" collapsed="false">
      <c r="A709" s="4" t="s">
        <v>15</v>
      </c>
      <c r="B709" s="4" t="s">
        <v>56</v>
      </c>
      <c r="C709" s="4" t="s">
        <v>57</v>
      </c>
      <c r="D709" s="4" t="s">
        <v>136</v>
      </c>
      <c r="E709" s="4" t="s">
        <v>63</v>
      </c>
      <c r="F709" s="4" t="s">
        <v>63</v>
      </c>
      <c r="G709" s="4" t="s">
        <v>294</v>
      </c>
      <c r="H709" s="4"/>
      <c r="I709" s="4" t="n">
        <v>1.7895</v>
      </c>
      <c r="J709" s="4" t="str">
        <f aca="false">TRIM(E709) &amp; TRIM(C709) &amp; TRIM(D709)</f>
        <v>First ReviewBid Ad GroupPE</v>
      </c>
      <c r="K709" s="4" t="n">
        <f aca="false">IFERROR(I709*60,"")</f>
        <v>107.37</v>
      </c>
    </row>
    <row r="710" customFormat="false" ht="15" hidden="false" customHeight="false" outlineLevel="0" collapsed="false">
      <c r="A710" s="4" t="s">
        <v>15</v>
      </c>
      <c r="B710" s="4" t="s">
        <v>56</v>
      </c>
      <c r="C710" s="4" t="s">
        <v>72</v>
      </c>
      <c r="D710" s="4" t="s">
        <v>124</v>
      </c>
      <c r="E710" s="4" t="s">
        <v>63</v>
      </c>
      <c r="F710" s="4" t="s">
        <v>63</v>
      </c>
      <c r="G710" s="4" t="s">
        <v>689</v>
      </c>
      <c r="H710" s="4"/>
      <c r="I710" s="4" t="n">
        <v>0.6369</v>
      </c>
      <c r="J710" s="4" t="str">
        <f aca="false">TRIM(E710) &amp; TRIM(C710) &amp; TRIM(D710)</f>
        <v>First ReviewBid ImagePT</v>
      </c>
      <c r="K710" s="4" t="n">
        <f aca="false">IFERROR(I710*60,"")</f>
        <v>38.214</v>
      </c>
    </row>
    <row r="711" customFormat="false" ht="15" hidden="false" customHeight="false" outlineLevel="0" collapsed="false">
      <c r="A711" s="4" t="s">
        <v>15</v>
      </c>
      <c r="B711" s="4" t="s">
        <v>56</v>
      </c>
      <c r="C711" s="4" t="s">
        <v>78</v>
      </c>
      <c r="D711" s="4" t="s">
        <v>85</v>
      </c>
      <c r="E711" s="4" t="s">
        <v>63</v>
      </c>
      <c r="F711" s="4" t="s">
        <v>63</v>
      </c>
      <c r="G711" s="4" t="s">
        <v>690</v>
      </c>
      <c r="H711" s="4"/>
      <c r="I711" s="4" t="n">
        <v>0.8299</v>
      </c>
      <c r="J711" s="4" t="str">
        <f aca="false">TRIM(E711) &amp; TRIM(C711) &amp; TRIM(D711)</f>
        <v>First ReviewBid VideoEC</v>
      </c>
      <c r="K711" s="4" t="n">
        <f aca="false">IFERROR(I711*60,"")</f>
        <v>49.794</v>
      </c>
    </row>
    <row r="712" customFormat="false" ht="15" hidden="false" customHeight="false" outlineLevel="0" collapsed="false">
      <c r="A712" s="4" t="s">
        <v>15</v>
      </c>
      <c r="B712" s="4" t="s">
        <v>56</v>
      </c>
      <c r="C712" s="4" t="s">
        <v>81</v>
      </c>
      <c r="D712" s="4" t="s">
        <v>357</v>
      </c>
      <c r="E712" s="4" t="s">
        <v>63</v>
      </c>
      <c r="F712" s="4" t="s">
        <v>63</v>
      </c>
      <c r="G712" s="4" t="s">
        <v>691</v>
      </c>
      <c r="H712" s="4"/>
      <c r="I712" s="4" t="n">
        <v>1.1375</v>
      </c>
      <c r="J712" s="4" t="str">
        <f aca="false">TRIM(E712) &amp; TRIM(C712) &amp; TRIM(D712)</f>
        <v>First ReviewBid TextHU</v>
      </c>
      <c r="K712" s="4" t="n">
        <f aca="false">IFERROR(I712*60,"")</f>
        <v>68.25</v>
      </c>
    </row>
    <row r="713" customFormat="false" ht="15" hidden="false" customHeight="false" outlineLevel="0" collapsed="false">
      <c r="A713" s="4" t="s">
        <v>15</v>
      </c>
      <c r="B713" s="4" t="s">
        <v>56</v>
      </c>
      <c r="C713" s="4" t="s">
        <v>69</v>
      </c>
      <c r="D713" s="4" t="s">
        <v>164</v>
      </c>
      <c r="E713" s="4" t="s">
        <v>63</v>
      </c>
      <c r="F713" s="4" t="s">
        <v>63</v>
      </c>
      <c r="G713" s="4" t="s">
        <v>692</v>
      </c>
      <c r="H713" s="4"/>
      <c r="I713" s="4" t="n">
        <v>1.4386</v>
      </c>
      <c r="J713" s="4" t="str">
        <f aca="false">TRIM(E713) &amp; TRIM(C713) &amp; TRIM(D713)</f>
        <v>First ReviewBid LinkCR</v>
      </c>
      <c r="K713" s="4" t="n">
        <f aca="false">IFERROR(I713*60,"")</f>
        <v>86.316</v>
      </c>
    </row>
    <row r="714" customFormat="false" ht="15" hidden="false" customHeight="false" outlineLevel="0" collapsed="false">
      <c r="A714" s="4" t="s">
        <v>15</v>
      </c>
      <c r="B714" s="4" t="s">
        <v>56</v>
      </c>
      <c r="C714" s="4" t="s">
        <v>84</v>
      </c>
      <c r="D714" s="4" t="s">
        <v>157</v>
      </c>
      <c r="E714" s="4" t="s">
        <v>63</v>
      </c>
      <c r="F714" s="4" t="s">
        <v>63</v>
      </c>
      <c r="G714" s="4" t="s">
        <v>693</v>
      </c>
      <c r="H714" s="4"/>
      <c r="I714" s="4" t="n">
        <v>0.982</v>
      </c>
      <c r="J714" s="4" t="str">
        <f aca="false">TRIM(E714) &amp; TRIM(C714) &amp; TRIM(D714)</f>
        <v>First ReviewBid Ecom VideoSA</v>
      </c>
      <c r="K714" s="4" t="n">
        <f aca="false">IFERROR(I714*60,"")</f>
        <v>58.92</v>
      </c>
    </row>
    <row r="715" customFormat="false" ht="15" hidden="false" customHeight="false" outlineLevel="0" collapsed="false">
      <c r="A715" s="4" t="s">
        <v>15</v>
      </c>
      <c r="B715" s="4" t="s">
        <v>56</v>
      </c>
      <c r="C715" s="4" t="s">
        <v>72</v>
      </c>
      <c r="D715" s="4" t="s">
        <v>235</v>
      </c>
      <c r="E715" s="4" t="s">
        <v>63</v>
      </c>
      <c r="F715" s="4" t="s">
        <v>63</v>
      </c>
      <c r="G715" s="4" t="s">
        <v>694</v>
      </c>
      <c r="H715" s="4"/>
      <c r="I715" s="4" t="n">
        <v>0.5242</v>
      </c>
      <c r="J715" s="4" t="str">
        <f aca="false">TRIM(E715) &amp; TRIM(C715) &amp; TRIM(D715)</f>
        <v>First ReviewBid ImageJP</v>
      </c>
      <c r="K715" s="4" t="n">
        <f aca="false">IFERROR(I715*60,"")</f>
        <v>31.452</v>
      </c>
    </row>
    <row r="716" customFormat="false" ht="15" hidden="false" customHeight="false" outlineLevel="0" collapsed="false">
      <c r="A716" s="4" t="s">
        <v>15</v>
      </c>
      <c r="B716" s="4" t="s">
        <v>56</v>
      </c>
      <c r="C716" s="4" t="s">
        <v>84</v>
      </c>
      <c r="D716" s="4" t="s">
        <v>168</v>
      </c>
      <c r="E716" s="4" t="s">
        <v>63</v>
      </c>
      <c r="F716" s="4" t="s">
        <v>63</v>
      </c>
      <c r="G716" s="4" t="s">
        <v>695</v>
      </c>
      <c r="H716" s="4"/>
      <c r="I716" s="4" t="n">
        <v>1.0436</v>
      </c>
      <c r="J716" s="4" t="str">
        <f aca="false">TRIM(E716) &amp; TRIM(C716) &amp; TRIM(D716)</f>
        <v>First ReviewBid Ecom VideoKZ</v>
      </c>
      <c r="K716" s="4" t="n">
        <f aca="false">IFERROR(I716*60,"")</f>
        <v>62.616</v>
      </c>
    </row>
    <row r="717" customFormat="false" ht="15" hidden="false" customHeight="false" outlineLevel="0" collapsed="false">
      <c r="A717" s="4" t="s">
        <v>15</v>
      </c>
      <c r="B717" s="4" t="s">
        <v>56</v>
      </c>
      <c r="C717" s="4" t="s">
        <v>93</v>
      </c>
      <c r="D717" s="4" t="s">
        <v>79</v>
      </c>
      <c r="E717" s="4" t="s">
        <v>63</v>
      </c>
      <c r="F717" s="4" t="s">
        <v>63</v>
      </c>
      <c r="G717" s="4" t="s">
        <v>696</v>
      </c>
      <c r="H717" s="4"/>
      <c r="I717" s="4" t="n">
        <v>0.948</v>
      </c>
      <c r="J717" s="4" t="str">
        <f aca="false">TRIM(E717) &amp; TRIM(C717) &amp; TRIM(D717)</f>
        <v>First ReviewBid AudioZA</v>
      </c>
      <c r="K717" s="4" t="n">
        <f aca="false">IFERROR(I717*60,"")</f>
        <v>56.88</v>
      </c>
    </row>
    <row r="718" customFormat="false" ht="15" hidden="false" customHeight="false" outlineLevel="0" collapsed="false">
      <c r="A718" s="4" t="s">
        <v>15</v>
      </c>
      <c r="B718" s="4" t="s">
        <v>56</v>
      </c>
      <c r="C718" s="4" t="s">
        <v>61</v>
      </c>
      <c r="D718" s="4" t="s">
        <v>199</v>
      </c>
      <c r="E718" s="4" t="s">
        <v>63</v>
      </c>
      <c r="F718" s="4" t="s">
        <v>63</v>
      </c>
      <c r="G718" s="4" t="s">
        <v>697</v>
      </c>
      <c r="H718" s="4"/>
      <c r="I718" s="4" t="n">
        <v>0.7928</v>
      </c>
      <c r="J718" s="4" t="str">
        <f aca="false">TRIM(E718) &amp; TRIM(C718) &amp; TRIM(D718)</f>
        <v>First ReviewBid Ecom URLBH</v>
      </c>
      <c r="K718" s="4" t="n">
        <f aca="false">IFERROR(I718*60,"")</f>
        <v>47.568</v>
      </c>
    </row>
    <row r="719" customFormat="false" ht="15" hidden="false" customHeight="false" outlineLevel="0" collapsed="false">
      <c r="A719" s="4" t="s">
        <v>15</v>
      </c>
      <c r="B719" s="4" t="s">
        <v>56</v>
      </c>
      <c r="C719" s="4" t="s">
        <v>57</v>
      </c>
      <c r="D719" s="4" t="s">
        <v>65</v>
      </c>
      <c r="E719" s="4" t="s">
        <v>63</v>
      </c>
      <c r="F719" s="4" t="s">
        <v>63</v>
      </c>
      <c r="G719" s="4" t="s">
        <v>68</v>
      </c>
      <c r="H719" s="4"/>
      <c r="I719" s="4" t="n">
        <v>2.641</v>
      </c>
      <c r="J719" s="4" t="str">
        <f aca="false">TRIM(E719) &amp; TRIM(C719) &amp; TRIM(D719)</f>
        <v>First ReviewBid Ad GroupEE</v>
      </c>
      <c r="K719" s="4" t="n">
        <f aca="false">IFERROR(I719*60,"")</f>
        <v>158.46</v>
      </c>
    </row>
    <row r="720" customFormat="false" ht="15" hidden="false" customHeight="false" outlineLevel="0" collapsed="false">
      <c r="A720" s="4" t="s">
        <v>15</v>
      </c>
      <c r="B720" s="4" t="s">
        <v>56</v>
      </c>
      <c r="C720" s="4" t="s">
        <v>75</v>
      </c>
      <c r="D720" s="4" t="s">
        <v>58</v>
      </c>
      <c r="E720" s="4" t="s">
        <v>59</v>
      </c>
      <c r="F720" s="4" t="s">
        <v>59</v>
      </c>
      <c r="G720" s="4" t="s">
        <v>381</v>
      </c>
      <c r="H720" s="4"/>
      <c r="I720" s="4" t="n">
        <v>3.9696</v>
      </c>
      <c r="J720" s="4" t="str">
        <f aca="false">TRIM(E720) &amp; TRIM(C720) &amp; TRIM(D720)</f>
        <v>Re-reviewBid Ecom Ads GroupSG</v>
      </c>
      <c r="K720" s="4" t="n">
        <f aca="false">IFERROR(I720*60,"")</f>
        <v>238.176</v>
      </c>
    </row>
    <row r="721" customFormat="false" ht="15" hidden="false" customHeight="false" outlineLevel="0" collapsed="false">
      <c r="A721" s="4" t="s">
        <v>15</v>
      </c>
      <c r="B721" s="4" t="s">
        <v>56</v>
      </c>
      <c r="C721" s="4" t="s">
        <v>75</v>
      </c>
      <c r="D721" s="4" t="s">
        <v>126</v>
      </c>
      <c r="E721" s="4" t="s">
        <v>59</v>
      </c>
      <c r="F721" s="4" t="s">
        <v>59</v>
      </c>
      <c r="G721" s="4" t="s">
        <v>161</v>
      </c>
      <c r="H721" s="4"/>
      <c r="I721" s="4" t="n">
        <v>4.1915</v>
      </c>
      <c r="J721" s="4" t="str">
        <f aca="false">TRIM(E721) &amp; TRIM(C721) &amp; TRIM(D721)</f>
        <v>Re-reviewBid Ecom Ads GroupMX</v>
      </c>
      <c r="K721" s="4" t="n">
        <f aca="false">IFERROR(I721*60,"")</f>
        <v>251.49</v>
      </c>
    </row>
    <row r="722" customFormat="false" ht="15" hidden="false" customHeight="false" outlineLevel="0" collapsed="false">
      <c r="A722" s="4" t="s">
        <v>15</v>
      </c>
      <c r="B722" s="4" t="s">
        <v>56</v>
      </c>
      <c r="C722" s="4" t="s">
        <v>84</v>
      </c>
      <c r="D722" s="4" t="s">
        <v>458</v>
      </c>
      <c r="E722" s="4" t="s">
        <v>63</v>
      </c>
      <c r="F722" s="4" t="s">
        <v>63</v>
      </c>
      <c r="G722" s="4" t="s">
        <v>698</v>
      </c>
      <c r="H722" s="4"/>
      <c r="I722" s="4" t="n">
        <v>2.1702</v>
      </c>
      <c r="J722" s="4" t="str">
        <f aca="false">TRIM(E722) &amp; TRIM(C722) &amp; TRIM(D722)</f>
        <v>First ReviewBid Ecom VideoTW</v>
      </c>
      <c r="K722" s="4" t="n">
        <f aca="false">IFERROR(I722*60,"")</f>
        <v>130.212</v>
      </c>
    </row>
    <row r="723" customFormat="false" ht="15" hidden="false" customHeight="false" outlineLevel="0" collapsed="false">
      <c r="A723" s="4" t="s">
        <v>15</v>
      </c>
      <c r="B723" s="4" t="s">
        <v>56</v>
      </c>
      <c r="C723" s="4" t="s">
        <v>84</v>
      </c>
      <c r="D723" s="4" t="s">
        <v>139</v>
      </c>
      <c r="E723" s="4" t="s">
        <v>63</v>
      </c>
      <c r="F723" s="4" t="s">
        <v>63</v>
      </c>
      <c r="G723" s="4" t="s">
        <v>699</v>
      </c>
      <c r="H723" s="4"/>
      <c r="I723" s="4" t="n">
        <v>0.8593</v>
      </c>
      <c r="J723" s="4" t="str">
        <f aca="false">TRIM(E723) &amp; TRIM(C723) &amp; TRIM(D723)</f>
        <v>First ReviewBid Ecom VideoEG</v>
      </c>
      <c r="K723" s="4" t="n">
        <f aca="false">IFERROR(I723*60,"")</f>
        <v>51.558</v>
      </c>
    </row>
    <row r="724" customFormat="false" ht="15" hidden="false" customHeight="false" outlineLevel="0" collapsed="false">
      <c r="A724" s="4" t="s">
        <v>15</v>
      </c>
      <c r="B724" s="4" t="s">
        <v>56</v>
      </c>
      <c r="C724" s="4" t="s">
        <v>75</v>
      </c>
      <c r="D724" s="4" t="s">
        <v>82</v>
      </c>
      <c r="E724" s="4" t="s">
        <v>59</v>
      </c>
      <c r="F724" s="4" t="s">
        <v>59</v>
      </c>
      <c r="G724" s="4" t="s">
        <v>173</v>
      </c>
      <c r="H724" s="4"/>
      <c r="I724" s="4" t="n">
        <v>9.4217</v>
      </c>
      <c r="J724" s="4" t="str">
        <f aca="false">TRIM(E724) &amp; TRIM(C724) &amp; TRIM(D724)</f>
        <v>Re-reviewBid Ecom Ads GroupKH</v>
      </c>
      <c r="K724" s="4" t="n">
        <f aca="false">IFERROR(I724*60,"")</f>
        <v>565.302</v>
      </c>
    </row>
    <row r="725" customFormat="false" ht="15" hidden="false" customHeight="false" outlineLevel="0" collapsed="false">
      <c r="A725" s="4" t="s">
        <v>15</v>
      </c>
      <c r="B725" s="4" t="s">
        <v>56</v>
      </c>
      <c r="C725" s="4" t="s">
        <v>75</v>
      </c>
      <c r="D725" s="4" t="s">
        <v>213</v>
      </c>
      <c r="E725" s="4" t="s">
        <v>66</v>
      </c>
      <c r="F725" s="4" t="s">
        <v>67</v>
      </c>
      <c r="G725" s="4" t="s">
        <v>215</v>
      </c>
      <c r="H725" s="4"/>
      <c r="I725" s="4" t="n">
        <v>1.8159</v>
      </c>
      <c r="J725" s="4" t="str">
        <f aca="false">TRIM(E725) &amp; TRIM(C725) &amp; TRIM(D725)</f>
        <v>Posted RecallBid Ecom Ads GroupFR</v>
      </c>
      <c r="K725" s="4" t="n">
        <f aca="false">IFERROR(I725*60,"")</f>
        <v>108.954</v>
      </c>
    </row>
    <row r="726" customFormat="false" ht="15" hidden="false" customHeight="false" outlineLevel="0" collapsed="false">
      <c r="A726" s="4" t="s">
        <v>15</v>
      </c>
      <c r="B726" s="4" t="s">
        <v>56</v>
      </c>
      <c r="C726" s="4" t="s">
        <v>78</v>
      </c>
      <c r="D726" s="4" t="s">
        <v>208</v>
      </c>
      <c r="E726" s="4" t="s">
        <v>63</v>
      </c>
      <c r="F726" s="4" t="s">
        <v>63</v>
      </c>
      <c r="G726" s="4" t="s">
        <v>700</v>
      </c>
      <c r="H726" s="4"/>
      <c r="I726" s="4" t="n">
        <v>0.8399</v>
      </c>
      <c r="J726" s="4" t="str">
        <f aca="false">TRIM(E726) &amp; TRIM(C726) &amp; TRIM(D726)</f>
        <v>First ReviewBid VideoCO</v>
      </c>
      <c r="K726" s="4" t="n">
        <f aca="false">IFERROR(I726*60,"")</f>
        <v>50.394</v>
      </c>
    </row>
    <row r="727" customFormat="false" ht="15" hidden="false" customHeight="false" outlineLevel="0" collapsed="false">
      <c r="A727" s="4" t="s">
        <v>15</v>
      </c>
      <c r="B727" s="4" t="s">
        <v>56</v>
      </c>
      <c r="C727" s="4" t="s">
        <v>84</v>
      </c>
      <c r="D727" s="4" t="s">
        <v>115</v>
      </c>
      <c r="E727" s="4" t="s">
        <v>63</v>
      </c>
      <c r="F727" s="4" t="s">
        <v>63</v>
      </c>
      <c r="G727" s="4" t="s">
        <v>701</v>
      </c>
      <c r="H727" s="4"/>
      <c r="I727" s="4" t="n">
        <v>0.9087</v>
      </c>
      <c r="J727" s="4" t="str">
        <f aca="false">TRIM(E727) &amp; TRIM(C727) &amp; TRIM(D727)</f>
        <v>First ReviewBid Ecom VideoAT</v>
      </c>
      <c r="K727" s="4" t="n">
        <f aca="false">IFERROR(I727*60,"")</f>
        <v>54.522</v>
      </c>
    </row>
    <row r="728" customFormat="false" ht="15" hidden="false" customHeight="false" outlineLevel="0" collapsed="false">
      <c r="A728" s="4" t="s">
        <v>15</v>
      </c>
      <c r="B728" s="4" t="s">
        <v>56</v>
      </c>
      <c r="C728" s="4" t="s">
        <v>93</v>
      </c>
      <c r="D728" s="4" t="s">
        <v>190</v>
      </c>
      <c r="E728" s="4" t="s">
        <v>63</v>
      </c>
      <c r="F728" s="4" t="s">
        <v>63</v>
      </c>
      <c r="G728" s="4" t="s">
        <v>702</v>
      </c>
      <c r="H728" s="4"/>
      <c r="I728" s="4" t="n">
        <v>0.3315</v>
      </c>
      <c r="J728" s="4" t="str">
        <f aca="false">TRIM(E728) &amp; TRIM(C728) &amp; TRIM(D728)</f>
        <v>First ReviewBid AudioPH</v>
      </c>
      <c r="K728" s="4" t="n">
        <f aca="false">IFERROR(I728*60,"")</f>
        <v>19.89</v>
      </c>
    </row>
    <row r="729" customFormat="false" ht="15" hidden="false" customHeight="false" outlineLevel="0" collapsed="false">
      <c r="A729" s="4" t="s">
        <v>15</v>
      </c>
      <c r="B729" s="4" t="s">
        <v>56</v>
      </c>
      <c r="C729" s="4" t="s">
        <v>61</v>
      </c>
      <c r="D729" s="4" t="s">
        <v>145</v>
      </c>
      <c r="E729" s="4" t="s">
        <v>63</v>
      </c>
      <c r="F729" s="4" t="s">
        <v>63</v>
      </c>
      <c r="G729" s="4" t="s">
        <v>703</v>
      </c>
      <c r="H729" s="4"/>
      <c r="I729" s="4" t="n">
        <v>3.5665</v>
      </c>
      <c r="J729" s="4" t="str">
        <f aca="false">TRIM(E729) &amp; TRIM(C729) &amp; TRIM(D729)</f>
        <v>First ReviewBid Ecom URLRS</v>
      </c>
      <c r="K729" s="4" t="n">
        <f aca="false">IFERROR(I729*60,"")</f>
        <v>213.99</v>
      </c>
    </row>
    <row r="730" customFormat="false" ht="15" hidden="false" customHeight="false" outlineLevel="0" collapsed="false">
      <c r="A730" s="4" t="s">
        <v>15</v>
      </c>
      <c r="B730" s="4" t="s">
        <v>56</v>
      </c>
      <c r="C730" s="4" t="s">
        <v>75</v>
      </c>
      <c r="D730" s="4" t="s">
        <v>157</v>
      </c>
      <c r="E730" s="4" t="s">
        <v>63</v>
      </c>
      <c r="F730" s="4" t="s">
        <v>63</v>
      </c>
      <c r="G730" s="4" t="s">
        <v>379</v>
      </c>
      <c r="H730" s="4"/>
      <c r="I730" s="4" t="n">
        <v>1.9437</v>
      </c>
      <c r="J730" s="4" t="str">
        <f aca="false">TRIM(E730) &amp; TRIM(C730) &amp; TRIM(D730)</f>
        <v>First ReviewBid Ecom Ads GroupSA</v>
      </c>
      <c r="K730" s="4" t="n">
        <f aca="false">IFERROR(I730*60,"")</f>
        <v>116.622</v>
      </c>
    </row>
    <row r="731" customFormat="false" ht="15" hidden="false" customHeight="false" outlineLevel="0" collapsed="false">
      <c r="A731" s="4" t="s">
        <v>15</v>
      </c>
      <c r="B731" s="4" t="s">
        <v>56</v>
      </c>
      <c r="C731" s="4" t="s">
        <v>78</v>
      </c>
      <c r="D731" s="4" t="s">
        <v>213</v>
      </c>
      <c r="E731" s="4" t="s">
        <v>63</v>
      </c>
      <c r="F731" s="4" t="s">
        <v>63</v>
      </c>
      <c r="G731" s="4" t="s">
        <v>704</v>
      </c>
      <c r="H731" s="4"/>
      <c r="I731" s="4" t="n">
        <v>0.7575</v>
      </c>
      <c r="J731" s="4" t="str">
        <f aca="false">TRIM(E731) &amp; TRIM(C731) &amp; TRIM(D731)</f>
        <v>First ReviewBid VideoFR</v>
      </c>
      <c r="K731" s="4" t="n">
        <f aca="false">IFERROR(I731*60,"")</f>
        <v>45.45</v>
      </c>
    </row>
    <row r="732" customFormat="false" ht="15" hidden="false" customHeight="false" outlineLevel="0" collapsed="false">
      <c r="A732" s="4" t="s">
        <v>15</v>
      </c>
      <c r="B732" s="4" t="s">
        <v>56</v>
      </c>
      <c r="C732" s="4" t="s">
        <v>57</v>
      </c>
      <c r="D732" s="4" t="s">
        <v>185</v>
      </c>
      <c r="E732" s="4" t="s">
        <v>59</v>
      </c>
      <c r="F732" s="4" t="s">
        <v>59</v>
      </c>
      <c r="G732" s="4" t="s">
        <v>367</v>
      </c>
      <c r="H732" s="4"/>
      <c r="I732" s="4" t="n">
        <v>5.3759</v>
      </c>
      <c r="J732" s="4" t="str">
        <f aca="false">TRIM(E732) &amp; TRIM(C732) &amp; TRIM(D732)</f>
        <v>Re-reviewBid Ad GroupDK</v>
      </c>
      <c r="K732" s="4" t="n">
        <f aca="false">IFERROR(I732*60,"")</f>
        <v>322.554</v>
      </c>
    </row>
    <row r="733" customFormat="false" ht="15" hidden="false" customHeight="false" outlineLevel="0" collapsed="false">
      <c r="A733" s="4" t="s">
        <v>15</v>
      </c>
      <c r="B733" s="4" t="s">
        <v>56</v>
      </c>
      <c r="C733" s="4" t="s">
        <v>57</v>
      </c>
      <c r="D733" s="4" t="s">
        <v>91</v>
      </c>
      <c r="E733" s="4" t="s">
        <v>66</v>
      </c>
      <c r="F733" s="4" t="s">
        <v>67</v>
      </c>
      <c r="G733" s="4" t="s">
        <v>92</v>
      </c>
      <c r="H733" s="4"/>
      <c r="I733" s="4" t="n">
        <v>2.1005</v>
      </c>
      <c r="J733" s="4" t="str">
        <f aca="false">TRIM(E733) &amp; TRIM(C733) &amp; TRIM(D733)</f>
        <v>Posted RecallBid Ad GroupHR</v>
      </c>
      <c r="K733" s="4" t="n">
        <f aca="false">IFERROR(I733*60,"")</f>
        <v>126.03</v>
      </c>
    </row>
    <row r="734" customFormat="false" ht="15" hidden="false" customHeight="false" outlineLevel="0" collapsed="false">
      <c r="A734" s="4" t="s">
        <v>15</v>
      </c>
      <c r="B734" s="4" t="s">
        <v>56</v>
      </c>
      <c r="C734" s="4" t="s">
        <v>69</v>
      </c>
      <c r="D734" s="4" t="s">
        <v>157</v>
      </c>
      <c r="E734" s="4" t="s">
        <v>63</v>
      </c>
      <c r="F734" s="4" t="s">
        <v>63</v>
      </c>
      <c r="G734" s="4" t="s">
        <v>705</v>
      </c>
      <c r="H734" s="4"/>
      <c r="I734" s="4" t="n">
        <v>1.0235</v>
      </c>
      <c r="J734" s="4" t="str">
        <f aca="false">TRIM(E734) &amp; TRIM(C734) &amp; TRIM(D734)</f>
        <v>First ReviewBid LinkSA</v>
      </c>
      <c r="K734" s="4" t="n">
        <f aca="false">IFERROR(I734*60,"")</f>
        <v>61.41</v>
      </c>
    </row>
    <row r="735" customFormat="false" ht="15" hidden="false" customHeight="false" outlineLevel="0" collapsed="false">
      <c r="A735" s="4" t="s">
        <v>15</v>
      </c>
      <c r="B735" s="4" t="s">
        <v>56</v>
      </c>
      <c r="C735" s="4" t="s">
        <v>57</v>
      </c>
      <c r="D735" s="4" t="s">
        <v>95</v>
      </c>
      <c r="E735" s="4" t="s">
        <v>66</v>
      </c>
      <c r="F735" s="4" t="s">
        <v>67</v>
      </c>
      <c r="G735" s="4" t="s">
        <v>220</v>
      </c>
      <c r="H735" s="4"/>
      <c r="I735" s="4" t="n">
        <v>3.8084</v>
      </c>
      <c r="J735" s="4" t="str">
        <f aca="false">TRIM(E735) &amp; TRIM(C735) &amp; TRIM(D735)</f>
        <v>Posted RecallBid Ad GroupVN</v>
      </c>
      <c r="K735" s="4" t="n">
        <f aca="false">IFERROR(I735*60,"")</f>
        <v>228.504</v>
      </c>
    </row>
    <row r="736" customFormat="false" ht="15" hidden="false" customHeight="false" outlineLevel="0" collapsed="false">
      <c r="A736" s="4" t="s">
        <v>15</v>
      </c>
      <c r="B736" s="4" t="s">
        <v>56</v>
      </c>
      <c r="C736" s="4" t="s">
        <v>81</v>
      </c>
      <c r="D736" s="4" t="s">
        <v>102</v>
      </c>
      <c r="E736" s="4" t="s">
        <v>63</v>
      </c>
      <c r="F736" s="4" t="s">
        <v>63</v>
      </c>
      <c r="G736" s="4" t="s">
        <v>706</v>
      </c>
      <c r="H736" s="4"/>
      <c r="I736" s="4" t="n">
        <v>1.0393</v>
      </c>
      <c r="J736" s="4" t="str">
        <f aca="false">TRIM(E736) &amp; TRIM(C736) &amp; TRIM(D736)</f>
        <v>First ReviewBid TextSE</v>
      </c>
      <c r="K736" s="4" t="n">
        <f aca="false">IFERROR(I736*60,"")</f>
        <v>62.358</v>
      </c>
    </row>
    <row r="737" customFormat="false" ht="15" hidden="false" customHeight="false" outlineLevel="0" collapsed="false">
      <c r="A737" s="4" t="s">
        <v>15</v>
      </c>
      <c r="B737" s="4" t="s">
        <v>56</v>
      </c>
      <c r="C737" s="4" t="s">
        <v>119</v>
      </c>
      <c r="D737" s="4" t="s">
        <v>203</v>
      </c>
      <c r="E737" s="4" t="s">
        <v>63</v>
      </c>
      <c r="F737" s="4" t="s">
        <v>63</v>
      </c>
      <c r="G737" s="4" t="s">
        <v>707</v>
      </c>
      <c r="H737" s="4"/>
      <c r="I737" s="4" t="n">
        <v>1.636</v>
      </c>
      <c r="J737" s="4" t="str">
        <f aca="false">TRIM(E737) &amp; TRIM(C737) &amp; TRIM(D737)</f>
        <v>First ReviewBid Pre ApprovalCA</v>
      </c>
      <c r="K737" s="4" t="n">
        <f aca="false">IFERROR(I737*60,"")</f>
        <v>98.16</v>
      </c>
    </row>
    <row r="738" customFormat="false" ht="15" hidden="false" customHeight="false" outlineLevel="0" collapsed="false">
      <c r="A738" s="4" t="s">
        <v>15</v>
      </c>
      <c r="B738" s="4" t="s">
        <v>56</v>
      </c>
      <c r="C738" s="4" t="s">
        <v>84</v>
      </c>
      <c r="D738" s="4" t="s">
        <v>275</v>
      </c>
      <c r="E738" s="4" t="s">
        <v>63</v>
      </c>
      <c r="F738" s="4" t="s">
        <v>63</v>
      </c>
      <c r="G738" s="4" t="s">
        <v>708</v>
      </c>
      <c r="H738" s="4"/>
      <c r="I738" s="4" t="n">
        <v>1.5606</v>
      </c>
      <c r="J738" s="4" t="str">
        <f aca="false">TRIM(E738) &amp; TRIM(C738) &amp; TRIM(D738)</f>
        <v>First ReviewBid Ecom VideoGB</v>
      </c>
      <c r="K738" s="4" t="n">
        <f aca="false">IFERROR(I738*60,"")</f>
        <v>93.636</v>
      </c>
    </row>
    <row r="739" customFormat="false" ht="15" hidden="false" customHeight="false" outlineLevel="0" collapsed="false">
      <c r="A739" s="4" t="s">
        <v>15</v>
      </c>
      <c r="B739" s="4" t="s">
        <v>56</v>
      </c>
      <c r="C739" s="4" t="s">
        <v>93</v>
      </c>
      <c r="D739" s="4" t="s">
        <v>458</v>
      </c>
      <c r="E739" s="4" t="s">
        <v>63</v>
      </c>
      <c r="F739" s="4" t="s">
        <v>63</v>
      </c>
      <c r="G739" s="4" t="s">
        <v>709</v>
      </c>
      <c r="H739" s="4"/>
      <c r="I739" s="4" t="n">
        <v>1.3464</v>
      </c>
      <c r="J739" s="4" t="str">
        <f aca="false">TRIM(E739) &amp; TRIM(C739) &amp; TRIM(D739)</f>
        <v>First ReviewBid AudioTW</v>
      </c>
      <c r="K739" s="4" t="n">
        <f aca="false">IFERROR(I739*60,"")</f>
        <v>80.784</v>
      </c>
    </row>
    <row r="740" customFormat="false" ht="15" hidden="false" customHeight="false" outlineLevel="0" collapsed="false">
      <c r="A740" s="4" t="s">
        <v>15</v>
      </c>
      <c r="B740" s="4" t="s">
        <v>56</v>
      </c>
      <c r="C740" s="4" t="s">
        <v>81</v>
      </c>
      <c r="D740" s="4" t="s">
        <v>171</v>
      </c>
      <c r="E740" s="4" t="s">
        <v>63</v>
      </c>
      <c r="F740" s="4" t="s">
        <v>63</v>
      </c>
      <c r="G740" s="4" t="s">
        <v>710</v>
      </c>
      <c r="H740" s="4"/>
      <c r="I740" s="4" t="n">
        <v>0.2297</v>
      </c>
      <c r="J740" s="4" t="str">
        <f aca="false">TRIM(E740) &amp; TRIM(C740) &amp; TRIM(D740)</f>
        <v>First ReviewBid TextKE</v>
      </c>
      <c r="K740" s="4" t="n">
        <f aca="false">IFERROR(I740*60,"")</f>
        <v>13.782</v>
      </c>
    </row>
    <row r="741" customFormat="false" ht="15" hidden="false" customHeight="false" outlineLevel="0" collapsed="false">
      <c r="A741" s="4" t="s">
        <v>15</v>
      </c>
      <c r="B741" s="4" t="s">
        <v>56</v>
      </c>
      <c r="C741" s="4" t="s">
        <v>93</v>
      </c>
      <c r="D741" s="4" t="s">
        <v>235</v>
      </c>
      <c r="E741" s="4" t="s">
        <v>63</v>
      </c>
      <c r="F741" s="4" t="s">
        <v>63</v>
      </c>
      <c r="G741" s="4" t="s">
        <v>711</v>
      </c>
      <c r="H741" s="4"/>
      <c r="I741" s="4" t="n">
        <v>1.0624</v>
      </c>
      <c r="J741" s="4" t="str">
        <f aca="false">TRIM(E741) &amp; TRIM(C741) &amp; TRIM(D741)</f>
        <v>First ReviewBid AudioJP</v>
      </c>
      <c r="K741" s="4" t="n">
        <f aca="false">IFERROR(I741*60,"")</f>
        <v>63.744</v>
      </c>
    </row>
    <row r="742" customFormat="false" ht="15" hidden="false" customHeight="false" outlineLevel="0" collapsed="false">
      <c r="A742" s="4" t="s">
        <v>15</v>
      </c>
      <c r="B742" s="4" t="s">
        <v>56</v>
      </c>
      <c r="C742" s="4" t="s">
        <v>57</v>
      </c>
      <c r="D742" s="4" t="s">
        <v>243</v>
      </c>
      <c r="E742" s="4" t="s">
        <v>63</v>
      </c>
      <c r="F742" s="4" t="s">
        <v>63</v>
      </c>
      <c r="G742" s="4" t="s">
        <v>249</v>
      </c>
      <c r="H742" s="4"/>
      <c r="I742" s="4" t="n">
        <v>2.3285</v>
      </c>
      <c r="J742" s="4" t="str">
        <f aca="false">TRIM(E742) &amp; TRIM(C742) &amp; TRIM(D742)</f>
        <v>First ReviewBid Ad GroupBY</v>
      </c>
      <c r="K742" s="4" t="n">
        <f aca="false">IFERROR(I742*60,"")</f>
        <v>139.71</v>
      </c>
    </row>
    <row r="743" customFormat="false" ht="15" hidden="false" customHeight="false" outlineLevel="0" collapsed="false">
      <c r="A743" s="4" t="s">
        <v>15</v>
      </c>
      <c r="B743" s="4" t="s">
        <v>56</v>
      </c>
      <c r="C743" s="4" t="s">
        <v>119</v>
      </c>
      <c r="D743" s="4" t="s">
        <v>157</v>
      </c>
      <c r="E743" s="4" t="s">
        <v>63</v>
      </c>
      <c r="F743" s="4" t="s">
        <v>63</v>
      </c>
      <c r="G743" s="4" t="s">
        <v>712</v>
      </c>
      <c r="H743" s="4"/>
      <c r="I743" s="4" t="n">
        <v>2.0033</v>
      </c>
      <c r="J743" s="4" t="str">
        <f aca="false">TRIM(E743) &amp; TRIM(C743) &amp; TRIM(D743)</f>
        <v>First ReviewBid Pre ApprovalSA</v>
      </c>
      <c r="K743" s="4" t="n">
        <f aca="false">IFERROR(I743*60,"")</f>
        <v>120.198</v>
      </c>
    </row>
    <row r="744" customFormat="false" ht="15" hidden="false" customHeight="false" outlineLevel="0" collapsed="false">
      <c r="A744" s="4" t="s">
        <v>15</v>
      </c>
      <c r="B744" s="4" t="s">
        <v>56</v>
      </c>
      <c r="C744" s="4" t="s">
        <v>75</v>
      </c>
      <c r="D744" s="4" t="s">
        <v>139</v>
      </c>
      <c r="E744" s="4" t="s">
        <v>66</v>
      </c>
      <c r="F744" s="4" t="s">
        <v>67</v>
      </c>
      <c r="G744" s="4" t="s">
        <v>261</v>
      </c>
      <c r="H744" s="4"/>
      <c r="I744" s="4" t="n">
        <v>2.5607</v>
      </c>
      <c r="J744" s="4" t="str">
        <f aca="false">TRIM(E744) &amp; TRIM(C744) &amp; TRIM(D744)</f>
        <v>Posted RecallBid Ecom Ads GroupEG</v>
      </c>
      <c r="K744" s="4" t="n">
        <f aca="false">IFERROR(I744*60,"")</f>
        <v>153.642</v>
      </c>
    </row>
    <row r="745" customFormat="false" ht="15" hidden="false" customHeight="false" outlineLevel="0" collapsed="false">
      <c r="A745" s="4" t="s">
        <v>15</v>
      </c>
      <c r="B745" s="4" t="s">
        <v>56</v>
      </c>
      <c r="C745" s="4" t="s">
        <v>72</v>
      </c>
      <c r="D745" s="4" t="s">
        <v>154</v>
      </c>
      <c r="E745" s="4" t="s">
        <v>63</v>
      </c>
      <c r="F745" s="4" t="s">
        <v>63</v>
      </c>
      <c r="G745" s="4" t="s">
        <v>713</v>
      </c>
      <c r="H745" s="4"/>
      <c r="I745" s="4" t="n">
        <v>0.6016</v>
      </c>
      <c r="J745" s="4" t="str">
        <f aca="false">TRIM(E745) &amp; TRIM(C745) &amp; TRIM(D745)</f>
        <v>First ReviewBid ImageES</v>
      </c>
      <c r="K745" s="4" t="n">
        <f aca="false">IFERROR(I745*60,"")</f>
        <v>36.096</v>
      </c>
    </row>
    <row r="746" customFormat="false" ht="15" hidden="false" customHeight="false" outlineLevel="0" collapsed="false">
      <c r="A746" s="4" t="s">
        <v>15</v>
      </c>
      <c r="B746" s="4" t="s">
        <v>56</v>
      </c>
      <c r="C746" s="4" t="s">
        <v>69</v>
      </c>
      <c r="D746" s="4" t="s">
        <v>139</v>
      </c>
      <c r="E746" s="4" t="s">
        <v>63</v>
      </c>
      <c r="F746" s="4" t="s">
        <v>63</v>
      </c>
      <c r="G746" s="4" t="s">
        <v>714</v>
      </c>
      <c r="H746" s="4"/>
      <c r="I746" s="4" t="n">
        <v>0.6003</v>
      </c>
      <c r="J746" s="4" t="str">
        <f aca="false">TRIM(E746) &amp; TRIM(C746) &amp; TRIM(D746)</f>
        <v>First ReviewBid LinkEG</v>
      </c>
      <c r="K746" s="4" t="n">
        <f aca="false">IFERROR(I746*60,"")</f>
        <v>36.018</v>
      </c>
    </row>
    <row r="747" customFormat="false" ht="15" hidden="false" customHeight="false" outlineLevel="0" collapsed="false">
      <c r="A747" s="4" t="s">
        <v>15</v>
      </c>
      <c r="B747" s="4" t="s">
        <v>56</v>
      </c>
      <c r="C747" s="4" t="s">
        <v>75</v>
      </c>
      <c r="D747" s="4" t="s">
        <v>58</v>
      </c>
      <c r="E747" s="4" t="s">
        <v>66</v>
      </c>
      <c r="F747" s="4" t="s">
        <v>67</v>
      </c>
      <c r="G747" s="4" t="s">
        <v>381</v>
      </c>
      <c r="H747" s="4"/>
      <c r="I747" s="4" t="n">
        <v>2.2118</v>
      </c>
      <c r="J747" s="4" t="str">
        <f aca="false">TRIM(E747) &amp; TRIM(C747) &amp; TRIM(D747)</f>
        <v>Posted RecallBid Ecom Ads GroupSG</v>
      </c>
      <c r="K747" s="4" t="n">
        <f aca="false">IFERROR(I747*60,"")</f>
        <v>132.708</v>
      </c>
    </row>
    <row r="748" customFormat="false" ht="15" hidden="false" customHeight="false" outlineLevel="0" collapsed="false">
      <c r="A748" s="4" t="s">
        <v>15</v>
      </c>
      <c r="B748" s="4" t="s">
        <v>56</v>
      </c>
      <c r="C748" s="4" t="s">
        <v>84</v>
      </c>
      <c r="D748" s="4" t="s">
        <v>265</v>
      </c>
      <c r="E748" s="4" t="s">
        <v>63</v>
      </c>
      <c r="F748" s="4" t="s">
        <v>63</v>
      </c>
      <c r="G748" s="4" t="s">
        <v>715</v>
      </c>
      <c r="H748" s="4"/>
      <c r="I748" s="4" t="n">
        <v>1.2704</v>
      </c>
      <c r="J748" s="4" t="str">
        <f aca="false">TRIM(E748) &amp; TRIM(C748) &amp; TRIM(D748)</f>
        <v>First ReviewBid Ecom VideoNO</v>
      </c>
      <c r="K748" s="4" t="n">
        <f aca="false">IFERROR(I748*60,"")</f>
        <v>76.224</v>
      </c>
    </row>
    <row r="749" customFormat="false" ht="15" hidden="false" customHeight="false" outlineLevel="0" collapsed="false">
      <c r="A749" s="4" t="s">
        <v>15</v>
      </c>
      <c r="B749" s="4" t="s">
        <v>56</v>
      </c>
      <c r="C749" s="4" t="s">
        <v>75</v>
      </c>
      <c r="D749" s="4" t="s">
        <v>73</v>
      </c>
      <c r="E749" s="4" t="s">
        <v>63</v>
      </c>
      <c r="F749" s="4" t="s">
        <v>63</v>
      </c>
      <c r="G749" s="4" t="s">
        <v>183</v>
      </c>
      <c r="H749" s="4"/>
      <c r="I749" s="4" t="n">
        <v>1.843</v>
      </c>
      <c r="J749" s="4" t="str">
        <f aca="false">TRIM(E749) &amp; TRIM(C749) &amp; TRIM(D749)</f>
        <v>First ReviewBid Ecom Ads GroupIQ</v>
      </c>
      <c r="K749" s="4" t="n">
        <f aca="false">IFERROR(I749*60,"")</f>
        <v>110.58</v>
      </c>
    </row>
    <row r="750" customFormat="false" ht="15" hidden="false" customHeight="false" outlineLevel="0" collapsed="false">
      <c r="A750" s="4" t="s">
        <v>15</v>
      </c>
      <c r="B750" s="4" t="s">
        <v>56</v>
      </c>
      <c r="C750" s="4" t="s">
        <v>57</v>
      </c>
      <c r="D750" s="4" t="s">
        <v>102</v>
      </c>
      <c r="E750" s="4" t="s">
        <v>59</v>
      </c>
      <c r="F750" s="4" t="s">
        <v>59</v>
      </c>
      <c r="G750" s="4" t="s">
        <v>229</v>
      </c>
      <c r="H750" s="4"/>
      <c r="I750" s="4" t="n">
        <v>5.5277</v>
      </c>
      <c r="J750" s="4" t="str">
        <f aca="false">TRIM(E750) &amp; TRIM(C750) &amp; TRIM(D750)</f>
        <v>Re-reviewBid Ad GroupSE</v>
      </c>
      <c r="K750" s="4" t="n">
        <f aca="false">IFERROR(I750*60,"")</f>
        <v>331.662</v>
      </c>
    </row>
    <row r="751" customFormat="false" ht="15" hidden="false" customHeight="false" outlineLevel="0" collapsed="false">
      <c r="A751" s="4" t="s">
        <v>15</v>
      </c>
      <c r="B751" s="4" t="s">
        <v>56</v>
      </c>
      <c r="C751" s="4" t="s">
        <v>78</v>
      </c>
      <c r="D751" s="4" t="s">
        <v>231</v>
      </c>
      <c r="E751" s="4" t="s">
        <v>63</v>
      </c>
      <c r="F751" s="4" t="s">
        <v>63</v>
      </c>
      <c r="G751" s="4" t="s">
        <v>716</v>
      </c>
      <c r="H751" s="4"/>
      <c r="I751" s="4" t="n">
        <v>1.0731</v>
      </c>
      <c r="J751" s="4" t="str">
        <f aca="false">TRIM(E751) &amp; TRIM(C751) &amp; TRIM(D751)</f>
        <v>First ReviewBid VideoIL</v>
      </c>
      <c r="K751" s="4" t="n">
        <f aca="false">IFERROR(I751*60,"")</f>
        <v>64.386</v>
      </c>
    </row>
    <row r="752" customFormat="false" ht="15" hidden="false" customHeight="false" outlineLevel="0" collapsed="false">
      <c r="A752" s="4" t="s">
        <v>15</v>
      </c>
      <c r="B752" s="4" t="s">
        <v>56</v>
      </c>
      <c r="C752" s="4" t="s">
        <v>57</v>
      </c>
      <c r="D752" s="4" t="s">
        <v>221</v>
      </c>
      <c r="E752" s="4" t="s">
        <v>59</v>
      </c>
      <c r="F752" s="4" t="s">
        <v>59</v>
      </c>
      <c r="G752" s="4" t="s">
        <v>222</v>
      </c>
      <c r="H752" s="4"/>
      <c r="I752" s="4" t="n">
        <v>6.7157</v>
      </c>
      <c r="J752" s="4" t="str">
        <f aca="false">TRIM(E752) &amp; TRIM(C752) &amp; TRIM(D752)</f>
        <v>Re-reviewBid Ad GroupOM</v>
      </c>
      <c r="K752" s="4" t="n">
        <f aca="false">IFERROR(I752*60,"")</f>
        <v>402.942</v>
      </c>
    </row>
    <row r="753" customFormat="false" ht="15" hidden="false" customHeight="false" outlineLevel="0" collapsed="false">
      <c r="A753" s="4" t="s">
        <v>15</v>
      </c>
      <c r="B753" s="4" t="s">
        <v>56</v>
      </c>
      <c r="C753" s="4" t="s">
        <v>119</v>
      </c>
      <c r="D753" s="4" t="s">
        <v>208</v>
      </c>
      <c r="E753" s="4" t="s">
        <v>63</v>
      </c>
      <c r="F753" s="4" t="s">
        <v>63</v>
      </c>
      <c r="G753" s="4" t="s">
        <v>717</v>
      </c>
      <c r="H753" s="4"/>
      <c r="I753" s="4" t="n">
        <v>0.6332</v>
      </c>
      <c r="J753" s="4" t="str">
        <f aca="false">TRIM(E753) &amp; TRIM(C753) &amp; TRIM(D753)</f>
        <v>First ReviewBid Pre ApprovalCO</v>
      </c>
      <c r="K753" s="4" t="n">
        <f aca="false">IFERROR(I753*60,"")</f>
        <v>37.992</v>
      </c>
    </row>
    <row r="754" customFormat="false" ht="15" hidden="false" customHeight="false" outlineLevel="0" collapsed="false">
      <c r="A754" s="4" t="s">
        <v>15</v>
      </c>
      <c r="B754" s="4" t="s">
        <v>56</v>
      </c>
      <c r="C754" s="4" t="s">
        <v>75</v>
      </c>
      <c r="D754" s="4" t="s">
        <v>126</v>
      </c>
      <c r="E754" s="4" t="s">
        <v>66</v>
      </c>
      <c r="F754" s="4" t="s">
        <v>67</v>
      </c>
      <c r="G754" s="4" t="s">
        <v>161</v>
      </c>
      <c r="H754" s="4"/>
      <c r="I754" s="4" t="n">
        <v>2.1347</v>
      </c>
      <c r="J754" s="4" t="str">
        <f aca="false">TRIM(E754) &amp; TRIM(C754) &amp; TRIM(D754)</f>
        <v>Posted RecallBid Ecom Ads GroupMX</v>
      </c>
      <c r="K754" s="4" t="n">
        <f aca="false">IFERROR(I754*60,"")</f>
        <v>128.082</v>
      </c>
    </row>
    <row r="755" customFormat="false" ht="15" hidden="false" customHeight="false" outlineLevel="0" collapsed="false">
      <c r="A755" s="4" t="s">
        <v>15</v>
      </c>
      <c r="B755" s="4" t="s">
        <v>56</v>
      </c>
      <c r="C755" s="4" t="s">
        <v>57</v>
      </c>
      <c r="D755" s="4" t="s">
        <v>82</v>
      </c>
      <c r="E755" s="4" t="s">
        <v>63</v>
      </c>
      <c r="F755" s="4" t="s">
        <v>63</v>
      </c>
      <c r="G755" s="4" t="s">
        <v>176</v>
      </c>
      <c r="H755" s="4"/>
      <c r="I755" s="4" t="n">
        <v>1.3668</v>
      </c>
      <c r="J755" s="4" t="str">
        <f aca="false">TRIM(E755) &amp; TRIM(C755) &amp; TRIM(D755)</f>
        <v>First ReviewBid Ad GroupKH</v>
      </c>
      <c r="K755" s="4" t="n">
        <f aca="false">IFERROR(I755*60,"")</f>
        <v>82.008</v>
      </c>
    </row>
    <row r="756" customFormat="false" ht="15" hidden="false" customHeight="false" outlineLevel="0" collapsed="false">
      <c r="A756" s="4" t="s">
        <v>15</v>
      </c>
      <c r="B756" s="4" t="s">
        <v>56</v>
      </c>
      <c r="C756" s="4" t="s">
        <v>69</v>
      </c>
      <c r="D756" s="4" t="s">
        <v>208</v>
      </c>
      <c r="E756" s="4" t="s">
        <v>63</v>
      </c>
      <c r="F756" s="4" t="s">
        <v>63</v>
      </c>
      <c r="G756" s="4" t="s">
        <v>718</v>
      </c>
      <c r="H756" s="4"/>
      <c r="I756" s="4" t="n">
        <v>0.8932</v>
      </c>
      <c r="J756" s="4" t="str">
        <f aca="false">TRIM(E756) &amp; TRIM(C756) &amp; TRIM(D756)</f>
        <v>First ReviewBid LinkCO</v>
      </c>
      <c r="K756" s="4" t="n">
        <f aca="false">IFERROR(I756*60,"")</f>
        <v>53.592</v>
      </c>
    </row>
    <row r="757" customFormat="false" ht="15" hidden="false" customHeight="false" outlineLevel="0" collapsed="false">
      <c r="A757" s="4" t="s">
        <v>15</v>
      </c>
      <c r="B757" s="4" t="s">
        <v>56</v>
      </c>
      <c r="C757" s="4" t="s">
        <v>57</v>
      </c>
      <c r="D757" s="4" t="s">
        <v>130</v>
      </c>
      <c r="E757" s="4" t="s">
        <v>59</v>
      </c>
      <c r="F757" s="4" t="s">
        <v>59</v>
      </c>
      <c r="G757" s="4" t="s">
        <v>224</v>
      </c>
      <c r="H757" s="4"/>
      <c r="I757" s="4" t="n">
        <v>8.5506</v>
      </c>
      <c r="J757" s="4" t="str">
        <f aca="false">TRIM(E757) &amp; TRIM(C757) &amp; TRIM(D757)</f>
        <v>Re-reviewBid Ad GroupMA</v>
      </c>
      <c r="K757" s="4" t="n">
        <f aca="false">IFERROR(I757*60,"")</f>
        <v>513.036</v>
      </c>
    </row>
    <row r="758" customFormat="false" ht="15" hidden="false" customHeight="false" outlineLevel="0" collapsed="false">
      <c r="A758" s="4" t="s">
        <v>15</v>
      </c>
      <c r="B758" s="4" t="s">
        <v>56</v>
      </c>
      <c r="C758" s="4" t="s">
        <v>81</v>
      </c>
      <c r="D758" s="4" t="s">
        <v>95</v>
      </c>
      <c r="E758" s="4" t="s">
        <v>63</v>
      </c>
      <c r="F758" s="4" t="s">
        <v>63</v>
      </c>
      <c r="G758" s="4" t="s">
        <v>719</v>
      </c>
      <c r="H758" s="4"/>
      <c r="I758" s="4" t="n">
        <v>0.5616</v>
      </c>
      <c r="J758" s="4" t="str">
        <f aca="false">TRIM(E758) &amp; TRIM(C758) &amp; TRIM(D758)</f>
        <v>First ReviewBid TextVN</v>
      </c>
      <c r="K758" s="4" t="n">
        <f aca="false">IFERROR(I758*60,"")</f>
        <v>33.696</v>
      </c>
    </row>
    <row r="759" customFormat="false" ht="15" hidden="false" customHeight="false" outlineLevel="0" collapsed="false">
      <c r="A759" s="4" t="s">
        <v>15</v>
      </c>
      <c r="B759" s="4" t="s">
        <v>56</v>
      </c>
      <c r="C759" s="4" t="s">
        <v>72</v>
      </c>
      <c r="D759" s="4" t="s">
        <v>65</v>
      </c>
      <c r="E759" s="4" t="s">
        <v>63</v>
      </c>
      <c r="F759" s="4" t="s">
        <v>63</v>
      </c>
      <c r="G759" s="4" t="s">
        <v>720</v>
      </c>
      <c r="H759" s="4"/>
      <c r="I759" s="4" t="n">
        <v>0.5669</v>
      </c>
      <c r="J759" s="4" t="str">
        <f aca="false">TRIM(E759) &amp; TRIM(C759) &amp; TRIM(D759)</f>
        <v>First ReviewBid ImageEE</v>
      </c>
      <c r="K759" s="4" t="n">
        <f aca="false">IFERROR(I759*60,"")</f>
        <v>34.014</v>
      </c>
    </row>
    <row r="760" customFormat="false" ht="15" hidden="false" customHeight="false" outlineLevel="0" collapsed="false">
      <c r="A760" s="4" t="s">
        <v>15</v>
      </c>
      <c r="B760" s="4" t="s">
        <v>56</v>
      </c>
      <c r="C760" s="4" t="s">
        <v>69</v>
      </c>
      <c r="D760" s="4" t="s">
        <v>104</v>
      </c>
      <c r="E760" s="4" t="s">
        <v>63</v>
      </c>
      <c r="F760" s="4" t="s">
        <v>63</v>
      </c>
      <c r="G760" s="4" t="s">
        <v>721</v>
      </c>
      <c r="H760" s="4"/>
      <c r="I760" s="4" t="n">
        <v>1.003</v>
      </c>
      <c r="J760" s="4" t="str">
        <f aca="false">TRIM(E760) &amp; TRIM(C760) &amp; TRIM(D760)</f>
        <v>First ReviewBid LinkIE</v>
      </c>
      <c r="K760" s="4" t="n">
        <f aca="false">IFERROR(I760*60,"")</f>
        <v>60.18</v>
      </c>
    </row>
    <row r="761" customFormat="false" ht="15" hidden="false" customHeight="false" outlineLevel="0" collapsed="false">
      <c r="A761" s="4" t="s">
        <v>15</v>
      </c>
      <c r="B761" s="4" t="s">
        <v>56</v>
      </c>
      <c r="C761" s="4" t="s">
        <v>61</v>
      </c>
      <c r="D761" s="4" t="s">
        <v>91</v>
      </c>
      <c r="E761" s="4" t="s">
        <v>63</v>
      </c>
      <c r="F761" s="4" t="s">
        <v>63</v>
      </c>
      <c r="G761" s="4" t="s">
        <v>722</v>
      </c>
      <c r="H761" s="4"/>
      <c r="I761" s="4" t="n">
        <v>1.0333</v>
      </c>
      <c r="J761" s="4" t="str">
        <f aca="false">TRIM(E761) &amp; TRIM(C761) &amp; TRIM(D761)</f>
        <v>First ReviewBid Ecom URLHR</v>
      </c>
      <c r="K761" s="4" t="n">
        <f aca="false">IFERROR(I761*60,"")</f>
        <v>61.998</v>
      </c>
    </row>
    <row r="762" customFormat="false" ht="15" hidden="false" customHeight="false" outlineLevel="0" collapsed="false">
      <c r="A762" s="4" t="s">
        <v>15</v>
      </c>
      <c r="B762" s="4" t="s">
        <v>56</v>
      </c>
      <c r="C762" s="4" t="s">
        <v>119</v>
      </c>
      <c r="D762" s="4" t="s">
        <v>87</v>
      </c>
      <c r="E762" s="4" t="s">
        <v>63</v>
      </c>
      <c r="F762" s="4" t="s">
        <v>63</v>
      </c>
      <c r="G762" s="4" t="s">
        <v>723</v>
      </c>
      <c r="H762" s="4"/>
      <c r="I762" s="4" t="n">
        <v>2.2064</v>
      </c>
      <c r="J762" s="4" t="str">
        <f aca="false">TRIM(E762) &amp; TRIM(C762) &amp; TRIM(D762)</f>
        <v>First ReviewBid Pre ApprovalAE</v>
      </c>
      <c r="K762" s="4" t="n">
        <f aca="false">IFERROR(I762*60,"")</f>
        <v>132.384</v>
      </c>
    </row>
    <row r="763" customFormat="false" ht="15" hidden="false" customHeight="false" outlineLevel="0" collapsed="false">
      <c r="A763" s="4" t="s">
        <v>15</v>
      </c>
      <c r="B763" s="4" t="s">
        <v>56</v>
      </c>
      <c r="C763" s="4" t="s">
        <v>78</v>
      </c>
      <c r="D763" s="4" t="s">
        <v>134</v>
      </c>
      <c r="E763" s="4" t="s">
        <v>63</v>
      </c>
      <c r="F763" s="4" t="s">
        <v>63</v>
      </c>
      <c r="G763" s="4" t="s">
        <v>724</v>
      </c>
      <c r="H763" s="4"/>
      <c r="I763" s="4" t="n">
        <v>1.9178</v>
      </c>
      <c r="J763" s="4" t="str">
        <f aca="false">TRIM(E763) &amp; TRIM(C763) &amp; TRIM(D763)</f>
        <v>First ReviewBid VideoPR</v>
      </c>
      <c r="K763" s="4" t="n">
        <f aca="false">IFERROR(I763*60,"")</f>
        <v>115.068</v>
      </c>
    </row>
    <row r="764" customFormat="false" ht="15" hidden="false" customHeight="false" outlineLevel="0" collapsed="false">
      <c r="A764" s="4" t="s">
        <v>15</v>
      </c>
      <c r="B764" s="4" t="s">
        <v>56</v>
      </c>
      <c r="C764" s="4" t="s">
        <v>75</v>
      </c>
      <c r="D764" s="4" t="s">
        <v>82</v>
      </c>
      <c r="E764" s="4" t="s">
        <v>66</v>
      </c>
      <c r="F764" s="4" t="s">
        <v>67</v>
      </c>
      <c r="G764" s="4" t="s">
        <v>173</v>
      </c>
      <c r="H764" s="4"/>
      <c r="I764" s="4" t="n">
        <v>1.5343</v>
      </c>
      <c r="J764" s="4" t="str">
        <f aca="false">TRIM(E764) &amp; TRIM(C764) &amp; TRIM(D764)</f>
        <v>Posted RecallBid Ecom Ads GroupKH</v>
      </c>
      <c r="K764" s="4" t="n">
        <f aca="false">IFERROR(I764*60,"")</f>
        <v>92.058</v>
      </c>
    </row>
    <row r="765" customFormat="false" ht="15" hidden="false" customHeight="false" outlineLevel="0" collapsed="false">
      <c r="A765" s="4" t="s">
        <v>15</v>
      </c>
      <c r="B765" s="4" t="s">
        <v>56</v>
      </c>
      <c r="C765" s="4" t="s">
        <v>61</v>
      </c>
      <c r="D765" s="4" t="s">
        <v>95</v>
      </c>
      <c r="E765" s="4" t="s">
        <v>63</v>
      </c>
      <c r="F765" s="4" t="s">
        <v>63</v>
      </c>
      <c r="G765" s="4" t="s">
        <v>725</v>
      </c>
      <c r="H765" s="4"/>
      <c r="I765" s="4" t="n">
        <v>1.9278</v>
      </c>
      <c r="J765" s="4" t="str">
        <f aca="false">TRIM(E765) &amp; TRIM(C765) &amp; TRIM(D765)</f>
        <v>First ReviewBid Ecom URLVN</v>
      </c>
      <c r="K765" s="4" t="n">
        <f aca="false">IFERROR(I765*60,"")</f>
        <v>115.668</v>
      </c>
    </row>
    <row r="766" customFormat="false" ht="15" hidden="false" customHeight="false" outlineLevel="0" collapsed="false">
      <c r="A766" s="4" t="s">
        <v>15</v>
      </c>
      <c r="B766" s="4" t="s">
        <v>56</v>
      </c>
      <c r="C766" s="4" t="s">
        <v>69</v>
      </c>
      <c r="D766" s="4" t="s">
        <v>124</v>
      </c>
      <c r="E766" s="4" t="s">
        <v>63</v>
      </c>
      <c r="F766" s="4" t="s">
        <v>63</v>
      </c>
      <c r="G766" s="4" t="s">
        <v>726</v>
      </c>
      <c r="H766" s="4"/>
      <c r="I766" s="4" t="n">
        <v>1.324</v>
      </c>
      <c r="J766" s="4" t="str">
        <f aca="false">TRIM(E766) &amp; TRIM(C766) &amp; TRIM(D766)</f>
        <v>First ReviewBid LinkPT</v>
      </c>
      <c r="K766" s="4" t="n">
        <f aca="false">IFERROR(I766*60,"")</f>
        <v>79.44</v>
      </c>
    </row>
    <row r="767" customFormat="false" ht="15" hidden="false" customHeight="false" outlineLevel="0" collapsed="false">
      <c r="A767" s="4" t="s">
        <v>15</v>
      </c>
      <c r="B767" s="4" t="s">
        <v>56</v>
      </c>
      <c r="C767" s="4" t="s">
        <v>78</v>
      </c>
      <c r="D767" s="4" t="s">
        <v>91</v>
      </c>
      <c r="E767" s="4" t="s">
        <v>63</v>
      </c>
      <c r="F767" s="4" t="s">
        <v>63</v>
      </c>
      <c r="G767" s="4" t="s">
        <v>727</v>
      </c>
      <c r="H767" s="4"/>
      <c r="I767" s="4" t="n">
        <v>0.6753</v>
      </c>
      <c r="J767" s="4" t="str">
        <f aca="false">TRIM(E767) &amp; TRIM(C767) &amp; TRIM(D767)</f>
        <v>First ReviewBid VideoHR</v>
      </c>
      <c r="K767" s="4" t="n">
        <f aca="false">IFERROR(I767*60,"")</f>
        <v>40.518</v>
      </c>
    </row>
    <row r="768" customFormat="false" ht="15" hidden="false" customHeight="false" outlineLevel="0" collapsed="false">
      <c r="A768" s="4" t="s">
        <v>15</v>
      </c>
      <c r="B768" s="4" t="s">
        <v>56</v>
      </c>
      <c r="C768" s="4" t="s">
        <v>78</v>
      </c>
      <c r="D768" s="4" t="s">
        <v>82</v>
      </c>
      <c r="E768" s="4" t="s">
        <v>63</v>
      </c>
      <c r="F768" s="4" t="s">
        <v>63</v>
      </c>
      <c r="G768" s="4" t="s">
        <v>728</v>
      </c>
      <c r="H768" s="4"/>
      <c r="I768" s="4" t="n">
        <v>0.7583</v>
      </c>
      <c r="J768" s="4" t="str">
        <f aca="false">TRIM(E768) &amp; TRIM(C768) &amp; TRIM(D768)</f>
        <v>First ReviewBid VideoKH</v>
      </c>
      <c r="K768" s="4" t="n">
        <f aca="false">IFERROR(I768*60,"")</f>
        <v>45.498</v>
      </c>
    </row>
    <row r="769" customFormat="false" ht="15" hidden="false" customHeight="false" outlineLevel="0" collapsed="false">
      <c r="A769" s="4" t="s">
        <v>15</v>
      </c>
      <c r="B769" s="4" t="s">
        <v>56</v>
      </c>
      <c r="C769" s="4" t="s">
        <v>57</v>
      </c>
      <c r="D769" s="4" t="s">
        <v>243</v>
      </c>
      <c r="E769" s="4" t="s">
        <v>59</v>
      </c>
      <c r="F769" s="4" t="s">
        <v>59</v>
      </c>
      <c r="G769" s="4" t="s">
        <v>249</v>
      </c>
      <c r="H769" s="4"/>
      <c r="I769" s="4" t="n">
        <v>11.6998</v>
      </c>
      <c r="J769" s="4" t="str">
        <f aca="false">TRIM(E769) &amp; TRIM(C769) &amp; TRIM(D769)</f>
        <v>Re-reviewBid Ad GroupBY</v>
      </c>
      <c r="K769" s="4" t="n">
        <f aca="false">IFERROR(I769*60,"")</f>
        <v>701.988</v>
      </c>
    </row>
    <row r="770" customFormat="false" ht="15" hidden="false" customHeight="false" outlineLevel="0" collapsed="false">
      <c r="A770" s="4" t="s">
        <v>15</v>
      </c>
      <c r="B770" s="4" t="s">
        <v>56</v>
      </c>
      <c r="C770" s="4" t="s">
        <v>57</v>
      </c>
      <c r="D770" s="4" t="s">
        <v>134</v>
      </c>
      <c r="E770" s="4" t="s">
        <v>66</v>
      </c>
      <c r="F770" s="4" t="s">
        <v>67</v>
      </c>
      <c r="G770" s="4" t="s">
        <v>383</v>
      </c>
      <c r="H770" s="4"/>
      <c r="I770" s="4" t="n">
        <v>2.7709</v>
      </c>
      <c r="J770" s="4" t="str">
        <f aca="false">TRIM(E770) &amp; TRIM(C770) &amp; TRIM(D770)</f>
        <v>Posted RecallBid Ad GroupPR</v>
      </c>
      <c r="K770" s="4" t="n">
        <f aca="false">IFERROR(I770*60,"")</f>
        <v>166.254</v>
      </c>
    </row>
    <row r="771" customFormat="false" ht="15" hidden="false" customHeight="false" outlineLevel="0" collapsed="false">
      <c r="A771" s="4" t="s">
        <v>15</v>
      </c>
      <c r="B771" s="4" t="s">
        <v>56</v>
      </c>
      <c r="C771" s="4" t="s">
        <v>75</v>
      </c>
      <c r="D771" s="4" t="s">
        <v>166</v>
      </c>
      <c r="E771" s="4" t="s">
        <v>63</v>
      </c>
      <c r="F771" s="4" t="s">
        <v>63</v>
      </c>
      <c r="G771" s="4" t="s">
        <v>729</v>
      </c>
      <c r="H771" s="4"/>
      <c r="I771" s="4" t="n">
        <v>2.7658</v>
      </c>
      <c r="J771" s="4" t="str">
        <f aca="false">TRIM(E771) &amp; TRIM(C771) &amp; TRIM(D771)</f>
        <v>First ReviewBid Ecom Ads GroupCZ</v>
      </c>
      <c r="K771" s="4" t="n">
        <f aca="false">IFERROR(I771*60,"")</f>
        <v>165.948</v>
      </c>
    </row>
    <row r="772" customFormat="false" ht="15" hidden="false" customHeight="false" outlineLevel="0" collapsed="false">
      <c r="A772" s="4" t="s">
        <v>15</v>
      </c>
      <c r="B772" s="4" t="s">
        <v>56</v>
      </c>
      <c r="C772" s="4" t="s">
        <v>69</v>
      </c>
      <c r="D772" s="4" t="s">
        <v>213</v>
      </c>
      <c r="E772" s="4" t="s">
        <v>63</v>
      </c>
      <c r="F772" s="4" t="s">
        <v>63</v>
      </c>
      <c r="G772" s="4" t="s">
        <v>730</v>
      </c>
      <c r="H772" s="4"/>
      <c r="I772" s="4" t="n">
        <v>0.5954</v>
      </c>
      <c r="J772" s="4" t="str">
        <f aca="false">TRIM(E772) &amp; TRIM(C772) &amp; TRIM(D772)</f>
        <v>First ReviewBid LinkFR</v>
      </c>
      <c r="K772" s="4" t="n">
        <f aca="false">IFERROR(I772*60,"")</f>
        <v>35.724</v>
      </c>
    </row>
    <row r="773" customFormat="false" ht="15" hidden="false" customHeight="false" outlineLevel="0" collapsed="false">
      <c r="A773" s="4" t="s">
        <v>15</v>
      </c>
      <c r="B773" s="4" t="s">
        <v>56</v>
      </c>
      <c r="C773" s="4" t="s">
        <v>81</v>
      </c>
      <c r="D773" s="4" t="s">
        <v>117</v>
      </c>
      <c r="E773" s="4" t="s">
        <v>63</v>
      </c>
      <c r="F773" s="4" t="s">
        <v>63</v>
      </c>
      <c r="G773" s="4" t="s">
        <v>731</v>
      </c>
      <c r="H773" s="4"/>
      <c r="I773" s="4" t="n">
        <v>0.3561</v>
      </c>
      <c r="J773" s="4" t="str">
        <f aca="false">TRIM(E773) &amp; TRIM(C773) &amp; TRIM(D773)</f>
        <v>First ReviewBid TextAR</v>
      </c>
      <c r="K773" s="4" t="n">
        <f aca="false">IFERROR(I773*60,"")</f>
        <v>21.366</v>
      </c>
    </row>
    <row r="774" customFormat="false" ht="15" hidden="false" customHeight="false" outlineLevel="0" collapsed="false">
      <c r="A774" s="4" t="s">
        <v>15</v>
      </c>
      <c r="B774" s="4" t="s">
        <v>56</v>
      </c>
      <c r="C774" s="4" t="s">
        <v>57</v>
      </c>
      <c r="D774" s="4" t="s">
        <v>362</v>
      </c>
      <c r="E774" s="4" t="s">
        <v>66</v>
      </c>
      <c r="F774" s="4" t="s">
        <v>67</v>
      </c>
      <c r="G774" s="4" t="s">
        <v>363</v>
      </c>
      <c r="H774" s="4"/>
      <c r="I774" s="4" t="n">
        <v>1.554</v>
      </c>
      <c r="J774" s="4" t="str">
        <f aca="false">TRIM(E774) &amp; TRIM(C774) &amp; TRIM(D774)</f>
        <v>Posted RecallBid Ad GroupPA</v>
      </c>
      <c r="K774" s="4" t="n">
        <f aca="false">IFERROR(I774*60,"")</f>
        <v>93.24</v>
      </c>
    </row>
    <row r="775" customFormat="false" ht="15" hidden="false" customHeight="false" outlineLevel="0" collapsed="false">
      <c r="A775" s="4" t="s">
        <v>15</v>
      </c>
      <c r="B775" s="4" t="s">
        <v>56</v>
      </c>
      <c r="C775" s="4" t="s">
        <v>75</v>
      </c>
      <c r="D775" s="4" t="s">
        <v>115</v>
      </c>
      <c r="E775" s="4" t="s">
        <v>66</v>
      </c>
      <c r="F775" s="4" t="s">
        <v>67</v>
      </c>
      <c r="G775" s="4" t="s">
        <v>138</v>
      </c>
      <c r="H775" s="4"/>
      <c r="I775" s="4" t="n">
        <v>1.6207</v>
      </c>
      <c r="J775" s="4" t="str">
        <f aca="false">TRIM(E775) &amp; TRIM(C775) &amp; TRIM(D775)</f>
        <v>Posted RecallBid Ecom Ads GroupAT</v>
      </c>
      <c r="K775" s="4" t="n">
        <f aca="false">IFERROR(I775*60,"")</f>
        <v>97.242</v>
      </c>
    </row>
    <row r="776" customFormat="false" ht="15" hidden="false" customHeight="false" outlineLevel="0" collapsed="false">
      <c r="A776" s="4" t="s">
        <v>15</v>
      </c>
      <c r="B776" s="4" t="s">
        <v>56</v>
      </c>
      <c r="C776" s="4" t="s">
        <v>78</v>
      </c>
      <c r="D776" s="4" t="s">
        <v>111</v>
      </c>
      <c r="E776" s="4" t="s">
        <v>63</v>
      </c>
      <c r="F776" s="4" t="s">
        <v>63</v>
      </c>
      <c r="G776" s="4" t="s">
        <v>732</v>
      </c>
      <c r="H776" s="4"/>
      <c r="I776" s="4" t="n">
        <v>1.2272</v>
      </c>
      <c r="J776" s="4" t="str">
        <f aca="false">TRIM(E776) &amp; TRIM(C776) &amp; TRIM(D776)</f>
        <v>First ReviewBid VideoUS</v>
      </c>
      <c r="K776" s="4" t="n">
        <f aca="false">IFERROR(I776*60,"")</f>
        <v>73.632</v>
      </c>
    </row>
    <row r="777" customFormat="false" ht="15" hidden="false" customHeight="false" outlineLevel="0" collapsed="false">
      <c r="A777" s="4" t="s">
        <v>15</v>
      </c>
      <c r="B777" s="4" t="s">
        <v>56</v>
      </c>
      <c r="C777" s="4" t="s">
        <v>75</v>
      </c>
      <c r="D777" s="4" t="s">
        <v>89</v>
      </c>
      <c r="E777" s="4" t="s">
        <v>63</v>
      </c>
      <c r="F777" s="4" t="s">
        <v>63</v>
      </c>
      <c r="G777" s="4" t="s">
        <v>177</v>
      </c>
      <c r="H777" s="4"/>
      <c r="I777" s="4" t="n">
        <v>4.5404</v>
      </c>
      <c r="J777" s="4" t="str">
        <f aca="false">TRIM(E777) &amp; TRIM(C777) &amp; TRIM(D777)</f>
        <v>First ReviewBid Ecom Ads GroupFI</v>
      </c>
      <c r="K777" s="4" t="n">
        <f aca="false">IFERROR(I777*60,"")</f>
        <v>272.424</v>
      </c>
    </row>
    <row r="778" customFormat="false" ht="15" hidden="false" customHeight="false" outlineLevel="0" collapsed="false">
      <c r="A778" s="4" t="s">
        <v>15</v>
      </c>
      <c r="B778" s="4" t="s">
        <v>56</v>
      </c>
      <c r="C778" s="4" t="s">
        <v>57</v>
      </c>
      <c r="D778" s="4" t="s">
        <v>733</v>
      </c>
      <c r="E778" s="4" t="s">
        <v>63</v>
      </c>
      <c r="F778" s="4" t="s">
        <v>63</v>
      </c>
      <c r="G778" s="4" t="s">
        <v>734</v>
      </c>
      <c r="H778" s="4"/>
      <c r="I778" s="4" t="n">
        <v>1.667</v>
      </c>
      <c r="J778" s="4" t="str">
        <f aca="false">TRIM(E778) &amp; TRIM(C778) &amp; TRIM(D778)</f>
        <v>First ReviewBid Ad GroupUSCA</v>
      </c>
      <c r="K778" s="4" t="n">
        <f aca="false">IFERROR(I778*60,"")</f>
        <v>100.02</v>
      </c>
    </row>
    <row r="779" customFormat="false" ht="15" hidden="false" customHeight="false" outlineLevel="0" collapsed="false">
      <c r="A779" s="4" t="s">
        <v>15</v>
      </c>
      <c r="B779" s="4" t="s">
        <v>56</v>
      </c>
      <c r="C779" s="4" t="s">
        <v>75</v>
      </c>
      <c r="D779" s="4" t="s">
        <v>415</v>
      </c>
      <c r="E779" s="4" t="s">
        <v>59</v>
      </c>
      <c r="F779" s="4" t="s">
        <v>59</v>
      </c>
      <c r="G779" s="4" t="s">
        <v>735</v>
      </c>
      <c r="H779" s="4"/>
      <c r="I779" s="4" t="n">
        <v>2.3617</v>
      </c>
      <c r="J779" s="4" t="str">
        <f aca="false">TRIM(E779) &amp; TRIM(C779) &amp; TRIM(D779)</f>
        <v>Re-reviewBid Ecom Ads GroupNG</v>
      </c>
      <c r="K779" s="4" t="n">
        <f aca="false">IFERROR(I779*60,"")</f>
        <v>141.702</v>
      </c>
    </row>
    <row r="780" customFormat="false" ht="15" hidden="false" customHeight="false" outlineLevel="0" collapsed="false">
      <c r="A780" s="4" t="s">
        <v>15</v>
      </c>
      <c r="B780" s="4" t="s">
        <v>56</v>
      </c>
      <c r="C780" s="4" t="s">
        <v>57</v>
      </c>
      <c r="D780" s="4" t="s">
        <v>150</v>
      </c>
      <c r="E780" s="4" t="s">
        <v>63</v>
      </c>
      <c r="F780" s="4" t="s">
        <v>63</v>
      </c>
      <c r="G780" s="4" t="s">
        <v>451</v>
      </c>
      <c r="H780" s="4"/>
      <c r="I780" s="4" t="n">
        <v>2.5604</v>
      </c>
      <c r="J780" s="4" t="str">
        <f aca="false">TRIM(E780) &amp; TRIM(C780) &amp; TRIM(D780)</f>
        <v>First ReviewBid Ad GroupDE</v>
      </c>
      <c r="K780" s="4" t="n">
        <f aca="false">IFERROR(I780*60,"")</f>
        <v>153.624</v>
      </c>
    </row>
    <row r="781" customFormat="false" ht="15" hidden="false" customHeight="false" outlineLevel="0" collapsed="false">
      <c r="A781" s="4" t="s">
        <v>15</v>
      </c>
      <c r="B781" s="4" t="s">
        <v>56</v>
      </c>
      <c r="C781" s="4" t="s">
        <v>84</v>
      </c>
      <c r="D781" s="4" t="s">
        <v>171</v>
      </c>
      <c r="E781" s="4" t="s">
        <v>63</v>
      </c>
      <c r="F781" s="4" t="s">
        <v>63</v>
      </c>
      <c r="G781" s="4" t="s">
        <v>736</v>
      </c>
      <c r="H781" s="4"/>
      <c r="I781" s="4" t="n">
        <v>1.6272</v>
      </c>
      <c r="J781" s="4" t="str">
        <f aca="false">TRIM(E781) &amp; TRIM(C781) &amp; TRIM(D781)</f>
        <v>First ReviewBid Ecom VideoKE</v>
      </c>
      <c r="K781" s="4" t="n">
        <f aca="false">IFERROR(I781*60,"")</f>
        <v>97.632</v>
      </c>
    </row>
    <row r="782" customFormat="false" ht="15" hidden="false" customHeight="false" outlineLevel="0" collapsed="false">
      <c r="A782" s="4" t="s">
        <v>15</v>
      </c>
      <c r="B782" s="4" t="s">
        <v>56</v>
      </c>
      <c r="C782" s="4" t="s">
        <v>57</v>
      </c>
      <c r="D782" s="4" t="s">
        <v>737</v>
      </c>
      <c r="E782" s="4" t="s">
        <v>63</v>
      </c>
      <c r="F782" s="4" t="s">
        <v>63</v>
      </c>
      <c r="G782" s="4" t="s">
        <v>738</v>
      </c>
      <c r="H782" s="4"/>
      <c r="I782" s="4" t="n">
        <v>0.6701</v>
      </c>
      <c r="J782" s="4" t="str">
        <f aca="false">TRIM(E782) &amp; TRIM(C782) &amp; TRIM(D782)</f>
        <v>First ReviewBid Ad GroupSD</v>
      </c>
      <c r="K782" s="4" t="n">
        <f aca="false">IFERROR(I782*60,"")</f>
        <v>40.206</v>
      </c>
    </row>
    <row r="783" customFormat="false" ht="15" hidden="false" customHeight="false" outlineLevel="0" collapsed="false">
      <c r="A783" s="4" t="s">
        <v>15</v>
      </c>
      <c r="B783" s="4" t="s">
        <v>56</v>
      </c>
      <c r="C783" s="4" t="s">
        <v>57</v>
      </c>
      <c r="D783" s="4" t="s">
        <v>62</v>
      </c>
      <c r="E783" s="4" t="s">
        <v>63</v>
      </c>
      <c r="F783" s="4" t="s">
        <v>63</v>
      </c>
      <c r="G783" s="4" t="s">
        <v>392</v>
      </c>
      <c r="H783" s="4"/>
      <c r="I783" s="4" t="n">
        <v>1.6052</v>
      </c>
      <c r="J783" s="4" t="str">
        <f aca="false">TRIM(E783) &amp; TRIM(C783) &amp; TRIM(D783)</f>
        <v>First ReviewBid Ad GroupCL</v>
      </c>
      <c r="K783" s="4" t="n">
        <f aca="false">IFERROR(I783*60,"")</f>
        <v>96.312</v>
      </c>
    </row>
    <row r="784" customFormat="false" ht="15" hidden="false" customHeight="false" outlineLevel="0" collapsed="false">
      <c r="A784" s="4" t="s">
        <v>15</v>
      </c>
      <c r="B784" s="4" t="s">
        <v>56</v>
      </c>
      <c r="C784" s="4" t="s">
        <v>75</v>
      </c>
      <c r="D784" s="4" t="s">
        <v>100</v>
      </c>
      <c r="E784" s="4" t="s">
        <v>59</v>
      </c>
      <c r="F784" s="4" t="s">
        <v>59</v>
      </c>
      <c r="G784" s="4" t="s">
        <v>101</v>
      </c>
      <c r="H784" s="4"/>
      <c r="I784" s="4" t="n">
        <v>4.4105</v>
      </c>
      <c r="J784" s="4" t="str">
        <f aca="false">TRIM(E784) &amp; TRIM(C784) &amp; TRIM(D784)</f>
        <v>Re-reviewBid Ecom Ads GroupAU</v>
      </c>
      <c r="K784" s="4" t="n">
        <f aca="false">IFERROR(I784*60,"")</f>
        <v>264.63</v>
      </c>
    </row>
    <row r="785" customFormat="false" ht="15" hidden="false" customHeight="false" outlineLevel="0" collapsed="false">
      <c r="A785" s="4" t="s">
        <v>15</v>
      </c>
      <c r="B785" s="4" t="s">
        <v>56</v>
      </c>
      <c r="C785" s="4" t="s">
        <v>75</v>
      </c>
      <c r="D785" s="4" t="s">
        <v>139</v>
      </c>
      <c r="E785" s="4" t="s">
        <v>59</v>
      </c>
      <c r="F785" s="4" t="s">
        <v>59</v>
      </c>
      <c r="G785" s="4" t="s">
        <v>261</v>
      </c>
      <c r="H785" s="4"/>
      <c r="I785" s="4" t="n">
        <v>7.3645</v>
      </c>
      <c r="J785" s="4" t="str">
        <f aca="false">TRIM(E785) &amp; TRIM(C785) &amp; TRIM(D785)</f>
        <v>Re-reviewBid Ecom Ads GroupEG</v>
      </c>
      <c r="K785" s="4" t="n">
        <f aca="false">IFERROR(I785*60,"")</f>
        <v>441.87</v>
      </c>
    </row>
    <row r="786" customFormat="false" ht="15" hidden="false" customHeight="false" outlineLevel="0" collapsed="false">
      <c r="A786" s="4" t="s">
        <v>15</v>
      </c>
      <c r="B786" s="4" t="s">
        <v>56</v>
      </c>
      <c r="C786" s="4" t="s">
        <v>81</v>
      </c>
      <c r="D786" s="4" t="s">
        <v>192</v>
      </c>
      <c r="E786" s="4" t="s">
        <v>63</v>
      </c>
      <c r="F786" s="4" t="s">
        <v>63</v>
      </c>
      <c r="G786" s="4" t="s">
        <v>739</v>
      </c>
      <c r="H786" s="4"/>
      <c r="I786" s="4" t="n">
        <v>0.9781</v>
      </c>
      <c r="J786" s="4" t="str">
        <f aca="false">TRIM(E786) &amp; TRIM(C786) &amp; TRIM(D786)</f>
        <v>First ReviewBid TextGT</v>
      </c>
      <c r="K786" s="4" t="n">
        <f aca="false">IFERROR(I786*60,"")</f>
        <v>58.686</v>
      </c>
    </row>
    <row r="787" customFormat="false" ht="15" hidden="false" customHeight="false" outlineLevel="0" collapsed="false">
      <c r="A787" s="4" t="s">
        <v>15</v>
      </c>
      <c r="B787" s="4" t="s">
        <v>56</v>
      </c>
      <c r="C787" s="4" t="s">
        <v>78</v>
      </c>
      <c r="D787" s="4" t="s">
        <v>164</v>
      </c>
      <c r="E787" s="4" t="s">
        <v>63</v>
      </c>
      <c r="F787" s="4" t="s">
        <v>63</v>
      </c>
      <c r="G787" s="4" t="s">
        <v>740</v>
      </c>
      <c r="H787" s="4"/>
      <c r="I787" s="4" t="n">
        <v>1.1628</v>
      </c>
      <c r="J787" s="4" t="str">
        <f aca="false">TRIM(E787) &amp; TRIM(C787) &amp; TRIM(D787)</f>
        <v>First ReviewBid VideoCR</v>
      </c>
      <c r="K787" s="4" t="n">
        <f aca="false">IFERROR(I787*60,"")</f>
        <v>69.768</v>
      </c>
    </row>
    <row r="788" customFormat="false" ht="15" hidden="false" customHeight="false" outlineLevel="0" collapsed="false">
      <c r="A788" s="4" t="s">
        <v>15</v>
      </c>
      <c r="B788" s="4" t="s">
        <v>56</v>
      </c>
      <c r="C788" s="4" t="s">
        <v>61</v>
      </c>
      <c r="D788" s="4" t="s">
        <v>141</v>
      </c>
      <c r="E788" s="4" t="s">
        <v>63</v>
      </c>
      <c r="F788" s="4" t="s">
        <v>63</v>
      </c>
      <c r="G788" s="4" t="s">
        <v>741</v>
      </c>
      <c r="H788" s="4"/>
      <c r="I788" s="4" t="n">
        <v>1.564</v>
      </c>
      <c r="J788" s="4" t="str">
        <f aca="false">TRIM(E788) &amp; TRIM(C788) &amp; TRIM(D788)</f>
        <v>First ReviewBid Ecom URLAZ</v>
      </c>
      <c r="K788" s="4" t="n">
        <f aca="false">IFERROR(I788*60,"")</f>
        <v>93.84</v>
      </c>
    </row>
    <row r="789" customFormat="false" ht="15" hidden="false" customHeight="false" outlineLevel="0" collapsed="false">
      <c r="A789" s="4" t="s">
        <v>15</v>
      </c>
      <c r="B789" s="4" t="s">
        <v>56</v>
      </c>
      <c r="C789" s="4" t="s">
        <v>84</v>
      </c>
      <c r="D789" s="4" t="s">
        <v>58</v>
      </c>
      <c r="E789" s="4" t="s">
        <v>63</v>
      </c>
      <c r="F789" s="4" t="s">
        <v>63</v>
      </c>
      <c r="G789" s="4" t="s">
        <v>742</v>
      </c>
      <c r="H789" s="4"/>
      <c r="I789" s="4" t="n">
        <v>1.3023</v>
      </c>
      <c r="J789" s="4" t="str">
        <f aca="false">TRIM(E789) &amp; TRIM(C789) &amp; TRIM(D789)</f>
        <v>First ReviewBid Ecom VideoSG</v>
      </c>
      <c r="K789" s="4" t="n">
        <f aca="false">IFERROR(I789*60,"")</f>
        <v>78.138</v>
      </c>
    </row>
    <row r="790" customFormat="false" ht="15" hidden="false" customHeight="false" outlineLevel="0" collapsed="false">
      <c r="A790" s="4" t="s">
        <v>15</v>
      </c>
      <c r="B790" s="4" t="s">
        <v>56</v>
      </c>
      <c r="C790" s="4" t="s">
        <v>78</v>
      </c>
      <c r="D790" s="4" t="s">
        <v>136</v>
      </c>
      <c r="E790" s="4" t="s">
        <v>63</v>
      </c>
      <c r="F790" s="4" t="s">
        <v>63</v>
      </c>
      <c r="G790" s="4" t="s">
        <v>743</v>
      </c>
      <c r="H790" s="4"/>
      <c r="I790" s="4" t="n">
        <v>1.1265</v>
      </c>
      <c r="J790" s="4" t="str">
        <f aca="false">TRIM(E790) &amp; TRIM(C790) &amp; TRIM(D790)</f>
        <v>First ReviewBid VideoPE</v>
      </c>
      <c r="K790" s="4" t="n">
        <f aca="false">IFERROR(I790*60,"")</f>
        <v>67.59</v>
      </c>
    </row>
    <row r="791" customFormat="false" ht="15" hidden="false" customHeight="false" outlineLevel="0" collapsed="false">
      <c r="A791" s="4" t="s">
        <v>15</v>
      </c>
      <c r="B791" s="4" t="s">
        <v>56</v>
      </c>
      <c r="C791" s="4" t="s">
        <v>61</v>
      </c>
      <c r="D791" s="4" t="s">
        <v>210</v>
      </c>
      <c r="E791" s="4" t="s">
        <v>63</v>
      </c>
      <c r="F791" s="4" t="s">
        <v>63</v>
      </c>
      <c r="G791" s="4" t="s">
        <v>744</v>
      </c>
      <c r="H791" s="4"/>
      <c r="I791" s="4" t="n">
        <v>0.746</v>
      </c>
      <c r="J791" s="4" t="str">
        <f aca="false">TRIM(E791) &amp; TRIM(C791) &amp; TRIM(D791)</f>
        <v>First ReviewBid Ecom URLPK</v>
      </c>
      <c r="K791" s="4" t="n">
        <f aca="false">IFERROR(I791*60,"")</f>
        <v>44.76</v>
      </c>
    </row>
    <row r="792" customFormat="false" ht="15" hidden="false" customHeight="false" outlineLevel="0" collapsed="false">
      <c r="A792" s="4" t="s">
        <v>15</v>
      </c>
      <c r="B792" s="4" t="s">
        <v>56</v>
      </c>
      <c r="C792" s="4" t="s">
        <v>93</v>
      </c>
      <c r="D792" s="4" t="s">
        <v>141</v>
      </c>
      <c r="E792" s="4" t="s">
        <v>63</v>
      </c>
      <c r="F792" s="4" t="s">
        <v>63</v>
      </c>
      <c r="G792" s="4" t="s">
        <v>745</v>
      </c>
      <c r="H792" s="4"/>
      <c r="I792" s="4" t="n">
        <v>0.1358</v>
      </c>
      <c r="J792" s="4" t="str">
        <f aca="false">TRIM(E792) &amp; TRIM(C792) &amp; TRIM(D792)</f>
        <v>First ReviewBid AudioAZ</v>
      </c>
      <c r="K792" s="4" t="n">
        <f aca="false">IFERROR(I792*60,"")</f>
        <v>8.148</v>
      </c>
    </row>
    <row r="793" customFormat="false" ht="15" hidden="false" customHeight="false" outlineLevel="0" collapsed="false">
      <c r="A793" s="4" t="s">
        <v>15</v>
      </c>
      <c r="B793" s="4" t="s">
        <v>56</v>
      </c>
      <c r="C793" s="4" t="s">
        <v>75</v>
      </c>
      <c r="D793" s="4" t="s">
        <v>197</v>
      </c>
      <c r="E793" s="4" t="s">
        <v>66</v>
      </c>
      <c r="F793" s="4" t="s">
        <v>67</v>
      </c>
      <c r="G793" s="4" t="s">
        <v>352</v>
      </c>
      <c r="H793" s="4"/>
      <c r="I793" s="4" t="n">
        <v>1.8249</v>
      </c>
      <c r="J793" s="4" t="str">
        <f aca="false">TRIM(E793) &amp; TRIM(C793) &amp; TRIM(D793)</f>
        <v>Posted RecallBid Ecom Ads GroupGR</v>
      </c>
      <c r="K793" s="4" t="n">
        <f aca="false">IFERROR(I793*60,"")</f>
        <v>109.494</v>
      </c>
    </row>
    <row r="794" customFormat="false" ht="15" hidden="false" customHeight="false" outlineLevel="0" collapsed="false">
      <c r="A794" s="4" t="s">
        <v>15</v>
      </c>
      <c r="B794" s="4" t="s">
        <v>56</v>
      </c>
      <c r="C794" s="4" t="s">
        <v>69</v>
      </c>
      <c r="D794" s="4" t="s">
        <v>289</v>
      </c>
      <c r="E794" s="4" t="s">
        <v>63</v>
      </c>
      <c r="F794" s="4" t="s">
        <v>63</v>
      </c>
      <c r="G794" s="4" t="s">
        <v>746</v>
      </c>
      <c r="H794" s="4"/>
      <c r="I794" s="4" t="n">
        <v>1.0583</v>
      </c>
      <c r="J794" s="4" t="str">
        <f aca="false">TRIM(E794) &amp; TRIM(C794) &amp; TRIM(D794)</f>
        <v>First ReviewBid LinkLK</v>
      </c>
      <c r="K794" s="4" t="n">
        <f aca="false">IFERROR(I794*60,"")</f>
        <v>63.498</v>
      </c>
    </row>
    <row r="795" customFormat="false" ht="15" hidden="false" customHeight="false" outlineLevel="0" collapsed="false">
      <c r="A795" s="4" t="s">
        <v>15</v>
      </c>
      <c r="B795" s="4" t="s">
        <v>56</v>
      </c>
      <c r="C795" s="4" t="s">
        <v>57</v>
      </c>
      <c r="D795" s="4" t="s">
        <v>139</v>
      </c>
      <c r="E795" s="4" t="s">
        <v>66</v>
      </c>
      <c r="F795" s="4" t="s">
        <v>67</v>
      </c>
      <c r="G795" s="4" t="s">
        <v>140</v>
      </c>
      <c r="H795" s="4"/>
      <c r="I795" s="4" t="n">
        <v>2.4585</v>
      </c>
      <c r="J795" s="4" t="str">
        <f aca="false">TRIM(E795) &amp; TRIM(C795) &amp; TRIM(D795)</f>
        <v>Posted RecallBid Ad GroupEG</v>
      </c>
      <c r="K795" s="4" t="n">
        <f aca="false">IFERROR(I795*60,"")</f>
        <v>147.51</v>
      </c>
    </row>
    <row r="796" customFormat="false" ht="15" hidden="false" customHeight="false" outlineLevel="0" collapsed="false">
      <c r="A796" s="4" t="s">
        <v>15</v>
      </c>
      <c r="B796" s="4" t="s">
        <v>56</v>
      </c>
      <c r="C796" s="4" t="s">
        <v>75</v>
      </c>
      <c r="D796" s="4" t="s">
        <v>136</v>
      </c>
      <c r="E796" s="4" t="s">
        <v>59</v>
      </c>
      <c r="F796" s="4" t="s">
        <v>59</v>
      </c>
      <c r="G796" s="4" t="s">
        <v>685</v>
      </c>
      <c r="H796" s="4"/>
      <c r="I796" s="4" t="n">
        <v>5.8728</v>
      </c>
      <c r="J796" s="4" t="str">
        <f aca="false">TRIM(E796) &amp; TRIM(C796) &amp; TRIM(D796)</f>
        <v>Re-reviewBid Ecom Ads GroupPE</v>
      </c>
      <c r="K796" s="4" t="n">
        <f aca="false">IFERROR(I796*60,"")</f>
        <v>352.368</v>
      </c>
    </row>
    <row r="797" customFormat="false" ht="15" hidden="false" customHeight="false" outlineLevel="0" collapsed="false">
      <c r="A797" s="4" t="s">
        <v>15</v>
      </c>
      <c r="B797" s="4" t="s">
        <v>56</v>
      </c>
      <c r="C797" s="4" t="s">
        <v>93</v>
      </c>
      <c r="D797" s="4" t="s">
        <v>357</v>
      </c>
      <c r="E797" s="4" t="s">
        <v>63</v>
      </c>
      <c r="F797" s="4" t="s">
        <v>63</v>
      </c>
      <c r="G797" s="4" t="s">
        <v>747</v>
      </c>
      <c r="H797" s="4"/>
      <c r="I797" s="4" t="n">
        <v>1.0317</v>
      </c>
      <c r="J797" s="4" t="str">
        <f aca="false">TRIM(E797) &amp; TRIM(C797) &amp; TRIM(D797)</f>
        <v>First ReviewBid AudioHU</v>
      </c>
      <c r="K797" s="4" t="n">
        <f aca="false">IFERROR(I797*60,"")</f>
        <v>61.902</v>
      </c>
    </row>
    <row r="798" customFormat="false" ht="15" hidden="false" customHeight="false" outlineLevel="0" collapsed="false">
      <c r="A798" s="4" t="s">
        <v>15</v>
      </c>
      <c r="B798" s="4" t="s">
        <v>56</v>
      </c>
      <c r="C798" s="4" t="s">
        <v>75</v>
      </c>
      <c r="D798" s="4" t="s">
        <v>458</v>
      </c>
      <c r="E798" s="4" t="s">
        <v>59</v>
      </c>
      <c r="F798" s="4" t="s">
        <v>59</v>
      </c>
      <c r="G798" s="4" t="s">
        <v>688</v>
      </c>
      <c r="H798" s="4"/>
      <c r="I798" s="4" t="n">
        <v>11.723</v>
      </c>
      <c r="J798" s="4" t="str">
        <f aca="false">TRIM(E798) &amp; TRIM(C798) &amp; TRIM(D798)</f>
        <v>Re-reviewBid Ecom Ads GroupTW</v>
      </c>
      <c r="K798" s="4" t="n">
        <f aca="false">IFERROR(I798*60,"")</f>
        <v>703.38</v>
      </c>
    </row>
    <row r="799" customFormat="false" ht="15" hidden="false" customHeight="false" outlineLevel="0" collapsed="false">
      <c r="A799" s="4" t="s">
        <v>15</v>
      </c>
      <c r="B799" s="4" t="s">
        <v>56</v>
      </c>
      <c r="C799" s="4" t="s">
        <v>75</v>
      </c>
      <c r="D799" s="4" t="s">
        <v>206</v>
      </c>
      <c r="E799" s="4" t="s">
        <v>66</v>
      </c>
      <c r="F799" s="4" t="s">
        <v>67</v>
      </c>
      <c r="G799" s="4" t="s">
        <v>748</v>
      </c>
      <c r="H799" s="4"/>
      <c r="I799" s="4" t="n">
        <v>2.7596</v>
      </c>
      <c r="J799" s="4" t="str">
        <f aca="false">TRIM(E799) &amp; TRIM(C799) &amp; TRIM(D799)</f>
        <v>Posted RecallBid Ecom Ads GroupDZ</v>
      </c>
      <c r="K799" s="4" t="n">
        <f aca="false">IFERROR(I799*60,"")</f>
        <v>165.576</v>
      </c>
    </row>
    <row r="800" customFormat="false" ht="15" hidden="false" customHeight="false" outlineLevel="0" collapsed="false">
      <c r="A800" s="4" t="s">
        <v>15</v>
      </c>
      <c r="B800" s="4" t="s">
        <v>56</v>
      </c>
      <c r="C800" s="4" t="s">
        <v>69</v>
      </c>
      <c r="D800" s="4" t="s">
        <v>185</v>
      </c>
      <c r="E800" s="4" t="s">
        <v>63</v>
      </c>
      <c r="F800" s="4" t="s">
        <v>63</v>
      </c>
      <c r="G800" s="4" t="s">
        <v>749</v>
      </c>
      <c r="H800" s="4"/>
      <c r="I800" s="4" t="n">
        <v>1.3759</v>
      </c>
      <c r="J800" s="4" t="str">
        <f aca="false">TRIM(E800) &amp; TRIM(C800) &amp; TRIM(D800)</f>
        <v>First ReviewBid LinkDK</v>
      </c>
      <c r="K800" s="4" t="n">
        <f aca="false">IFERROR(I800*60,"")</f>
        <v>82.554</v>
      </c>
    </row>
    <row r="801" customFormat="false" ht="15" hidden="false" customHeight="false" outlineLevel="0" collapsed="false">
      <c r="A801" s="4" t="s">
        <v>15</v>
      </c>
      <c r="B801" s="4" t="s">
        <v>56</v>
      </c>
      <c r="C801" s="4" t="s">
        <v>57</v>
      </c>
      <c r="D801" s="4" t="s">
        <v>124</v>
      </c>
      <c r="E801" s="4" t="s">
        <v>66</v>
      </c>
      <c r="F801" s="4" t="s">
        <v>67</v>
      </c>
      <c r="G801" s="4" t="s">
        <v>125</v>
      </c>
      <c r="H801" s="4"/>
      <c r="I801" s="4" t="n">
        <v>1.8529</v>
      </c>
      <c r="J801" s="4" t="str">
        <f aca="false">TRIM(E801) &amp; TRIM(C801) &amp; TRIM(D801)</f>
        <v>Posted RecallBid Ad GroupPT</v>
      </c>
      <c r="K801" s="4" t="n">
        <f aca="false">IFERROR(I801*60,"")</f>
        <v>111.174</v>
      </c>
    </row>
    <row r="802" customFormat="false" ht="15" hidden="false" customHeight="false" outlineLevel="0" collapsed="false">
      <c r="A802" s="4" t="s">
        <v>15</v>
      </c>
      <c r="B802" s="4" t="s">
        <v>56</v>
      </c>
      <c r="C802" s="4" t="s">
        <v>57</v>
      </c>
      <c r="D802" s="4" t="s">
        <v>195</v>
      </c>
      <c r="E802" s="4" t="s">
        <v>66</v>
      </c>
      <c r="F802" s="4" t="s">
        <v>67</v>
      </c>
      <c r="G802" s="4" t="s">
        <v>603</v>
      </c>
      <c r="H802" s="4"/>
      <c r="I802" s="4" t="n">
        <v>2.0901</v>
      </c>
      <c r="J802" s="4" t="str">
        <f aca="false">TRIM(E802) &amp; TRIM(C802) &amp; TRIM(D802)</f>
        <v>Posted RecallBid Ad GroupIT</v>
      </c>
      <c r="K802" s="4" t="n">
        <f aca="false">IFERROR(I802*60,"")</f>
        <v>125.406</v>
      </c>
    </row>
    <row r="803" customFormat="false" ht="15" hidden="false" customHeight="false" outlineLevel="0" collapsed="false">
      <c r="A803" s="4" t="s">
        <v>15</v>
      </c>
      <c r="B803" s="4" t="s">
        <v>56</v>
      </c>
      <c r="C803" s="4" t="s">
        <v>57</v>
      </c>
      <c r="D803" s="4" t="s">
        <v>308</v>
      </c>
      <c r="E803" s="4" t="s">
        <v>59</v>
      </c>
      <c r="F803" s="4" t="s">
        <v>59</v>
      </c>
      <c r="G803" s="4" t="s">
        <v>452</v>
      </c>
      <c r="H803" s="4"/>
      <c r="I803" s="4" t="n">
        <v>8.0508</v>
      </c>
      <c r="J803" s="4" t="str">
        <f aca="false">TRIM(E803) &amp; TRIM(C803) &amp; TRIM(D803)</f>
        <v>Re-reviewBid Ad GroupPL</v>
      </c>
      <c r="K803" s="4" t="n">
        <f aca="false">IFERROR(I803*60,"")</f>
        <v>483.048</v>
      </c>
    </row>
    <row r="804" customFormat="false" ht="15" hidden="false" customHeight="false" outlineLevel="0" collapsed="false">
      <c r="A804" s="4" t="s">
        <v>15</v>
      </c>
      <c r="B804" s="4" t="s">
        <v>56</v>
      </c>
      <c r="C804" s="4" t="s">
        <v>78</v>
      </c>
      <c r="D804" s="4" t="s">
        <v>126</v>
      </c>
      <c r="E804" s="4" t="s">
        <v>63</v>
      </c>
      <c r="F804" s="4" t="s">
        <v>63</v>
      </c>
      <c r="G804" s="4" t="s">
        <v>750</v>
      </c>
      <c r="H804" s="4"/>
      <c r="I804" s="4" t="n">
        <v>1.1936</v>
      </c>
      <c r="J804" s="4" t="str">
        <f aca="false">TRIM(E804) &amp; TRIM(C804) &amp; TRIM(D804)</f>
        <v>First ReviewBid VideoMX</v>
      </c>
      <c r="K804" s="4" t="n">
        <f aca="false">IFERROR(I804*60,"")</f>
        <v>71.616</v>
      </c>
    </row>
    <row r="805" customFormat="false" ht="15" hidden="false" customHeight="false" outlineLevel="0" collapsed="false">
      <c r="A805" s="4" t="s">
        <v>15</v>
      </c>
      <c r="B805" s="4" t="s">
        <v>56</v>
      </c>
      <c r="C805" s="4" t="s">
        <v>57</v>
      </c>
      <c r="D805" s="4" t="s">
        <v>87</v>
      </c>
      <c r="E805" s="4" t="s">
        <v>66</v>
      </c>
      <c r="F805" s="4" t="s">
        <v>67</v>
      </c>
      <c r="G805" s="4" t="s">
        <v>123</v>
      </c>
      <c r="H805" s="4"/>
      <c r="I805" s="4" t="n">
        <v>2.3873</v>
      </c>
      <c r="J805" s="4" t="str">
        <f aca="false">TRIM(E805) &amp; TRIM(C805) &amp; TRIM(D805)</f>
        <v>Posted RecallBid Ad GroupAE</v>
      </c>
      <c r="K805" s="4" t="n">
        <f aca="false">IFERROR(I805*60,"")</f>
        <v>143.238</v>
      </c>
    </row>
    <row r="806" customFormat="false" ht="15" hidden="false" customHeight="false" outlineLevel="0" collapsed="false">
      <c r="A806" s="4" t="s">
        <v>15</v>
      </c>
      <c r="B806" s="4" t="s">
        <v>56</v>
      </c>
      <c r="C806" s="4" t="s">
        <v>57</v>
      </c>
      <c r="D806" s="4" t="s">
        <v>235</v>
      </c>
      <c r="E806" s="4" t="s">
        <v>59</v>
      </c>
      <c r="F806" s="4" t="s">
        <v>59</v>
      </c>
      <c r="G806" s="4" t="s">
        <v>279</v>
      </c>
      <c r="H806" s="4"/>
      <c r="I806" s="4" t="n">
        <v>6.1069</v>
      </c>
      <c r="J806" s="4" t="str">
        <f aca="false">TRIM(E806) &amp; TRIM(C806) &amp; TRIM(D806)</f>
        <v>Re-reviewBid Ad GroupJP</v>
      </c>
      <c r="K806" s="4" t="n">
        <f aca="false">IFERROR(I806*60,"")</f>
        <v>366.414</v>
      </c>
    </row>
    <row r="807" customFormat="false" ht="15" hidden="false" customHeight="false" outlineLevel="0" collapsed="false">
      <c r="A807" s="4" t="s">
        <v>15</v>
      </c>
      <c r="B807" s="4" t="s">
        <v>56</v>
      </c>
      <c r="C807" s="4" t="s">
        <v>119</v>
      </c>
      <c r="D807" s="4" t="s">
        <v>62</v>
      </c>
      <c r="E807" s="4" t="s">
        <v>63</v>
      </c>
      <c r="F807" s="4" t="s">
        <v>63</v>
      </c>
      <c r="G807" s="4" t="s">
        <v>751</v>
      </c>
      <c r="H807" s="4"/>
      <c r="I807" s="4" t="n">
        <v>1.1749</v>
      </c>
      <c r="J807" s="4" t="str">
        <f aca="false">TRIM(E807) &amp; TRIM(C807) &amp; TRIM(D807)</f>
        <v>First ReviewBid Pre ApprovalCL</v>
      </c>
      <c r="K807" s="4" t="n">
        <f aca="false">IFERROR(I807*60,"")</f>
        <v>70.494</v>
      </c>
    </row>
    <row r="808" customFormat="false" ht="15" hidden="false" customHeight="false" outlineLevel="0" collapsed="false">
      <c r="A808" s="4" t="s">
        <v>15</v>
      </c>
      <c r="B808" s="4" t="s">
        <v>56</v>
      </c>
      <c r="C808" s="4" t="s">
        <v>57</v>
      </c>
      <c r="D808" s="4" t="s">
        <v>231</v>
      </c>
      <c r="E808" s="4" t="s">
        <v>59</v>
      </c>
      <c r="F808" s="4" t="s">
        <v>59</v>
      </c>
      <c r="G808" s="4" t="s">
        <v>547</v>
      </c>
      <c r="H808" s="4"/>
      <c r="I808" s="4" t="n">
        <v>7.2295</v>
      </c>
      <c r="J808" s="4" t="str">
        <f aca="false">TRIM(E808) &amp; TRIM(C808) &amp; TRIM(D808)</f>
        <v>Re-reviewBid Ad GroupIL</v>
      </c>
      <c r="K808" s="4" t="n">
        <f aca="false">IFERROR(I808*60,"")</f>
        <v>433.77</v>
      </c>
    </row>
    <row r="809" customFormat="false" ht="15" hidden="false" customHeight="false" outlineLevel="0" collapsed="false">
      <c r="A809" s="4" t="s">
        <v>15</v>
      </c>
      <c r="B809" s="4" t="s">
        <v>56</v>
      </c>
      <c r="C809" s="4" t="s">
        <v>78</v>
      </c>
      <c r="D809" s="4" t="s">
        <v>458</v>
      </c>
      <c r="E809" s="4" t="s">
        <v>63</v>
      </c>
      <c r="F809" s="4" t="s">
        <v>63</v>
      </c>
      <c r="G809" s="4" t="s">
        <v>752</v>
      </c>
      <c r="H809" s="4"/>
      <c r="I809" s="4" t="n">
        <v>3.3988</v>
      </c>
      <c r="J809" s="4" t="str">
        <f aca="false">TRIM(E809) &amp; TRIM(C809) &amp; TRIM(D809)</f>
        <v>First ReviewBid VideoTW</v>
      </c>
      <c r="K809" s="4" t="n">
        <f aca="false">IFERROR(I809*60,"")</f>
        <v>203.928</v>
      </c>
    </row>
    <row r="810" customFormat="false" ht="15" hidden="false" customHeight="false" outlineLevel="0" collapsed="false">
      <c r="A810" s="4" t="s">
        <v>15</v>
      </c>
      <c r="B810" s="4" t="s">
        <v>56</v>
      </c>
      <c r="C810" s="4" t="s">
        <v>57</v>
      </c>
      <c r="D810" s="4" t="s">
        <v>106</v>
      </c>
      <c r="E810" s="4" t="s">
        <v>59</v>
      </c>
      <c r="F810" s="4" t="s">
        <v>59</v>
      </c>
      <c r="G810" s="4" t="s">
        <v>564</v>
      </c>
      <c r="H810" s="4"/>
      <c r="I810" s="4" t="n">
        <v>4.7232</v>
      </c>
      <c r="J810" s="4" t="str">
        <f aca="false">TRIM(E810) &amp; TRIM(C810) &amp; TRIM(D810)</f>
        <v>Re-reviewBid Ad GroupMY</v>
      </c>
      <c r="K810" s="4" t="n">
        <f aca="false">IFERROR(I810*60,"")</f>
        <v>283.392</v>
      </c>
    </row>
    <row r="811" customFormat="false" ht="15" hidden="false" customHeight="false" outlineLevel="0" collapsed="false">
      <c r="A811" s="4" t="s">
        <v>15</v>
      </c>
      <c r="B811" s="4" t="s">
        <v>56</v>
      </c>
      <c r="C811" s="4" t="s">
        <v>61</v>
      </c>
      <c r="D811" s="4" t="s">
        <v>152</v>
      </c>
      <c r="E811" s="4" t="s">
        <v>63</v>
      </c>
      <c r="F811" s="4" t="s">
        <v>63</v>
      </c>
      <c r="G811" s="4" t="s">
        <v>753</v>
      </c>
      <c r="H811" s="4"/>
      <c r="I811" s="4" t="n">
        <v>0.5849</v>
      </c>
      <c r="J811" s="4" t="str">
        <f aca="false">TRIM(E811) &amp; TRIM(C811) &amp; TRIM(D811)</f>
        <v>First ReviewBid Ecom URLCY</v>
      </c>
      <c r="K811" s="4" t="n">
        <f aca="false">IFERROR(I811*60,"")</f>
        <v>35.094</v>
      </c>
    </row>
    <row r="812" customFormat="false" ht="15" hidden="false" customHeight="false" outlineLevel="0" collapsed="false">
      <c r="A812" s="4" t="s">
        <v>15</v>
      </c>
      <c r="B812" s="4" t="s">
        <v>56</v>
      </c>
      <c r="C812" s="4" t="s">
        <v>75</v>
      </c>
      <c r="D812" s="4" t="s">
        <v>62</v>
      </c>
      <c r="E812" s="4" t="s">
        <v>59</v>
      </c>
      <c r="F812" s="4" t="s">
        <v>59</v>
      </c>
      <c r="G812" s="4" t="s">
        <v>175</v>
      </c>
      <c r="H812" s="4"/>
      <c r="I812" s="4" t="n">
        <v>4.8795</v>
      </c>
      <c r="J812" s="4" t="str">
        <f aca="false">TRIM(E812) &amp; TRIM(C812) &amp; TRIM(D812)</f>
        <v>Re-reviewBid Ecom Ads GroupCL</v>
      </c>
      <c r="K812" s="4" t="n">
        <f aca="false">IFERROR(I812*60,"")</f>
        <v>292.77</v>
      </c>
    </row>
    <row r="813" customFormat="false" ht="15" hidden="false" customHeight="false" outlineLevel="0" collapsed="false">
      <c r="A813" s="4" t="s">
        <v>15</v>
      </c>
      <c r="B813" s="4" t="s">
        <v>56</v>
      </c>
      <c r="C813" s="4" t="s">
        <v>75</v>
      </c>
      <c r="D813" s="4" t="s">
        <v>157</v>
      </c>
      <c r="E813" s="4" t="s">
        <v>66</v>
      </c>
      <c r="F813" s="4" t="s">
        <v>67</v>
      </c>
      <c r="G813" s="4" t="s">
        <v>379</v>
      </c>
      <c r="H813" s="4"/>
      <c r="I813" s="4" t="n">
        <v>2.5395</v>
      </c>
      <c r="J813" s="4" t="str">
        <f aca="false">TRIM(E813) &amp; TRIM(C813) &amp; TRIM(D813)</f>
        <v>Posted RecallBid Ecom Ads GroupSA</v>
      </c>
      <c r="K813" s="4" t="n">
        <f aca="false">IFERROR(I813*60,"")</f>
        <v>152.37</v>
      </c>
    </row>
    <row r="814" customFormat="false" ht="15" hidden="false" customHeight="false" outlineLevel="0" collapsed="false">
      <c r="A814" s="4" t="s">
        <v>15</v>
      </c>
      <c r="B814" s="4" t="s">
        <v>56</v>
      </c>
      <c r="C814" s="4" t="s">
        <v>69</v>
      </c>
      <c r="D814" s="4" t="s">
        <v>62</v>
      </c>
      <c r="E814" s="4" t="s">
        <v>63</v>
      </c>
      <c r="F814" s="4" t="s">
        <v>63</v>
      </c>
      <c r="G814" s="4" t="s">
        <v>754</v>
      </c>
      <c r="H814" s="4"/>
      <c r="I814" s="4" t="n">
        <v>0.8019</v>
      </c>
      <c r="J814" s="4" t="str">
        <f aca="false">TRIM(E814) &amp; TRIM(C814) &amp; TRIM(D814)</f>
        <v>First ReviewBid LinkCL</v>
      </c>
      <c r="K814" s="4" t="n">
        <f aca="false">IFERROR(I814*60,"")</f>
        <v>48.114</v>
      </c>
    </row>
    <row r="815" customFormat="false" ht="15" hidden="false" customHeight="false" outlineLevel="0" collapsed="false">
      <c r="A815" s="4" t="s">
        <v>15</v>
      </c>
      <c r="B815" s="4" t="s">
        <v>56</v>
      </c>
      <c r="C815" s="4" t="s">
        <v>78</v>
      </c>
      <c r="D815" s="4" t="s">
        <v>289</v>
      </c>
      <c r="E815" s="4" t="s">
        <v>63</v>
      </c>
      <c r="F815" s="4" t="s">
        <v>63</v>
      </c>
      <c r="G815" s="4" t="s">
        <v>755</v>
      </c>
      <c r="H815" s="4"/>
      <c r="I815" s="4" t="n">
        <v>1.3183</v>
      </c>
      <c r="J815" s="4" t="str">
        <f aca="false">TRIM(E815) &amp; TRIM(C815) &amp; TRIM(D815)</f>
        <v>First ReviewBid VideoLK</v>
      </c>
      <c r="K815" s="4" t="n">
        <f aca="false">IFERROR(I815*60,"")</f>
        <v>79.098</v>
      </c>
    </row>
    <row r="816" customFormat="false" ht="15" hidden="false" customHeight="false" outlineLevel="0" collapsed="false">
      <c r="A816" s="4" t="s">
        <v>15</v>
      </c>
      <c r="B816" s="4" t="s">
        <v>56</v>
      </c>
      <c r="C816" s="4" t="s">
        <v>57</v>
      </c>
      <c r="D816" s="4" t="s">
        <v>271</v>
      </c>
      <c r="E816" s="4" t="s">
        <v>59</v>
      </c>
      <c r="F816" s="4" t="s">
        <v>59</v>
      </c>
      <c r="G816" s="4" t="s">
        <v>272</v>
      </c>
      <c r="H816" s="4"/>
      <c r="I816" s="4" t="n">
        <v>5.4621</v>
      </c>
      <c r="J816" s="4" t="str">
        <f aca="false">TRIM(E816) &amp; TRIM(C816) &amp; TRIM(D816)</f>
        <v>Re-reviewBid Ad GroupKW</v>
      </c>
      <c r="K816" s="4" t="n">
        <f aca="false">IFERROR(I816*60,"")</f>
        <v>327.726</v>
      </c>
    </row>
    <row r="817" customFormat="false" ht="15" hidden="false" customHeight="false" outlineLevel="0" collapsed="false">
      <c r="A817" s="4" t="s">
        <v>15</v>
      </c>
      <c r="B817" s="4" t="s">
        <v>56</v>
      </c>
      <c r="C817" s="4" t="s">
        <v>75</v>
      </c>
      <c r="D817" s="4" t="s">
        <v>166</v>
      </c>
      <c r="E817" s="4" t="s">
        <v>59</v>
      </c>
      <c r="F817" s="4" t="s">
        <v>59</v>
      </c>
      <c r="G817" s="4" t="s">
        <v>729</v>
      </c>
      <c r="H817" s="4"/>
      <c r="I817" s="4" t="n">
        <v>4.1213</v>
      </c>
      <c r="J817" s="4" t="str">
        <f aca="false">TRIM(E817) &amp; TRIM(C817) &amp; TRIM(D817)</f>
        <v>Re-reviewBid Ecom Ads GroupCZ</v>
      </c>
      <c r="K817" s="4" t="n">
        <f aca="false">IFERROR(I817*60,"")</f>
        <v>247.278</v>
      </c>
    </row>
    <row r="818" customFormat="false" ht="15" hidden="false" customHeight="false" outlineLevel="0" collapsed="false">
      <c r="A818" s="4" t="s">
        <v>15</v>
      </c>
      <c r="B818" s="4" t="s">
        <v>56</v>
      </c>
      <c r="C818" s="4" t="s">
        <v>61</v>
      </c>
      <c r="D818" s="4" t="s">
        <v>76</v>
      </c>
      <c r="E818" s="4" t="s">
        <v>63</v>
      </c>
      <c r="F818" s="4" t="s">
        <v>63</v>
      </c>
      <c r="G818" s="4" t="s">
        <v>756</v>
      </c>
      <c r="H818" s="4"/>
      <c r="I818" s="4" t="n">
        <v>3.1995</v>
      </c>
      <c r="J818" s="4" t="str">
        <f aca="false">TRIM(E818) &amp; TRIM(C818) &amp; TRIM(D818)</f>
        <v>First ReviewBid Ecom URLLT</v>
      </c>
      <c r="K818" s="4" t="n">
        <f aca="false">IFERROR(I818*60,"")</f>
        <v>191.97</v>
      </c>
    </row>
    <row r="819" customFormat="false" ht="15" hidden="false" customHeight="false" outlineLevel="0" collapsed="false">
      <c r="A819" s="4" t="s">
        <v>15</v>
      </c>
      <c r="B819" s="4" t="s">
        <v>56</v>
      </c>
      <c r="C819" s="4" t="s">
        <v>84</v>
      </c>
      <c r="D819" s="4" t="s">
        <v>208</v>
      </c>
      <c r="E819" s="4" t="s">
        <v>63</v>
      </c>
      <c r="F819" s="4" t="s">
        <v>63</v>
      </c>
      <c r="G819" s="4" t="s">
        <v>757</v>
      </c>
      <c r="H819" s="4"/>
      <c r="I819" s="4" t="n">
        <v>1.4521</v>
      </c>
      <c r="J819" s="4" t="str">
        <f aca="false">TRIM(E819) &amp; TRIM(C819) &amp; TRIM(D819)</f>
        <v>First ReviewBid Ecom VideoCO</v>
      </c>
      <c r="K819" s="4" t="n">
        <f aca="false">IFERROR(I819*60,"")</f>
        <v>87.126</v>
      </c>
    </row>
    <row r="820" customFormat="false" ht="15" hidden="false" customHeight="false" outlineLevel="0" collapsed="false">
      <c r="A820" s="4" t="s">
        <v>15</v>
      </c>
      <c r="B820" s="4" t="s">
        <v>56</v>
      </c>
      <c r="C820" s="4" t="s">
        <v>75</v>
      </c>
      <c r="D820" s="4" t="s">
        <v>185</v>
      </c>
      <c r="E820" s="4" t="s">
        <v>59</v>
      </c>
      <c r="F820" s="4" t="s">
        <v>59</v>
      </c>
      <c r="G820" s="4" t="s">
        <v>186</v>
      </c>
      <c r="H820" s="4"/>
      <c r="I820" s="4" t="n">
        <v>12.8858</v>
      </c>
      <c r="J820" s="4" t="str">
        <f aca="false">TRIM(E820) &amp; TRIM(C820) &amp; TRIM(D820)</f>
        <v>Re-reviewBid Ecom Ads GroupDK</v>
      </c>
      <c r="K820" s="4" t="n">
        <f aca="false">IFERROR(I820*60,"")</f>
        <v>773.148</v>
      </c>
    </row>
    <row r="821" customFormat="false" ht="15" hidden="false" customHeight="false" outlineLevel="0" collapsed="false">
      <c r="A821" s="4" t="s">
        <v>15</v>
      </c>
      <c r="B821" s="4" t="s">
        <v>56</v>
      </c>
      <c r="C821" s="4" t="s">
        <v>69</v>
      </c>
      <c r="D821" s="4" t="s">
        <v>310</v>
      </c>
      <c r="E821" s="4" t="s">
        <v>63</v>
      </c>
      <c r="F821" s="4" t="s">
        <v>63</v>
      </c>
      <c r="G821" s="4" t="s">
        <v>758</v>
      </c>
      <c r="H821" s="4"/>
      <c r="I821" s="4" t="n">
        <v>0.9085</v>
      </c>
      <c r="J821" s="4" t="str">
        <f aca="false">TRIM(E821) &amp; TRIM(C821) &amp; TRIM(D821)</f>
        <v>First ReviewBid LinkUY</v>
      </c>
      <c r="K821" s="4" t="n">
        <f aca="false">IFERROR(I821*60,"")</f>
        <v>54.51</v>
      </c>
    </row>
    <row r="822" customFormat="false" ht="15" hidden="false" customHeight="false" outlineLevel="0" collapsed="false">
      <c r="A822" s="4" t="s">
        <v>15</v>
      </c>
      <c r="B822" s="4" t="s">
        <v>56</v>
      </c>
      <c r="C822" s="4" t="s">
        <v>81</v>
      </c>
      <c r="D822" s="4" t="s">
        <v>238</v>
      </c>
      <c r="E822" s="4" t="s">
        <v>63</v>
      </c>
      <c r="F822" s="4" t="s">
        <v>63</v>
      </c>
      <c r="G822" s="4" t="s">
        <v>759</v>
      </c>
      <c r="H822" s="4"/>
      <c r="I822" s="4" t="n">
        <v>0.432</v>
      </c>
      <c r="J822" s="4" t="str">
        <f aca="false">TRIM(E822) &amp; TRIM(C822) &amp; TRIM(D822)</f>
        <v>First ReviewBid TextCH</v>
      </c>
      <c r="K822" s="4" t="n">
        <f aca="false">IFERROR(I822*60,"")</f>
        <v>25.92</v>
      </c>
    </row>
    <row r="823" customFormat="false" ht="15" hidden="false" customHeight="false" outlineLevel="0" collapsed="false">
      <c r="A823" s="4" t="s">
        <v>15</v>
      </c>
      <c r="B823" s="4" t="s">
        <v>56</v>
      </c>
      <c r="C823" s="4" t="s">
        <v>72</v>
      </c>
      <c r="D823" s="4" t="s">
        <v>213</v>
      </c>
      <c r="E823" s="4" t="s">
        <v>63</v>
      </c>
      <c r="F823" s="4" t="s">
        <v>63</v>
      </c>
      <c r="G823" s="4" t="s">
        <v>760</v>
      </c>
      <c r="H823" s="4"/>
      <c r="I823" s="4" t="n">
        <v>0.2681</v>
      </c>
      <c r="J823" s="4" t="str">
        <f aca="false">TRIM(E823) &amp; TRIM(C823) &amp; TRIM(D823)</f>
        <v>First ReviewBid ImageFR</v>
      </c>
      <c r="K823" s="4" t="n">
        <f aca="false">IFERROR(I823*60,"")</f>
        <v>16.086</v>
      </c>
    </row>
    <row r="824" customFormat="false" ht="15" hidden="false" customHeight="false" outlineLevel="0" collapsed="false">
      <c r="A824" s="4" t="s">
        <v>15</v>
      </c>
      <c r="B824" s="4" t="s">
        <v>56</v>
      </c>
      <c r="C824" s="4" t="s">
        <v>81</v>
      </c>
      <c r="D824" s="4" t="s">
        <v>73</v>
      </c>
      <c r="E824" s="4" t="s">
        <v>63</v>
      </c>
      <c r="F824" s="4" t="s">
        <v>63</v>
      </c>
      <c r="G824" s="4" t="s">
        <v>761</v>
      </c>
      <c r="H824" s="4"/>
      <c r="I824" s="4" t="n">
        <v>0.4048</v>
      </c>
      <c r="J824" s="4" t="str">
        <f aca="false">TRIM(E824) &amp; TRIM(C824) &amp; TRIM(D824)</f>
        <v>First ReviewBid TextIQ</v>
      </c>
      <c r="K824" s="4" t="n">
        <f aca="false">IFERROR(I824*60,"")</f>
        <v>24.288</v>
      </c>
    </row>
    <row r="825" customFormat="false" ht="15" hidden="false" customHeight="false" outlineLevel="0" collapsed="false">
      <c r="A825" s="4" t="s">
        <v>15</v>
      </c>
      <c r="B825" s="4" t="s">
        <v>56</v>
      </c>
      <c r="C825" s="4" t="s">
        <v>57</v>
      </c>
      <c r="D825" s="4" t="s">
        <v>141</v>
      </c>
      <c r="E825" s="4" t="s">
        <v>63</v>
      </c>
      <c r="F825" s="4" t="s">
        <v>63</v>
      </c>
      <c r="G825" s="4" t="s">
        <v>517</v>
      </c>
      <c r="H825" s="4"/>
      <c r="I825" s="4" t="n">
        <v>2.7861</v>
      </c>
      <c r="J825" s="4" t="str">
        <f aca="false">TRIM(E825) &amp; TRIM(C825) &amp; TRIM(D825)</f>
        <v>First ReviewBid Ad GroupAZ</v>
      </c>
      <c r="K825" s="4" t="n">
        <f aca="false">IFERROR(I825*60,"")</f>
        <v>167.166</v>
      </c>
    </row>
    <row r="826" customFormat="false" ht="15" hidden="false" customHeight="false" outlineLevel="0" collapsed="false">
      <c r="A826" s="4" t="s">
        <v>15</v>
      </c>
      <c r="B826" s="4" t="s">
        <v>56</v>
      </c>
      <c r="C826" s="4" t="s">
        <v>57</v>
      </c>
      <c r="D826" s="4" t="s">
        <v>415</v>
      </c>
      <c r="E826" s="4" t="s">
        <v>59</v>
      </c>
      <c r="F826" s="4" t="s">
        <v>59</v>
      </c>
      <c r="G826" s="4" t="s">
        <v>454</v>
      </c>
      <c r="H826" s="4"/>
      <c r="I826" s="4" t="n">
        <v>2.4963</v>
      </c>
      <c r="J826" s="4" t="str">
        <f aca="false">TRIM(E826) &amp; TRIM(C826) &amp; TRIM(D826)</f>
        <v>Re-reviewBid Ad GroupNG</v>
      </c>
      <c r="K826" s="4" t="n">
        <f aca="false">IFERROR(I826*60,"")</f>
        <v>149.778</v>
      </c>
    </row>
    <row r="827" customFormat="false" ht="15" hidden="false" customHeight="false" outlineLevel="0" collapsed="false">
      <c r="A827" s="4" t="s">
        <v>15</v>
      </c>
      <c r="B827" s="4" t="s">
        <v>56</v>
      </c>
      <c r="C827" s="4" t="s">
        <v>57</v>
      </c>
      <c r="D827" s="4" t="s">
        <v>113</v>
      </c>
      <c r="E827" s="4" t="s">
        <v>66</v>
      </c>
      <c r="F827" s="4" t="s">
        <v>67</v>
      </c>
      <c r="G827" s="4" t="s">
        <v>364</v>
      </c>
      <c r="H827" s="4"/>
      <c r="I827" s="4" t="n">
        <v>1.4817</v>
      </c>
      <c r="J827" s="4" t="str">
        <f aca="false">TRIM(E827) &amp; TRIM(C827) &amp; TRIM(D827)</f>
        <v>Posted RecallBid Ad GroupNL</v>
      </c>
      <c r="K827" s="4" t="n">
        <f aca="false">IFERROR(I827*60,"")</f>
        <v>88.902</v>
      </c>
    </row>
    <row r="828" customFormat="false" ht="15" hidden="false" customHeight="false" outlineLevel="0" collapsed="false">
      <c r="A828" s="4" t="s">
        <v>15</v>
      </c>
      <c r="B828" s="4" t="s">
        <v>56</v>
      </c>
      <c r="C828" s="4" t="s">
        <v>119</v>
      </c>
      <c r="D828" s="4" t="s">
        <v>310</v>
      </c>
      <c r="E828" s="4" t="s">
        <v>63</v>
      </c>
      <c r="F828" s="4" t="s">
        <v>63</v>
      </c>
      <c r="G828" s="4" t="s">
        <v>762</v>
      </c>
      <c r="H828" s="4"/>
      <c r="I828" s="4" t="n">
        <v>8.737</v>
      </c>
      <c r="J828" s="4" t="str">
        <f aca="false">TRIM(E828) &amp; TRIM(C828) &amp; TRIM(D828)</f>
        <v>First ReviewBid Pre ApprovalUY</v>
      </c>
      <c r="K828" s="4" t="n">
        <f aca="false">IFERROR(I828*60,"")</f>
        <v>524.22</v>
      </c>
    </row>
    <row r="829" customFormat="false" ht="15" hidden="false" customHeight="false" outlineLevel="0" collapsed="false">
      <c r="A829" s="4" t="s">
        <v>15</v>
      </c>
      <c r="B829" s="4" t="s">
        <v>56</v>
      </c>
      <c r="C829" s="4" t="s">
        <v>75</v>
      </c>
      <c r="D829" s="4" t="s">
        <v>458</v>
      </c>
      <c r="E829" s="4" t="s">
        <v>63</v>
      </c>
      <c r="F829" s="4" t="s">
        <v>63</v>
      </c>
      <c r="G829" s="4" t="s">
        <v>688</v>
      </c>
      <c r="H829" s="4"/>
      <c r="I829" s="4" t="n">
        <v>4.2762</v>
      </c>
      <c r="J829" s="4" t="str">
        <f aca="false">TRIM(E829) &amp; TRIM(C829) &amp; TRIM(D829)</f>
        <v>First ReviewBid Ecom Ads GroupTW</v>
      </c>
      <c r="K829" s="4" t="n">
        <f aca="false">IFERROR(I829*60,"")</f>
        <v>256.572</v>
      </c>
    </row>
    <row r="830" customFormat="false" ht="15" hidden="false" customHeight="false" outlineLevel="0" collapsed="false">
      <c r="A830" s="4" t="s">
        <v>15</v>
      </c>
      <c r="B830" s="4" t="s">
        <v>56</v>
      </c>
      <c r="C830" s="4" t="s">
        <v>84</v>
      </c>
      <c r="D830" s="4" t="s">
        <v>289</v>
      </c>
      <c r="E830" s="4" t="s">
        <v>63</v>
      </c>
      <c r="F830" s="4" t="s">
        <v>63</v>
      </c>
      <c r="G830" s="4" t="s">
        <v>763</v>
      </c>
      <c r="H830" s="4"/>
      <c r="I830" s="4" t="n">
        <v>1.8561</v>
      </c>
      <c r="J830" s="4" t="str">
        <f aca="false">TRIM(E830) &amp; TRIM(C830) &amp; TRIM(D830)</f>
        <v>First ReviewBid Ecom VideoLK</v>
      </c>
      <c r="K830" s="4" t="n">
        <f aca="false">IFERROR(I830*60,"")</f>
        <v>111.366</v>
      </c>
    </row>
    <row r="831" customFormat="false" ht="15" hidden="false" customHeight="false" outlineLevel="0" collapsed="false">
      <c r="A831" s="4" t="s">
        <v>15</v>
      </c>
      <c r="B831" s="4" t="s">
        <v>56</v>
      </c>
      <c r="C831" s="4" t="s">
        <v>75</v>
      </c>
      <c r="D831" s="4" t="s">
        <v>136</v>
      </c>
      <c r="E831" s="4" t="s">
        <v>63</v>
      </c>
      <c r="F831" s="4" t="s">
        <v>63</v>
      </c>
      <c r="G831" s="4" t="s">
        <v>685</v>
      </c>
      <c r="H831" s="4"/>
      <c r="I831" s="4" t="n">
        <v>3.2549</v>
      </c>
      <c r="J831" s="4" t="str">
        <f aca="false">TRIM(E831) &amp; TRIM(C831) &amp; TRIM(D831)</f>
        <v>First ReviewBid Ecom Ads GroupPE</v>
      </c>
      <c r="K831" s="4" t="n">
        <f aca="false">IFERROR(I831*60,"")</f>
        <v>195.294</v>
      </c>
    </row>
    <row r="832" customFormat="false" ht="15" hidden="false" customHeight="false" outlineLevel="0" collapsed="false">
      <c r="A832" s="4" t="s">
        <v>15</v>
      </c>
      <c r="B832" s="4" t="s">
        <v>56</v>
      </c>
      <c r="C832" s="4" t="s">
        <v>78</v>
      </c>
      <c r="D832" s="4" t="s">
        <v>299</v>
      </c>
      <c r="E832" s="4" t="s">
        <v>63</v>
      </c>
      <c r="F832" s="4" t="s">
        <v>63</v>
      </c>
      <c r="G832" s="4" t="s">
        <v>764</v>
      </c>
      <c r="H832" s="4"/>
      <c r="I832" s="4" t="n">
        <v>1.0457</v>
      </c>
      <c r="J832" s="4" t="str">
        <f aca="false">TRIM(E832) &amp; TRIM(C832) &amp; TRIM(D832)</f>
        <v>First ReviewBid VideoQA</v>
      </c>
      <c r="K832" s="4" t="n">
        <f aca="false">IFERROR(I832*60,"")</f>
        <v>62.742</v>
      </c>
    </row>
    <row r="833" customFormat="false" ht="15" hidden="false" customHeight="false" outlineLevel="0" collapsed="false">
      <c r="A833" s="4" t="s">
        <v>15</v>
      </c>
      <c r="B833" s="4" t="s">
        <v>56</v>
      </c>
      <c r="C833" s="4" t="s">
        <v>75</v>
      </c>
      <c r="D833" s="4" t="s">
        <v>192</v>
      </c>
      <c r="E833" s="4" t="s">
        <v>66</v>
      </c>
      <c r="F833" s="4" t="s">
        <v>67</v>
      </c>
      <c r="G833" s="4" t="s">
        <v>359</v>
      </c>
      <c r="H833" s="4"/>
      <c r="I833" s="4" t="n">
        <v>1.6182</v>
      </c>
      <c r="J833" s="4" t="str">
        <f aca="false">TRIM(E833) &amp; TRIM(C833) &amp; TRIM(D833)</f>
        <v>Posted RecallBid Ecom Ads GroupGT</v>
      </c>
      <c r="K833" s="4" t="n">
        <f aca="false">IFERROR(I833*60,"")</f>
        <v>97.092</v>
      </c>
    </row>
    <row r="834" customFormat="false" ht="15" hidden="false" customHeight="false" outlineLevel="0" collapsed="false">
      <c r="A834" s="4" t="s">
        <v>15</v>
      </c>
      <c r="B834" s="4" t="s">
        <v>56</v>
      </c>
      <c r="C834" s="4" t="s">
        <v>119</v>
      </c>
      <c r="D834" s="4" t="s">
        <v>58</v>
      </c>
      <c r="E834" s="4" t="s">
        <v>63</v>
      </c>
      <c r="F834" s="4" t="s">
        <v>63</v>
      </c>
      <c r="G834" s="4" t="s">
        <v>765</v>
      </c>
      <c r="H834" s="4"/>
      <c r="I834" s="4" t="n">
        <v>1.7694</v>
      </c>
      <c r="J834" s="4" t="str">
        <f aca="false">TRIM(E834) &amp; TRIM(C834) &amp; TRIM(D834)</f>
        <v>First ReviewBid Pre ApprovalSG</v>
      </c>
      <c r="K834" s="4" t="n">
        <f aca="false">IFERROR(I834*60,"")</f>
        <v>106.164</v>
      </c>
    </row>
    <row r="835" customFormat="false" ht="15" hidden="false" customHeight="false" outlineLevel="0" collapsed="false">
      <c r="A835" s="4" t="s">
        <v>15</v>
      </c>
      <c r="B835" s="4" t="s">
        <v>56</v>
      </c>
      <c r="C835" s="4" t="s">
        <v>78</v>
      </c>
      <c r="D835" s="4" t="s">
        <v>171</v>
      </c>
      <c r="E835" s="4" t="s">
        <v>63</v>
      </c>
      <c r="F835" s="4" t="s">
        <v>63</v>
      </c>
      <c r="G835" s="4" t="s">
        <v>766</v>
      </c>
      <c r="H835" s="4"/>
      <c r="I835" s="4" t="n">
        <v>1.7689</v>
      </c>
      <c r="J835" s="4" t="str">
        <f aca="false">TRIM(E835) &amp; TRIM(C835) &amp; TRIM(D835)</f>
        <v>First ReviewBid VideoKE</v>
      </c>
      <c r="K835" s="4" t="n">
        <f aca="false">IFERROR(I835*60,"")</f>
        <v>106.134</v>
      </c>
    </row>
    <row r="836" customFormat="false" ht="15" hidden="false" customHeight="false" outlineLevel="0" collapsed="false">
      <c r="A836" s="4" t="s">
        <v>15</v>
      </c>
      <c r="B836" s="4" t="s">
        <v>56</v>
      </c>
      <c r="C836" s="4" t="s">
        <v>57</v>
      </c>
      <c r="D836" s="4" t="s">
        <v>139</v>
      </c>
      <c r="E836" s="4" t="s">
        <v>59</v>
      </c>
      <c r="F836" s="4" t="s">
        <v>59</v>
      </c>
      <c r="G836" s="4" t="s">
        <v>140</v>
      </c>
      <c r="H836" s="4"/>
      <c r="I836" s="4" t="n">
        <v>7.4121</v>
      </c>
      <c r="J836" s="4" t="str">
        <f aca="false">TRIM(E836) &amp; TRIM(C836) &amp; TRIM(D836)</f>
        <v>Re-reviewBid Ad GroupEG</v>
      </c>
      <c r="K836" s="4" t="n">
        <f aca="false">IFERROR(I836*60,"")</f>
        <v>444.726</v>
      </c>
    </row>
    <row r="837" customFormat="false" ht="15" hidden="false" customHeight="false" outlineLevel="0" collapsed="false">
      <c r="A837" s="4" t="s">
        <v>15</v>
      </c>
      <c r="B837" s="4" t="s">
        <v>56</v>
      </c>
      <c r="C837" s="4" t="s">
        <v>57</v>
      </c>
      <c r="D837" s="4" t="s">
        <v>216</v>
      </c>
      <c r="E837" s="4" t="s">
        <v>59</v>
      </c>
      <c r="F837" s="4" t="s">
        <v>59</v>
      </c>
      <c r="G837" s="4" t="s">
        <v>767</v>
      </c>
      <c r="H837" s="4"/>
      <c r="I837" s="4" t="n">
        <v>3.6076</v>
      </c>
      <c r="J837" s="4" t="str">
        <f aca="false">TRIM(E837) &amp; TRIM(C837) &amp; TRIM(D837)</f>
        <v>Re-reviewBid Ad GroupPY</v>
      </c>
      <c r="K837" s="4" t="n">
        <f aca="false">IFERROR(I837*60,"")</f>
        <v>216.456</v>
      </c>
    </row>
    <row r="838" customFormat="false" ht="15" hidden="false" customHeight="false" outlineLevel="0" collapsed="false">
      <c r="A838" s="4" t="s">
        <v>15</v>
      </c>
      <c r="B838" s="4" t="s">
        <v>56</v>
      </c>
      <c r="C838" s="4" t="s">
        <v>75</v>
      </c>
      <c r="D838" s="4" t="s">
        <v>95</v>
      </c>
      <c r="E838" s="4" t="s">
        <v>66</v>
      </c>
      <c r="F838" s="4" t="s">
        <v>67</v>
      </c>
      <c r="G838" s="4" t="s">
        <v>96</v>
      </c>
      <c r="H838" s="4"/>
      <c r="I838" s="4" t="n">
        <v>2.2685</v>
      </c>
      <c r="J838" s="4" t="str">
        <f aca="false">TRIM(E838) &amp; TRIM(C838) &amp; TRIM(D838)</f>
        <v>Posted RecallBid Ecom Ads GroupVN</v>
      </c>
      <c r="K838" s="4" t="n">
        <f aca="false">IFERROR(I838*60,"")</f>
        <v>136.11</v>
      </c>
    </row>
    <row r="839" customFormat="false" ht="15" hidden="false" customHeight="false" outlineLevel="0" collapsed="false">
      <c r="A839" s="4" t="s">
        <v>15</v>
      </c>
      <c r="B839" s="4" t="s">
        <v>56</v>
      </c>
      <c r="C839" s="4" t="s">
        <v>72</v>
      </c>
      <c r="D839" s="4" t="s">
        <v>231</v>
      </c>
      <c r="E839" s="4" t="s">
        <v>63</v>
      </c>
      <c r="F839" s="4" t="s">
        <v>63</v>
      </c>
      <c r="G839" s="4" t="s">
        <v>768</v>
      </c>
      <c r="H839" s="4"/>
      <c r="I839" s="4" t="n">
        <v>0.4549</v>
      </c>
      <c r="J839" s="4" t="str">
        <f aca="false">TRIM(E839) &amp; TRIM(C839) &amp; TRIM(D839)</f>
        <v>First ReviewBid ImageIL</v>
      </c>
      <c r="K839" s="4" t="n">
        <f aca="false">IFERROR(I839*60,"")</f>
        <v>27.294</v>
      </c>
    </row>
    <row r="840" customFormat="false" ht="15" hidden="false" customHeight="false" outlineLevel="0" collapsed="false">
      <c r="A840" s="4" t="s">
        <v>15</v>
      </c>
      <c r="B840" s="4" t="s">
        <v>56</v>
      </c>
      <c r="C840" s="4" t="s">
        <v>75</v>
      </c>
      <c r="D840" s="4" t="s">
        <v>275</v>
      </c>
      <c r="E840" s="4" t="s">
        <v>59</v>
      </c>
      <c r="F840" s="4" t="s">
        <v>59</v>
      </c>
      <c r="G840" s="4" t="s">
        <v>276</v>
      </c>
      <c r="H840" s="4"/>
      <c r="I840" s="4" t="n">
        <v>9.8382</v>
      </c>
      <c r="J840" s="4" t="str">
        <f aca="false">TRIM(E840) &amp; TRIM(C840) &amp; TRIM(D840)</f>
        <v>Re-reviewBid Ecom Ads GroupGB</v>
      </c>
      <c r="K840" s="4" t="n">
        <f aca="false">IFERROR(I840*60,"")</f>
        <v>590.292</v>
      </c>
    </row>
    <row r="841" customFormat="false" ht="15" hidden="false" customHeight="false" outlineLevel="0" collapsed="false">
      <c r="A841" s="4" t="s">
        <v>15</v>
      </c>
      <c r="B841" s="4" t="s">
        <v>56</v>
      </c>
      <c r="C841" s="4" t="s">
        <v>78</v>
      </c>
      <c r="D841" s="4" t="s">
        <v>65</v>
      </c>
      <c r="E841" s="4" t="s">
        <v>63</v>
      </c>
      <c r="F841" s="4" t="s">
        <v>63</v>
      </c>
      <c r="G841" s="4" t="s">
        <v>769</v>
      </c>
      <c r="H841" s="4"/>
      <c r="I841" s="4" t="n">
        <v>0.6939</v>
      </c>
      <c r="J841" s="4" t="str">
        <f aca="false">TRIM(E841) &amp; TRIM(C841) &amp; TRIM(D841)</f>
        <v>First ReviewBid VideoEE</v>
      </c>
      <c r="K841" s="4" t="n">
        <f aca="false">IFERROR(I841*60,"")</f>
        <v>41.634</v>
      </c>
    </row>
    <row r="842" customFormat="false" ht="15" hidden="false" customHeight="false" outlineLevel="0" collapsed="false">
      <c r="A842" s="4" t="s">
        <v>15</v>
      </c>
      <c r="B842" s="4" t="s">
        <v>56</v>
      </c>
      <c r="C842" s="4" t="s">
        <v>57</v>
      </c>
      <c r="D842" s="4" t="s">
        <v>195</v>
      </c>
      <c r="E842" s="4" t="s">
        <v>63</v>
      </c>
      <c r="F842" s="4" t="s">
        <v>63</v>
      </c>
      <c r="G842" s="4" t="s">
        <v>603</v>
      </c>
      <c r="H842" s="4"/>
      <c r="I842" s="4" t="n">
        <v>2.7614</v>
      </c>
      <c r="J842" s="4" t="str">
        <f aca="false">TRIM(E842) &amp; TRIM(C842) &amp; TRIM(D842)</f>
        <v>First ReviewBid Ad GroupIT</v>
      </c>
      <c r="K842" s="4" t="n">
        <f aca="false">IFERROR(I842*60,"")</f>
        <v>165.684</v>
      </c>
    </row>
    <row r="843" customFormat="false" ht="15" hidden="false" customHeight="false" outlineLevel="0" collapsed="false">
      <c r="A843" s="4" t="s">
        <v>15</v>
      </c>
      <c r="B843" s="4" t="s">
        <v>56</v>
      </c>
      <c r="C843" s="4" t="s">
        <v>69</v>
      </c>
      <c r="D843" s="4" t="s">
        <v>113</v>
      </c>
      <c r="E843" s="4" t="s">
        <v>63</v>
      </c>
      <c r="F843" s="4" t="s">
        <v>63</v>
      </c>
      <c r="G843" s="4" t="s">
        <v>770</v>
      </c>
      <c r="H843" s="4"/>
      <c r="I843" s="4" t="n">
        <v>1.0197</v>
      </c>
      <c r="J843" s="4" t="str">
        <f aca="false">TRIM(E843) &amp; TRIM(C843) &amp; TRIM(D843)</f>
        <v>First ReviewBid LinkNL</v>
      </c>
      <c r="K843" s="4" t="n">
        <f aca="false">IFERROR(I843*60,"")</f>
        <v>61.182</v>
      </c>
    </row>
    <row r="844" customFormat="false" ht="15" hidden="false" customHeight="false" outlineLevel="0" collapsed="false">
      <c r="A844" s="4" t="s">
        <v>15</v>
      </c>
      <c r="B844" s="4" t="s">
        <v>56</v>
      </c>
      <c r="C844" s="4" t="s">
        <v>75</v>
      </c>
      <c r="D844" s="4" t="s">
        <v>117</v>
      </c>
      <c r="E844" s="4" t="s">
        <v>59</v>
      </c>
      <c r="F844" s="4" t="s">
        <v>59</v>
      </c>
      <c r="G844" s="4" t="s">
        <v>118</v>
      </c>
      <c r="H844" s="4"/>
      <c r="I844" s="4" t="n">
        <v>4.0321</v>
      </c>
      <c r="J844" s="4" t="str">
        <f aca="false">TRIM(E844) &amp; TRIM(C844) &amp; TRIM(D844)</f>
        <v>Re-reviewBid Ecom Ads GroupAR</v>
      </c>
      <c r="K844" s="4" t="n">
        <f aca="false">IFERROR(I844*60,"")</f>
        <v>241.926</v>
      </c>
    </row>
    <row r="845" customFormat="false" ht="15" hidden="false" customHeight="false" outlineLevel="0" collapsed="false">
      <c r="A845" s="4" t="s">
        <v>15</v>
      </c>
      <c r="B845" s="4" t="s">
        <v>56</v>
      </c>
      <c r="C845" s="4" t="s">
        <v>75</v>
      </c>
      <c r="D845" s="4" t="s">
        <v>190</v>
      </c>
      <c r="E845" s="4" t="s">
        <v>66</v>
      </c>
      <c r="F845" s="4" t="s">
        <v>67</v>
      </c>
      <c r="G845" s="4" t="s">
        <v>297</v>
      </c>
      <c r="H845" s="4"/>
      <c r="I845" s="4" t="n">
        <v>1.2937</v>
      </c>
      <c r="J845" s="4" t="str">
        <f aca="false">TRIM(E845) &amp; TRIM(C845) &amp; TRIM(D845)</f>
        <v>Posted RecallBid Ecom Ads GroupPH</v>
      </c>
      <c r="K845" s="4" t="n">
        <f aca="false">IFERROR(I845*60,"")</f>
        <v>77.622</v>
      </c>
    </row>
    <row r="846" customFormat="false" ht="15" hidden="false" customHeight="false" outlineLevel="0" collapsed="false">
      <c r="A846" s="4" t="s">
        <v>15</v>
      </c>
      <c r="B846" s="4" t="s">
        <v>56</v>
      </c>
      <c r="C846" s="4" t="s">
        <v>69</v>
      </c>
      <c r="D846" s="4" t="s">
        <v>134</v>
      </c>
      <c r="E846" s="4" t="s">
        <v>63</v>
      </c>
      <c r="F846" s="4" t="s">
        <v>63</v>
      </c>
      <c r="G846" s="4" t="s">
        <v>771</v>
      </c>
      <c r="H846" s="4"/>
      <c r="I846" s="4" t="n">
        <v>1.2935</v>
      </c>
      <c r="J846" s="4" t="str">
        <f aca="false">TRIM(E846) &amp; TRIM(C846) &amp; TRIM(D846)</f>
        <v>First ReviewBid LinkPR</v>
      </c>
      <c r="K846" s="4" t="n">
        <f aca="false">IFERROR(I846*60,"")</f>
        <v>77.61</v>
      </c>
    </row>
    <row r="847" customFormat="false" ht="15" hidden="false" customHeight="false" outlineLevel="0" collapsed="false">
      <c r="A847" s="4" t="s">
        <v>15</v>
      </c>
      <c r="B847" s="4" t="s">
        <v>56</v>
      </c>
      <c r="C847" s="4" t="s">
        <v>57</v>
      </c>
      <c r="D847" s="4" t="s">
        <v>357</v>
      </c>
      <c r="E847" s="4" t="s">
        <v>59</v>
      </c>
      <c r="F847" s="4" t="s">
        <v>59</v>
      </c>
      <c r="G847" s="4" t="s">
        <v>483</v>
      </c>
      <c r="H847" s="4"/>
      <c r="I847" s="4" t="n">
        <v>4.9899</v>
      </c>
      <c r="J847" s="4" t="str">
        <f aca="false">TRIM(E847) &amp; TRIM(C847) &amp; TRIM(D847)</f>
        <v>Re-reviewBid Ad GroupHU</v>
      </c>
      <c r="K847" s="4" t="n">
        <f aca="false">IFERROR(I847*60,"")</f>
        <v>299.394</v>
      </c>
    </row>
    <row r="848" customFormat="false" ht="15" hidden="false" customHeight="false" outlineLevel="0" collapsed="false">
      <c r="A848" s="4" t="s">
        <v>15</v>
      </c>
      <c r="B848" s="4" t="s">
        <v>56</v>
      </c>
      <c r="C848" s="4" t="s">
        <v>61</v>
      </c>
      <c r="D848" s="4" t="s">
        <v>136</v>
      </c>
      <c r="E848" s="4" t="s">
        <v>63</v>
      </c>
      <c r="F848" s="4" t="s">
        <v>63</v>
      </c>
      <c r="G848" s="4" t="s">
        <v>772</v>
      </c>
      <c r="H848" s="4"/>
      <c r="I848" s="4" t="n">
        <v>1.6923</v>
      </c>
      <c r="J848" s="4" t="str">
        <f aca="false">TRIM(E848) &amp; TRIM(C848) &amp; TRIM(D848)</f>
        <v>First ReviewBid Ecom URLPE</v>
      </c>
      <c r="K848" s="4" t="n">
        <f aca="false">IFERROR(I848*60,"")</f>
        <v>101.538</v>
      </c>
    </row>
    <row r="849" customFormat="false" ht="15" hidden="false" customHeight="false" outlineLevel="0" collapsed="false">
      <c r="A849" s="4" t="s">
        <v>15</v>
      </c>
      <c r="B849" s="4" t="s">
        <v>56</v>
      </c>
      <c r="C849" s="4" t="s">
        <v>93</v>
      </c>
      <c r="D849" s="4" t="s">
        <v>185</v>
      </c>
      <c r="E849" s="4" t="s">
        <v>63</v>
      </c>
      <c r="F849" s="4" t="s">
        <v>63</v>
      </c>
      <c r="G849" s="4" t="s">
        <v>773</v>
      </c>
      <c r="H849" s="4"/>
      <c r="I849" s="4" t="n">
        <v>1.471</v>
      </c>
      <c r="J849" s="4" t="str">
        <f aca="false">TRIM(E849) &amp; TRIM(C849) &amp; TRIM(D849)</f>
        <v>First ReviewBid AudioDK</v>
      </c>
      <c r="K849" s="4" t="n">
        <f aca="false">IFERROR(I849*60,"")</f>
        <v>88.26</v>
      </c>
    </row>
    <row r="850" customFormat="false" ht="15" hidden="false" customHeight="false" outlineLevel="0" collapsed="false">
      <c r="A850" s="4" t="s">
        <v>15</v>
      </c>
      <c r="B850" s="4" t="s">
        <v>56</v>
      </c>
      <c r="C850" s="4" t="s">
        <v>93</v>
      </c>
      <c r="D850" s="4" t="s">
        <v>126</v>
      </c>
      <c r="E850" s="4" t="s">
        <v>63</v>
      </c>
      <c r="F850" s="4" t="s">
        <v>63</v>
      </c>
      <c r="G850" s="4" t="s">
        <v>774</v>
      </c>
      <c r="H850" s="4"/>
      <c r="I850" s="4" t="n">
        <v>0.6992</v>
      </c>
      <c r="J850" s="4" t="str">
        <f aca="false">TRIM(E850) &amp; TRIM(C850) &amp; TRIM(D850)</f>
        <v>First ReviewBid AudioMX</v>
      </c>
      <c r="K850" s="4" t="n">
        <f aca="false">IFERROR(I850*60,"")</f>
        <v>41.952</v>
      </c>
    </row>
    <row r="851" customFormat="false" ht="15" hidden="false" customHeight="false" outlineLevel="0" collapsed="false">
      <c r="A851" s="4" t="s">
        <v>15</v>
      </c>
      <c r="B851" s="4" t="s">
        <v>56</v>
      </c>
      <c r="C851" s="4" t="s">
        <v>78</v>
      </c>
      <c r="D851" s="4" t="s">
        <v>95</v>
      </c>
      <c r="E851" s="4" t="s">
        <v>63</v>
      </c>
      <c r="F851" s="4" t="s">
        <v>63</v>
      </c>
      <c r="G851" s="4" t="s">
        <v>775</v>
      </c>
      <c r="H851" s="4"/>
      <c r="I851" s="4" t="n">
        <v>1.4737</v>
      </c>
      <c r="J851" s="4" t="str">
        <f aca="false">TRIM(E851) &amp; TRIM(C851) &amp; TRIM(D851)</f>
        <v>First ReviewBid VideoVN</v>
      </c>
      <c r="K851" s="4" t="n">
        <f aca="false">IFERROR(I851*60,"")</f>
        <v>88.422</v>
      </c>
    </row>
    <row r="852" customFormat="false" ht="15" hidden="false" customHeight="false" outlineLevel="0" collapsed="false">
      <c r="A852" s="4" t="s">
        <v>15</v>
      </c>
      <c r="B852" s="4" t="s">
        <v>56</v>
      </c>
      <c r="C852" s="4" t="s">
        <v>81</v>
      </c>
      <c r="D852" s="4" t="s">
        <v>206</v>
      </c>
      <c r="E852" s="4" t="s">
        <v>63</v>
      </c>
      <c r="F852" s="4" t="s">
        <v>63</v>
      </c>
      <c r="G852" s="4" t="s">
        <v>776</v>
      </c>
      <c r="H852" s="4"/>
      <c r="I852" s="4" t="n">
        <v>0.1164</v>
      </c>
      <c r="J852" s="4" t="str">
        <f aca="false">TRIM(E852) &amp; TRIM(C852) &amp; TRIM(D852)</f>
        <v>First ReviewBid TextDZ</v>
      </c>
      <c r="K852" s="4" t="n">
        <f aca="false">IFERROR(I852*60,"")</f>
        <v>6.984</v>
      </c>
    </row>
    <row r="853" customFormat="false" ht="15" hidden="false" customHeight="false" outlineLevel="0" collapsed="false">
      <c r="A853" s="4" t="s">
        <v>15</v>
      </c>
      <c r="B853" s="4" t="s">
        <v>56</v>
      </c>
      <c r="C853" s="4" t="s">
        <v>81</v>
      </c>
      <c r="D853" s="4" t="s">
        <v>115</v>
      </c>
      <c r="E853" s="4" t="s">
        <v>63</v>
      </c>
      <c r="F853" s="4" t="s">
        <v>63</v>
      </c>
      <c r="G853" s="4" t="s">
        <v>777</v>
      </c>
      <c r="H853" s="4"/>
      <c r="I853" s="4" t="n">
        <v>0.5251</v>
      </c>
      <c r="J853" s="4" t="str">
        <f aca="false">TRIM(E853) &amp; TRIM(C853) &amp; TRIM(D853)</f>
        <v>First ReviewBid TextAT</v>
      </c>
      <c r="K853" s="4" t="n">
        <f aca="false">IFERROR(I853*60,"")</f>
        <v>31.506</v>
      </c>
    </row>
    <row r="854" customFormat="false" ht="15" hidden="false" customHeight="false" outlineLevel="0" collapsed="false">
      <c r="A854" s="4" t="s">
        <v>15</v>
      </c>
      <c r="B854" s="4" t="s">
        <v>56</v>
      </c>
      <c r="C854" s="4" t="s">
        <v>57</v>
      </c>
      <c r="D854" s="4" t="s">
        <v>150</v>
      </c>
      <c r="E854" s="4" t="s">
        <v>66</v>
      </c>
      <c r="F854" s="4" t="s">
        <v>67</v>
      </c>
      <c r="G854" s="4" t="s">
        <v>451</v>
      </c>
      <c r="H854" s="4"/>
      <c r="I854" s="4" t="n">
        <v>2.0558</v>
      </c>
      <c r="J854" s="4" t="str">
        <f aca="false">TRIM(E854) &amp; TRIM(C854) &amp; TRIM(D854)</f>
        <v>Posted RecallBid Ad GroupDE</v>
      </c>
      <c r="K854" s="4" t="n">
        <f aca="false">IFERROR(I854*60,"")</f>
        <v>123.348</v>
      </c>
    </row>
    <row r="855" customFormat="false" ht="15" hidden="false" customHeight="false" outlineLevel="0" collapsed="false">
      <c r="A855" s="4" t="s">
        <v>15</v>
      </c>
      <c r="B855" s="4" t="s">
        <v>56</v>
      </c>
      <c r="C855" s="4" t="s">
        <v>57</v>
      </c>
      <c r="D855" s="4" t="s">
        <v>213</v>
      </c>
      <c r="E855" s="4" t="s">
        <v>59</v>
      </c>
      <c r="F855" s="4" t="s">
        <v>59</v>
      </c>
      <c r="G855" s="4" t="s">
        <v>498</v>
      </c>
      <c r="H855" s="4"/>
      <c r="I855" s="4" t="n">
        <v>5.4316</v>
      </c>
      <c r="J855" s="4" t="str">
        <f aca="false">TRIM(E855) &amp; TRIM(C855) &amp; TRIM(D855)</f>
        <v>Re-reviewBid Ad GroupFR</v>
      </c>
      <c r="K855" s="4" t="n">
        <f aca="false">IFERROR(I855*60,"")</f>
        <v>325.896</v>
      </c>
    </row>
    <row r="856" customFormat="false" ht="15" hidden="false" customHeight="false" outlineLevel="0" collapsed="false">
      <c r="A856" s="4" t="s">
        <v>15</v>
      </c>
      <c r="B856" s="4" t="s">
        <v>56</v>
      </c>
      <c r="C856" s="4" t="s">
        <v>57</v>
      </c>
      <c r="D856" s="4" t="s">
        <v>76</v>
      </c>
      <c r="E856" s="4" t="s">
        <v>66</v>
      </c>
      <c r="F856" s="4" t="s">
        <v>67</v>
      </c>
      <c r="G856" s="4" t="s">
        <v>614</v>
      </c>
      <c r="H856" s="4"/>
      <c r="I856" s="4" t="n">
        <v>2.8078</v>
      </c>
      <c r="J856" s="4" t="str">
        <f aca="false">TRIM(E856) &amp; TRIM(C856) &amp; TRIM(D856)</f>
        <v>Posted RecallBid Ad GroupLT</v>
      </c>
      <c r="K856" s="4" t="n">
        <f aca="false">IFERROR(I856*60,"")</f>
        <v>168.468</v>
      </c>
    </row>
    <row r="857" customFormat="false" ht="15" hidden="false" customHeight="false" outlineLevel="0" collapsed="false">
      <c r="A857" s="4" t="s">
        <v>15</v>
      </c>
      <c r="B857" s="4" t="s">
        <v>56</v>
      </c>
      <c r="C857" s="4" t="s">
        <v>75</v>
      </c>
      <c r="D857" s="4" t="s">
        <v>87</v>
      </c>
      <c r="E857" s="4" t="s">
        <v>66</v>
      </c>
      <c r="F857" s="4" t="s">
        <v>67</v>
      </c>
      <c r="G857" s="4" t="s">
        <v>88</v>
      </c>
      <c r="H857" s="4"/>
      <c r="I857" s="4" t="n">
        <v>2.7111</v>
      </c>
      <c r="J857" s="4" t="str">
        <f aca="false">TRIM(E857) &amp; TRIM(C857) &amp; TRIM(D857)</f>
        <v>Posted RecallBid Ecom Ads GroupAE</v>
      </c>
      <c r="K857" s="4" t="n">
        <f aca="false">IFERROR(I857*60,"")</f>
        <v>162.666</v>
      </c>
    </row>
    <row r="858" customFormat="false" ht="15" hidden="false" customHeight="false" outlineLevel="0" collapsed="false">
      <c r="A858" s="4" t="s">
        <v>15</v>
      </c>
      <c r="B858" s="4" t="s">
        <v>56</v>
      </c>
      <c r="C858" s="4" t="s">
        <v>57</v>
      </c>
      <c r="D858" s="4" t="s">
        <v>199</v>
      </c>
      <c r="E858" s="4" t="s">
        <v>63</v>
      </c>
      <c r="F858" s="4" t="s">
        <v>63</v>
      </c>
      <c r="G858" s="4" t="s">
        <v>613</v>
      </c>
      <c r="H858" s="4"/>
      <c r="I858" s="4" t="n">
        <v>1.626</v>
      </c>
      <c r="J858" s="4" t="str">
        <f aca="false">TRIM(E858) &amp; TRIM(C858) &amp; TRIM(D858)</f>
        <v>First ReviewBid Ad GroupBH</v>
      </c>
      <c r="K858" s="4" t="n">
        <f aca="false">IFERROR(I858*60,"")</f>
        <v>97.56</v>
      </c>
    </row>
    <row r="859" customFormat="false" ht="15" hidden="false" customHeight="false" outlineLevel="0" collapsed="false">
      <c r="A859" s="4" t="s">
        <v>15</v>
      </c>
      <c r="B859" s="4" t="s">
        <v>56</v>
      </c>
      <c r="C859" s="4" t="s">
        <v>81</v>
      </c>
      <c r="D859" s="4" t="s">
        <v>162</v>
      </c>
      <c r="E859" s="4" t="s">
        <v>63</v>
      </c>
      <c r="F859" s="4" t="s">
        <v>63</v>
      </c>
      <c r="G859" s="4" t="s">
        <v>778</v>
      </c>
      <c r="H859" s="4"/>
      <c r="I859" s="4" t="n">
        <v>0.3392</v>
      </c>
      <c r="J859" s="4" t="str">
        <f aca="false">TRIM(E859) &amp; TRIM(C859) &amp; TRIM(D859)</f>
        <v>First ReviewBid TextJO</v>
      </c>
      <c r="K859" s="4" t="n">
        <f aca="false">IFERROR(I859*60,"")</f>
        <v>20.352</v>
      </c>
    </row>
    <row r="860" customFormat="false" ht="15" hidden="false" customHeight="false" outlineLevel="0" collapsed="false">
      <c r="A860" s="4" t="s">
        <v>15</v>
      </c>
      <c r="B860" s="4" t="s">
        <v>56</v>
      </c>
      <c r="C860" s="4" t="s">
        <v>81</v>
      </c>
      <c r="D860" s="4" t="s">
        <v>136</v>
      </c>
      <c r="E860" s="4" t="s">
        <v>63</v>
      </c>
      <c r="F860" s="4" t="s">
        <v>63</v>
      </c>
      <c r="G860" s="4" t="s">
        <v>779</v>
      </c>
      <c r="H860" s="4"/>
      <c r="I860" s="4" t="n">
        <v>0.5482</v>
      </c>
      <c r="J860" s="4" t="str">
        <f aca="false">TRIM(E860) &amp; TRIM(C860) &amp; TRIM(D860)</f>
        <v>First ReviewBid TextPE</v>
      </c>
      <c r="K860" s="4" t="n">
        <f aca="false">IFERROR(I860*60,"")</f>
        <v>32.892</v>
      </c>
    </row>
    <row r="861" customFormat="false" ht="15" hidden="false" customHeight="false" outlineLevel="0" collapsed="false">
      <c r="A861" s="4" t="s">
        <v>15</v>
      </c>
      <c r="B861" s="4" t="s">
        <v>56</v>
      </c>
      <c r="C861" s="4" t="s">
        <v>93</v>
      </c>
      <c r="D861" s="4" t="s">
        <v>82</v>
      </c>
      <c r="E861" s="4" t="s">
        <v>63</v>
      </c>
      <c r="F861" s="4" t="s">
        <v>63</v>
      </c>
      <c r="G861" s="4" t="s">
        <v>780</v>
      </c>
      <c r="H861" s="4"/>
      <c r="I861" s="4" t="n">
        <v>0.5593</v>
      </c>
      <c r="J861" s="4" t="str">
        <f aca="false">TRIM(E861) &amp; TRIM(C861) &amp; TRIM(D861)</f>
        <v>First ReviewBid AudioKH</v>
      </c>
      <c r="K861" s="4" t="n">
        <f aca="false">IFERROR(I861*60,"")</f>
        <v>33.558</v>
      </c>
    </row>
    <row r="862" customFormat="false" ht="15" hidden="false" customHeight="false" outlineLevel="0" collapsed="false">
      <c r="A862" s="4" t="s">
        <v>15</v>
      </c>
      <c r="B862" s="4" t="s">
        <v>56</v>
      </c>
      <c r="C862" s="4" t="s">
        <v>75</v>
      </c>
      <c r="D862" s="4" t="s">
        <v>166</v>
      </c>
      <c r="E862" s="4" t="s">
        <v>66</v>
      </c>
      <c r="F862" s="4" t="s">
        <v>67</v>
      </c>
      <c r="G862" s="4" t="s">
        <v>729</v>
      </c>
      <c r="H862" s="4"/>
      <c r="I862" s="4" t="n">
        <v>2.4756</v>
      </c>
      <c r="J862" s="4" t="str">
        <f aca="false">TRIM(E862) &amp; TRIM(C862) &amp; TRIM(D862)</f>
        <v>Posted RecallBid Ecom Ads GroupCZ</v>
      </c>
      <c r="K862" s="4" t="n">
        <f aca="false">IFERROR(I862*60,"")</f>
        <v>148.536</v>
      </c>
    </row>
    <row r="863" customFormat="false" ht="15" hidden="false" customHeight="false" outlineLevel="0" collapsed="false">
      <c r="A863" s="4" t="s">
        <v>15</v>
      </c>
      <c r="B863" s="4" t="s">
        <v>56</v>
      </c>
      <c r="C863" s="4" t="s">
        <v>75</v>
      </c>
      <c r="D863" s="4" t="s">
        <v>79</v>
      </c>
      <c r="E863" s="4" t="s">
        <v>66</v>
      </c>
      <c r="F863" s="4" t="s">
        <v>67</v>
      </c>
      <c r="G863" s="4" t="s">
        <v>587</v>
      </c>
      <c r="H863" s="4"/>
      <c r="I863" s="4" t="n">
        <v>2.1513</v>
      </c>
      <c r="J863" s="4" t="str">
        <f aca="false">TRIM(E863) &amp; TRIM(C863) &amp; TRIM(D863)</f>
        <v>Posted RecallBid Ecom Ads GroupZA</v>
      </c>
      <c r="K863" s="4" t="n">
        <f aca="false">IFERROR(I863*60,"")</f>
        <v>129.078</v>
      </c>
    </row>
    <row r="864" customFormat="false" ht="15" hidden="false" customHeight="false" outlineLevel="0" collapsed="false">
      <c r="A864" s="4" t="s">
        <v>15</v>
      </c>
      <c r="B864" s="4" t="s">
        <v>56</v>
      </c>
      <c r="C864" s="4" t="s">
        <v>75</v>
      </c>
      <c r="D864" s="4" t="s">
        <v>308</v>
      </c>
      <c r="E864" s="4" t="s">
        <v>63</v>
      </c>
      <c r="F864" s="4" t="s">
        <v>63</v>
      </c>
      <c r="G864" s="4" t="s">
        <v>633</v>
      </c>
      <c r="H864" s="4"/>
      <c r="I864" s="4" t="n">
        <v>4.6419</v>
      </c>
      <c r="J864" s="4" t="str">
        <f aca="false">TRIM(E864) &amp; TRIM(C864) &amp; TRIM(D864)</f>
        <v>First ReviewBid Ecom Ads GroupPL</v>
      </c>
      <c r="K864" s="4" t="n">
        <f aca="false">IFERROR(I864*60,"")</f>
        <v>278.514</v>
      </c>
    </row>
    <row r="865" customFormat="false" ht="15" hidden="false" customHeight="false" outlineLevel="0" collapsed="false">
      <c r="A865" s="4" t="s">
        <v>15</v>
      </c>
      <c r="B865" s="4" t="s">
        <v>56</v>
      </c>
      <c r="C865" s="4" t="s">
        <v>57</v>
      </c>
      <c r="D865" s="4" t="s">
        <v>73</v>
      </c>
      <c r="E865" s="4" t="s">
        <v>59</v>
      </c>
      <c r="F865" s="4" t="s">
        <v>59</v>
      </c>
      <c r="G865" s="4" t="s">
        <v>479</v>
      </c>
      <c r="H865" s="4"/>
      <c r="I865" s="4" t="n">
        <v>7.2564</v>
      </c>
      <c r="J865" s="4" t="str">
        <f aca="false">TRIM(E865) &amp; TRIM(C865) &amp; TRIM(D865)</f>
        <v>Re-reviewBid Ad GroupIQ</v>
      </c>
      <c r="K865" s="4" t="n">
        <f aca="false">IFERROR(I865*60,"")</f>
        <v>435.384</v>
      </c>
    </row>
    <row r="866" customFormat="false" ht="15" hidden="false" customHeight="false" outlineLevel="0" collapsed="false">
      <c r="A866" s="4" t="s">
        <v>15</v>
      </c>
      <c r="B866" s="4" t="s">
        <v>56</v>
      </c>
      <c r="C866" s="4" t="s">
        <v>78</v>
      </c>
      <c r="D866" s="4" t="s">
        <v>181</v>
      </c>
      <c r="E866" s="4" t="s">
        <v>63</v>
      </c>
      <c r="F866" s="4" t="s">
        <v>63</v>
      </c>
      <c r="G866" s="4" t="s">
        <v>781</v>
      </c>
      <c r="H866" s="4"/>
      <c r="I866" s="4" t="n">
        <v>1.1942</v>
      </c>
      <c r="J866" s="4" t="str">
        <f aca="false">TRIM(E866) &amp; TRIM(C866) &amp; TRIM(D866)</f>
        <v>First ReviewBid VideoLB</v>
      </c>
      <c r="K866" s="4" t="n">
        <f aca="false">IFERROR(I866*60,"")</f>
        <v>71.652</v>
      </c>
    </row>
    <row r="867" customFormat="false" ht="15" hidden="false" customHeight="false" outlineLevel="0" collapsed="false">
      <c r="A867" s="4" t="s">
        <v>15</v>
      </c>
      <c r="B867" s="4" t="s">
        <v>56</v>
      </c>
      <c r="C867" s="4" t="s">
        <v>69</v>
      </c>
      <c r="D867" s="4" t="s">
        <v>178</v>
      </c>
      <c r="E867" s="4" t="s">
        <v>63</v>
      </c>
      <c r="F867" s="4" t="s">
        <v>63</v>
      </c>
      <c r="G867" s="4" t="s">
        <v>782</v>
      </c>
      <c r="H867" s="4"/>
      <c r="I867" s="4" t="n">
        <v>0.9965</v>
      </c>
      <c r="J867" s="4" t="str">
        <f aca="false">TRIM(E867) &amp; TRIM(C867) &amp; TRIM(D867)</f>
        <v>First ReviewBid LinkBO</v>
      </c>
      <c r="K867" s="4" t="n">
        <f aca="false">IFERROR(I867*60,"")</f>
        <v>59.79</v>
      </c>
    </row>
    <row r="868" customFormat="false" ht="15" hidden="false" customHeight="false" outlineLevel="0" collapsed="false">
      <c r="A868" s="4" t="s">
        <v>15</v>
      </c>
      <c r="B868" s="4" t="s">
        <v>56</v>
      </c>
      <c r="C868" s="4" t="s">
        <v>75</v>
      </c>
      <c r="D868" s="4" t="s">
        <v>208</v>
      </c>
      <c r="E868" s="4" t="s">
        <v>66</v>
      </c>
      <c r="F868" s="4" t="s">
        <v>67</v>
      </c>
      <c r="G868" s="4" t="s">
        <v>534</v>
      </c>
      <c r="H868" s="4"/>
      <c r="I868" s="4" t="n">
        <v>2.5223</v>
      </c>
      <c r="J868" s="4" t="str">
        <f aca="false">TRIM(E868) &amp; TRIM(C868) &amp; TRIM(D868)</f>
        <v>Posted RecallBid Ecom Ads GroupCO</v>
      </c>
      <c r="K868" s="4" t="n">
        <f aca="false">IFERROR(I868*60,"")</f>
        <v>151.338</v>
      </c>
    </row>
    <row r="869" customFormat="false" ht="15" hidden="false" customHeight="false" outlineLevel="0" collapsed="false">
      <c r="A869" s="4" t="s">
        <v>15</v>
      </c>
      <c r="B869" s="4" t="s">
        <v>56</v>
      </c>
      <c r="C869" s="4" t="s">
        <v>69</v>
      </c>
      <c r="D869" s="4" t="s">
        <v>136</v>
      </c>
      <c r="E869" s="4" t="s">
        <v>63</v>
      </c>
      <c r="F869" s="4" t="s">
        <v>63</v>
      </c>
      <c r="G869" s="4" t="s">
        <v>783</v>
      </c>
      <c r="H869" s="4"/>
      <c r="I869" s="4" t="n">
        <v>1.0722</v>
      </c>
      <c r="J869" s="4" t="str">
        <f aca="false">TRIM(E869) &amp; TRIM(C869) &amp; TRIM(D869)</f>
        <v>First ReviewBid LinkPE</v>
      </c>
      <c r="K869" s="4" t="n">
        <f aca="false">IFERROR(I869*60,"")</f>
        <v>64.332</v>
      </c>
    </row>
    <row r="870" customFormat="false" ht="15" hidden="false" customHeight="false" outlineLevel="0" collapsed="false">
      <c r="A870" s="4" t="s">
        <v>15</v>
      </c>
      <c r="B870" s="4" t="s">
        <v>56</v>
      </c>
      <c r="C870" s="4" t="s">
        <v>75</v>
      </c>
      <c r="D870" s="4" t="s">
        <v>310</v>
      </c>
      <c r="E870" s="4" t="s">
        <v>59</v>
      </c>
      <c r="F870" s="4" t="s">
        <v>59</v>
      </c>
      <c r="G870" s="4" t="s">
        <v>351</v>
      </c>
      <c r="H870" s="4"/>
      <c r="I870" s="4" t="n">
        <v>4.1906</v>
      </c>
      <c r="J870" s="4" t="str">
        <f aca="false">TRIM(E870) &amp; TRIM(C870) &amp; TRIM(D870)</f>
        <v>Re-reviewBid Ecom Ads GroupUY</v>
      </c>
      <c r="K870" s="4" t="n">
        <f aca="false">IFERROR(I870*60,"")</f>
        <v>251.436</v>
      </c>
    </row>
    <row r="871" customFormat="false" ht="15" hidden="false" customHeight="false" outlineLevel="0" collapsed="false">
      <c r="A871" s="4" t="s">
        <v>15</v>
      </c>
      <c r="B871" s="4" t="s">
        <v>56</v>
      </c>
      <c r="C871" s="4" t="s">
        <v>57</v>
      </c>
      <c r="D871" s="4" t="s">
        <v>310</v>
      </c>
      <c r="E871" s="4" t="s">
        <v>59</v>
      </c>
      <c r="F871" s="4" t="s">
        <v>59</v>
      </c>
      <c r="G871" s="4" t="s">
        <v>665</v>
      </c>
      <c r="H871" s="4"/>
      <c r="I871" s="4" t="n">
        <v>4.163</v>
      </c>
      <c r="J871" s="4" t="str">
        <f aca="false">TRIM(E871) &amp; TRIM(C871) &amp; TRIM(D871)</f>
        <v>Re-reviewBid Ad GroupUY</v>
      </c>
      <c r="K871" s="4" t="n">
        <f aca="false">IFERROR(I871*60,"")</f>
        <v>249.78</v>
      </c>
    </row>
    <row r="872" customFormat="false" ht="15" hidden="false" customHeight="false" outlineLevel="0" collapsed="false">
      <c r="A872" s="4" t="s">
        <v>15</v>
      </c>
      <c r="B872" s="4" t="s">
        <v>56</v>
      </c>
      <c r="C872" s="4" t="s">
        <v>69</v>
      </c>
      <c r="D872" s="4" t="s">
        <v>162</v>
      </c>
      <c r="E872" s="4" t="s">
        <v>63</v>
      </c>
      <c r="F872" s="4" t="s">
        <v>63</v>
      </c>
      <c r="G872" s="4" t="s">
        <v>784</v>
      </c>
      <c r="H872" s="4"/>
      <c r="I872" s="4" t="n">
        <v>0.6986</v>
      </c>
      <c r="J872" s="4" t="str">
        <f aca="false">TRIM(E872) &amp; TRIM(C872) &amp; TRIM(D872)</f>
        <v>First ReviewBid LinkJO</v>
      </c>
      <c r="K872" s="4" t="n">
        <f aca="false">IFERROR(I872*60,"")</f>
        <v>41.916</v>
      </c>
    </row>
    <row r="873" customFormat="false" ht="15" hidden="false" customHeight="false" outlineLevel="0" collapsed="false">
      <c r="A873" s="4" t="s">
        <v>15</v>
      </c>
      <c r="B873" s="4" t="s">
        <v>56</v>
      </c>
      <c r="C873" s="4" t="s">
        <v>69</v>
      </c>
      <c r="D873" s="4" t="s">
        <v>231</v>
      </c>
      <c r="E873" s="4" t="s">
        <v>63</v>
      </c>
      <c r="F873" s="4" t="s">
        <v>63</v>
      </c>
      <c r="G873" s="4" t="s">
        <v>785</v>
      </c>
      <c r="H873" s="4"/>
      <c r="I873" s="4" t="n">
        <v>0.9154</v>
      </c>
      <c r="J873" s="4" t="str">
        <f aca="false">TRIM(E873) &amp; TRIM(C873) &amp; TRIM(D873)</f>
        <v>First ReviewBid LinkIL</v>
      </c>
      <c r="K873" s="4" t="n">
        <f aca="false">IFERROR(I873*60,"")</f>
        <v>54.924</v>
      </c>
    </row>
    <row r="874" customFormat="false" ht="15" hidden="false" customHeight="false" outlineLevel="0" collapsed="false">
      <c r="A874" s="4" t="s">
        <v>15</v>
      </c>
      <c r="B874" s="4" t="s">
        <v>56</v>
      </c>
      <c r="C874" s="4" t="s">
        <v>84</v>
      </c>
      <c r="D874" s="4" t="s">
        <v>141</v>
      </c>
      <c r="E874" s="4" t="s">
        <v>63</v>
      </c>
      <c r="F874" s="4" t="s">
        <v>63</v>
      </c>
      <c r="G874" s="4" t="s">
        <v>786</v>
      </c>
      <c r="H874" s="4"/>
      <c r="I874" s="4" t="n">
        <v>1.9336</v>
      </c>
      <c r="J874" s="4" t="str">
        <f aca="false">TRIM(E874) &amp; TRIM(C874) &amp; TRIM(D874)</f>
        <v>First ReviewBid Ecom VideoAZ</v>
      </c>
      <c r="K874" s="4" t="n">
        <f aca="false">IFERROR(I874*60,"")</f>
        <v>116.016</v>
      </c>
    </row>
    <row r="875" customFormat="false" ht="15" hidden="false" customHeight="false" outlineLevel="0" collapsed="false">
      <c r="A875" s="4" t="s">
        <v>15</v>
      </c>
      <c r="B875" s="4" t="s">
        <v>56</v>
      </c>
      <c r="C875" s="4" t="s">
        <v>72</v>
      </c>
      <c r="D875" s="4" t="s">
        <v>267</v>
      </c>
      <c r="E875" s="4" t="s">
        <v>63</v>
      </c>
      <c r="F875" s="4" t="s">
        <v>63</v>
      </c>
      <c r="G875" s="4" t="s">
        <v>787</v>
      </c>
      <c r="H875" s="4"/>
      <c r="I875" s="4" t="n">
        <v>0.5071</v>
      </c>
      <c r="J875" s="4" t="str">
        <f aca="false">TRIM(E875) &amp; TRIM(C875) &amp; TRIM(D875)</f>
        <v>First ReviewBid ImageID</v>
      </c>
      <c r="K875" s="4" t="n">
        <f aca="false">IFERROR(I875*60,"")</f>
        <v>30.426</v>
      </c>
    </row>
    <row r="876" customFormat="false" ht="15" hidden="false" customHeight="false" outlineLevel="0" collapsed="false">
      <c r="A876" s="4" t="s">
        <v>15</v>
      </c>
      <c r="B876" s="4" t="s">
        <v>56</v>
      </c>
      <c r="C876" s="4" t="s">
        <v>81</v>
      </c>
      <c r="D876" s="4" t="s">
        <v>168</v>
      </c>
      <c r="E876" s="4" t="s">
        <v>63</v>
      </c>
      <c r="F876" s="4" t="s">
        <v>63</v>
      </c>
      <c r="G876" s="4" t="s">
        <v>788</v>
      </c>
      <c r="H876" s="4"/>
      <c r="I876" s="4" t="n">
        <v>0.7902</v>
      </c>
      <c r="J876" s="4" t="str">
        <f aca="false">TRIM(E876) &amp; TRIM(C876) &amp; TRIM(D876)</f>
        <v>First ReviewBid TextKZ</v>
      </c>
      <c r="K876" s="4" t="n">
        <f aca="false">IFERROR(I876*60,"")</f>
        <v>47.412</v>
      </c>
    </row>
    <row r="877" customFormat="false" ht="15" hidden="false" customHeight="false" outlineLevel="0" collapsed="false">
      <c r="A877" s="4" t="s">
        <v>15</v>
      </c>
      <c r="B877" s="4" t="s">
        <v>56</v>
      </c>
      <c r="C877" s="4" t="s">
        <v>57</v>
      </c>
      <c r="D877" s="4" t="s">
        <v>341</v>
      </c>
      <c r="E877" s="4" t="s">
        <v>66</v>
      </c>
      <c r="F877" s="4" t="s">
        <v>67</v>
      </c>
      <c r="G877" s="4" t="s">
        <v>380</v>
      </c>
      <c r="H877" s="4"/>
      <c r="I877" s="4" t="n">
        <v>2.4438</v>
      </c>
      <c r="J877" s="4" t="str">
        <f aca="false">TRIM(E877) &amp; TRIM(C877) &amp; TRIM(D877)</f>
        <v>Posted RecallBid Ad GroupBG</v>
      </c>
      <c r="K877" s="4" t="n">
        <f aca="false">IFERROR(I877*60,"")</f>
        <v>146.628</v>
      </c>
    </row>
    <row r="878" customFormat="false" ht="15" hidden="false" customHeight="false" outlineLevel="0" collapsed="false">
      <c r="A878" s="4" t="s">
        <v>15</v>
      </c>
      <c r="B878" s="4" t="s">
        <v>56</v>
      </c>
      <c r="C878" s="4" t="s">
        <v>93</v>
      </c>
      <c r="D878" s="4" t="s">
        <v>166</v>
      </c>
      <c r="E878" s="4" t="s">
        <v>63</v>
      </c>
      <c r="F878" s="4" t="s">
        <v>63</v>
      </c>
      <c r="G878" s="4" t="s">
        <v>789</v>
      </c>
      <c r="H878" s="4"/>
      <c r="I878" s="4" t="n">
        <v>1.235</v>
      </c>
      <c r="J878" s="4" t="str">
        <f aca="false">TRIM(E878) &amp; TRIM(C878) &amp; TRIM(D878)</f>
        <v>First ReviewBid AudioCZ</v>
      </c>
      <c r="K878" s="4" t="n">
        <f aca="false">IFERROR(I878*60,"")</f>
        <v>74.1</v>
      </c>
    </row>
    <row r="879" customFormat="false" ht="15" hidden="false" customHeight="false" outlineLevel="0" collapsed="false">
      <c r="A879" s="4" t="s">
        <v>15</v>
      </c>
      <c r="B879" s="4" t="s">
        <v>56</v>
      </c>
      <c r="C879" s="4" t="s">
        <v>75</v>
      </c>
      <c r="D879" s="4" t="s">
        <v>357</v>
      </c>
      <c r="E879" s="4" t="s">
        <v>63</v>
      </c>
      <c r="F879" s="4" t="s">
        <v>63</v>
      </c>
      <c r="G879" s="4" t="s">
        <v>466</v>
      </c>
      <c r="H879" s="4"/>
      <c r="I879" s="4" t="n">
        <v>2.9607</v>
      </c>
      <c r="J879" s="4" t="str">
        <f aca="false">TRIM(E879) &amp; TRIM(C879) &amp; TRIM(D879)</f>
        <v>First ReviewBid Ecom Ads GroupHU</v>
      </c>
      <c r="K879" s="4" t="n">
        <f aca="false">IFERROR(I879*60,"")</f>
        <v>177.642</v>
      </c>
    </row>
    <row r="880" customFormat="false" ht="15" hidden="false" customHeight="false" outlineLevel="0" collapsed="false">
      <c r="A880" s="4" t="s">
        <v>15</v>
      </c>
      <c r="B880" s="4" t="s">
        <v>56</v>
      </c>
      <c r="C880" s="4" t="s">
        <v>57</v>
      </c>
      <c r="D880" s="4" t="s">
        <v>121</v>
      </c>
      <c r="E880" s="4" t="s">
        <v>63</v>
      </c>
      <c r="F880" s="4" t="s">
        <v>63</v>
      </c>
      <c r="G880" s="4" t="s">
        <v>590</v>
      </c>
      <c r="H880" s="4"/>
      <c r="I880" s="4" t="n">
        <v>2.2685</v>
      </c>
      <c r="J880" s="4" t="str">
        <f aca="false">TRIM(E880) &amp; TRIM(C880) &amp; TRIM(D880)</f>
        <v>First ReviewBid Ad GroupKR</v>
      </c>
      <c r="K880" s="4" t="n">
        <f aca="false">IFERROR(I880*60,"")</f>
        <v>136.11</v>
      </c>
    </row>
    <row r="881" customFormat="false" ht="15" hidden="false" customHeight="false" outlineLevel="0" collapsed="false">
      <c r="A881" s="4" t="s">
        <v>15</v>
      </c>
      <c r="B881" s="4" t="s">
        <v>56</v>
      </c>
      <c r="C881" s="4" t="s">
        <v>57</v>
      </c>
      <c r="D881" s="4" t="s">
        <v>79</v>
      </c>
      <c r="E881" s="4" t="s">
        <v>59</v>
      </c>
      <c r="F881" s="4" t="s">
        <v>59</v>
      </c>
      <c r="G881" s="4" t="s">
        <v>664</v>
      </c>
      <c r="H881" s="4"/>
      <c r="I881" s="4" t="n">
        <v>6.4505</v>
      </c>
      <c r="J881" s="4" t="str">
        <f aca="false">TRIM(E881) &amp; TRIM(C881) &amp; TRIM(D881)</f>
        <v>Re-reviewBid Ad GroupZA</v>
      </c>
      <c r="K881" s="4" t="n">
        <f aca="false">IFERROR(I881*60,"")</f>
        <v>387.03</v>
      </c>
    </row>
    <row r="882" customFormat="false" ht="15" hidden="false" customHeight="false" outlineLevel="0" collapsed="false">
      <c r="A882" s="4" t="s">
        <v>15</v>
      </c>
      <c r="B882" s="4" t="s">
        <v>56</v>
      </c>
      <c r="C882" s="4" t="s">
        <v>57</v>
      </c>
      <c r="D882" s="4" t="s">
        <v>89</v>
      </c>
      <c r="E882" s="4" t="s">
        <v>59</v>
      </c>
      <c r="F882" s="4" t="s">
        <v>59</v>
      </c>
      <c r="G882" s="4" t="s">
        <v>500</v>
      </c>
      <c r="H882" s="4"/>
      <c r="I882" s="4" t="n">
        <v>10.7903</v>
      </c>
      <c r="J882" s="4" t="str">
        <f aca="false">TRIM(E882) &amp; TRIM(C882) &amp; TRIM(D882)</f>
        <v>Re-reviewBid Ad GroupFI</v>
      </c>
      <c r="K882" s="4" t="n">
        <f aca="false">IFERROR(I882*60,"")</f>
        <v>647.418</v>
      </c>
    </row>
    <row r="883" customFormat="false" ht="15" hidden="false" customHeight="false" outlineLevel="0" collapsed="false">
      <c r="A883" s="4" t="s">
        <v>15</v>
      </c>
      <c r="B883" s="4" t="s">
        <v>56</v>
      </c>
      <c r="C883" s="4" t="s">
        <v>78</v>
      </c>
      <c r="D883" s="4" t="s">
        <v>58</v>
      </c>
      <c r="E883" s="4" t="s">
        <v>63</v>
      </c>
      <c r="F883" s="4" t="s">
        <v>63</v>
      </c>
      <c r="G883" s="4" t="s">
        <v>790</v>
      </c>
      <c r="H883" s="4"/>
      <c r="I883" s="4" t="n">
        <v>0.6508</v>
      </c>
      <c r="J883" s="4" t="str">
        <f aca="false">TRIM(E883) &amp; TRIM(C883) &amp; TRIM(D883)</f>
        <v>First ReviewBid VideoSG</v>
      </c>
      <c r="K883" s="4" t="n">
        <f aca="false">IFERROR(I883*60,"")</f>
        <v>39.048</v>
      </c>
    </row>
    <row r="884" customFormat="false" ht="15" hidden="false" customHeight="false" outlineLevel="0" collapsed="false">
      <c r="A884" s="4" t="s">
        <v>15</v>
      </c>
      <c r="B884" s="4" t="s">
        <v>56</v>
      </c>
      <c r="C884" s="4" t="s">
        <v>72</v>
      </c>
      <c r="D884" s="4" t="s">
        <v>197</v>
      </c>
      <c r="E884" s="4" t="s">
        <v>63</v>
      </c>
      <c r="F884" s="4" t="s">
        <v>63</v>
      </c>
      <c r="G884" s="4" t="s">
        <v>791</v>
      </c>
      <c r="H884" s="4"/>
      <c r="I884" s="4" t="n">
        <v>0.3462</v>
      </c>
      <c r="J884" s="4" t="str">
        <f aca="false">TRIM(E884) &amp; TRIM(C884) &amp; TRIM(D884)</f>
        <v>First ReviewBid ImageGR</v>
      </c>
      <c r="K884" s="4" t="n">
        <f aca="false">IFERROR(I884*60,"")</f>
        <v>20.772</v>
      </c>
    </row>
    <row r="885" customFormat="false" ht="15" hidden="false" customHeight="false" outlineLevel="0" collapsed="false">
      <c r="A885" s="4" t="s">
        <v>15</v>
      </c>
      <c r="B885" s="4" t="s">
        <v>56</v>
      </c>
      <c r="C885" s="4" t="s">
        <v>84</v>
      </c>
      <c r="D885" s="4" t="s">
        <v>154</v>
      </c>
      <c r="E885" s="4" t="s">
        <v>63</v>
      </c>
      <c r="F885" s="4" t="s">
        <v>63</v>
      </c>
      <c r="G885" s="4" t="s">
        <v>792</v>
      </c>
      <c r="H885" s="4"/>
      <c r="I885" s="4" t="n">
        <v>1.9798</v>
      </c>
      <c r="J885" s="4" t="str">
        <f aca="false">TRIM(E885) &amp; TRIM(C885) &amp; TRIM(D885)</f>
        <v>First ReviewBid Ecom VideoES</v>
      </c>
      <c r="K885" s="4" t="n">
        <f aca="false">IFERROR(I885*60,"")</f>
        <v>118.788</v>
      </c>
    </row>
    <row r="886" customFormat="false" ht="15" hidden="false" customHeight="false" outlineLevel="0" collapsed="false">
      <c r="A886" s="4" t="s">
        <v>15</v>
      </c>
      <c r="B886" s="4" t="s">
        <v>56</v>
      </c>
      <c r="C886" s="4" t="s">
        <v>81</v>
      </c>
      <c r="D886" s="4" t="s">
        <v>91</v>
      </c>
      <c r="E886" s="4" t="s">
        <v>63</v>
      </c>
      <c r="F886" s="4" t="s">
        <v>63</v>
      </c>
      <c r="G886" s="4" t="s">
        <v>793</v>
      </c>
      <c r="H886" s="4"/>
      <c r="I886" s="4" t="n">
        <v>0.7184</v>
      </c>
      <c r="J886" s="4" t="str">
        <f aca="false">TRIM(E886) &amp; TRIM(C886) &amp; TRIM(D886)</f>
        <v>First ReviewBid TextHR</v>
      </c>
      <c r="K886" s="4" t="n">
        <f aca="false">IFERROR(I886*60,"")</f>
        <v>43.104</v>
      </c>
    </row>
    <row r="887" customFormat="false" ht="15" hidden="false" customHeight="false" outlineLevel="0" collapsed="false">
      <c r="A887" s="4" t="s">
        <v>15</v>
      </c>
      <c r="B887" s="4" t="s">
        <v>56</v>
      </c>
      <c r="C887" s="4" t="s">
        <v>72</v>
      </c>
      <c r="D887" s="4" t="s">
        <v>100</v>
      </c>
      <c r="E887" s="4" t="s">
        <v>63</v>
      </c>
      <c r="F887" s="4" t="s">
        <v>63</v>
      </c>
      <c r="G887" s="4" t="s">
        <v>794</v>
      </c>
      <c r="H887" s="4"/>
      <c r="I887" s="4" t="n">
        <v>0.3092</v>
      </c>
      <c r="J887" s="4" t="str">
        <f aca="false">TRIM(E887) &amp; TRIM(C887) &amp; TRIM(D887)</f>
        <v>First ReviewBid ImageAU</v>
      </c>
      <c r="K887" s="4" t="n">
        <f aca="false">IFERROR(I887*60,"")</f>
        <v>18.552</v>
      </c>
    </row>
    <row r="888" customFormat="false" ht="15" hidden="false" customHeight="false" outlineLevel="0" collapsed="false">
      <c r="A888" s="4" t="s">
        <v>15</v>
      </c>
      <c r="B888" s="4" t="s">
        <v>56</v>
      </c>
      <c r="C888" s="4" t="s">
        <v>61</v>
      </c>
      <c r="D888" s="4" t="s">
        <v>100</v>
      </c>
      <c r="E888" s="4" t="s">
        <v>63</v>
      </c>
      <c r="F888" s="4" t="s">
        <v>63</v>
      </c>
      <c r="G888" s="4" t="s">
        <v>795</v>
      </c>
      <c r="H888" s="4"/>
      <c r="I888" s="4" t="n">
        <v>1.3167</v>
      </c>
      <c r="J888" s="4" t="str">
        <f aca="false">TRIM(E888) &amp; TRIM(C888) &amp; TRIM(D888)</f>
        <v>First ReviewBid Ecom URLAU</v>
      </c>
      <c r="K888" s="4" t="n">
        <f aca="false">IFERROR(I888*60,"")</f>
        <v>79.002</v>
      </c>
    </row>
    <row r="889" customFormat="false" ht="15" hidden="false" customHeight="false" outlineLevel="0" collapsed="false">
      <c r="A889" s="4" t="s">
        <v>15</v>
      </c>
      <c r="B889" s="4" t="s">
        <v>56</v>
      </c>
      <c r="C889" s="4" t="s">
        <v>75</v>
      </c>
      <c r="D889" s="4" t="s">
        <v>141</v>
      </c>
      <c r="E889" s="4" t="s">
        <v>59</v>
      </c>
      <c r="F889" s="4" t="s">
        <v>59</v>
      </c>
      <c r="G889" s="4" t="s">
        <v>480</v>
      </c>
      <c r="H889" s="4"/>
      <c r="I889" s="4" t="n">
        <v>3.4146</v>
      </c>
      <c r="J889" s="4" t="str">
        <f aca="false">TRIM(E889) &amp; TRIM(C889) &amp; TRIM(D889)</f>
        <v>Re-reviewBid Ecom Ads GroupAZ</v>
      </c>
      <c r="K889" s="4" t="n">
        <f aca="false">IFERROR(I889*60,"")</f>
        <v>204.876</v>
      </c>
    </row>
    <row r="890" customFormat="false" ht="15" hidden="false" customHeight="false" outlineLevel="0" collapsed="false">
      <c r="A890" s="4" t="s">
        <v>15</v>
      </c>
      <c r="B890" s="4" t="s">
        <v>56</v>
      </c>
      <c r="C890" s="4" t="s">
        <v>75</v>
      </c>
      <c r="D890" s="4" t="s">
        <v>168</v>
      </c>
      <c r="E890" s="4" t="s">
        <v>66</v>
      </c>
      <c r="F890" s="4" t="s">
        <v>67</v>
      </c>
      <c r="G890" s="4" t="s">
        <v>558</v>
      </c>
      <c r="H890" s="4"/>
      <c r="I890" s="4" t="n">
        <v>3.821</v>
      </c>
      <c r="J890" s="4" t="str">
        <f aca="false">TRIM(E890) &amp; TRIM(C890) &amp; TRIM(D890)</f>
        <v>Posted RecallBid Ecom Ads GroupKZ</v>
      </c>
      <c r="K890" s="4" t="n">
        <f aca="false">IFERROR(I890*60,"")</f>
        <v>229.26</v>
      </c>
    </row>
    <row r="891" customFormat="false" ht="15" hidden="false" customHeight="false" outlineLevel="0" collapsed="false">
      <c r="A891" s="4" t="s">
        <v>15</v>
      </c>
      <c r="B891" s="4" t="s">
        <v>56</v>
      </c>
      <c r="C891" s="4" t="s">
        <v>61</v>
      </c>
      <c r="D891" s="4" t="s">
        <v>162</v>
      </c>
      <c r="E891" s="4" t="s">
        <v>63</v>
      </c>
      <c r="F891" s="4" t="s">
        <v>63</v>
      </c>
      <c r="G891" s="4" t="s">
        <v>796</v>
      </c>
      <c r="H891" s="4"/>
      <c r="I891" s="4" t="n">
        <v>0.7326</v>
      </c>
      <c r="J891" s="4" t="str">
        <f aca="false">TRIM(E891) &amp; TRIM(C891) &amp; TRIM(D891)</f>
        <v>First ReviewBid Ecom URLJO</v>
      </c>
      <c r="K891" s="4" t="n">
        <f aca="false">IFERROR(I891*60,"")</f>
        <v>43.956</v>
      </c>
    </row>
    <row r="892" customFormat="false" ht="15" hidden="false" customHeight="false" outlineLevel="0" collapsed="false">
      <c r="A892" s="4" t="s">
        <v>15</v>
      </c>
      <c r="B892" s="4" t="s">
        <v>56</v>
      </c>
      <c r="C892" s="4" t="s">
        <v>57</v>
      </c>
      <c r="D892" s="4" t="s">
        <v>154</v>
      </c>
      <c r="E892" s="4" t="s">
        <v>63</v>
      </c>
      <c r="F892" s="4" t="s">
        <v>63</v>
      </c>
      <c r="G892" s="4" t="s">
        <v>572</v>
      </c>
      <c r="H892" s="4"/>
      <c r="I892" s="4" t="n">
        <v>1.8392</v>
      </c>
      <c r="J892" s="4" t="str">
        <f aca="false">TRIM(E892) &amp; TRIM(C892) &amp; TRIM(D892)</f>
        <v>First ReviewBid Ad GroupES</v>
      </c>
      <c r="K892" s="4" t="n">
        <f aca="false">IFERROR(I892*60,"")</f>
        <v>110.352</v>
      </c>
    </row>
    <row r="893" customFormat="false" ht="15" hidden="false" customHeight="false" outlineLevel="0" collapsed="false">
      <c r="A893" s="4" t="s">
        <v>15</v>
      </c>
      <c r="B893" s="4" t="s">
        <v>56</v>
      </c>
      <c r="C893" s="4" t="s">
        <v>81</v>
      </c>
      <c r="D893" s="4" t="s">
        <v>134</v>
      </c>
      <c r="E893" s="4" t="s">
        <v>63</v>
      </c>
      <c r="F893" s="4" t="s">
        <v>63</v>
      </c>
      <c r="G893" s="4" t="s">
        <v>797</v>
      </c>
      <c r="H893" s="4"/>
      <c r="I893" s="4" t="n">
        <v>0.2199</v>
      </c>
      <c r="J893" s="4" t="str">
        <f aca="false">TRIM(E893) &amp; TRIM(C893) &amp; TRIM(D893)</f>
        <v>First ReviewBid TextPR</v>
      </c>
      <c r="K893" s="4" t="n">
        <f aca="false">IFERROR(I893*60,"")</f>
        <v>13.194</v>
      </c>
    </row>
    <row r="894" customFormat="false" ht="15" hidden="false" customHeight="false" outlineLevel="0" collapsed="false">
      <c r="A894" s="4" t="s">
        <v>15</v>
      </c>
      <c r="B894" s="4" t="s">
        <v>56</v>
      </c>
      <c r="C894" s="4" t="s">
        <v>81</v>
      </c>
      <c r="D894" s="4" t="s">
        <v>113</v>
      </c>
      <c r="E894" s="4" t="s">
        <v>63</v>
      </c>
      <c r="F894" s="4" t="s">
        <v>63</v>
      </c>
      <c r="G894" s="4" t="s">
        <v>798</v>
      </c>
      <c r="H894" s="4"/>
      <c r="I894" s="4" t="n">
        <v>0.7139</v>
      </c>
      <c r="J894" s="4" t="str">
        <f aca="false">TRIM(E894) &amp; TRIM(C894) &amp; TRIM(D894)</f>
        <v>First ReviewBid TextNL</v>
      </c>
      <c r="K894" s="4" t="n">
        <f aca="false">IFERROR(I894*60,"")</f>
        <v>42.834</v>
      </c>
    </row>
    <row r="895" customFormat="false" ht="15" hidden="false" customHeight="false" outlineLevel="0" collapsed="false">
      <c r="A895" s="4" t="s">
        <v>15</v>
      </c>
      <c r="B895" s="4" t="s">
        <v>56</v>
      </c>
      <c r="C895" s="4" t="s">
        <v>78</v>
      </c>
      <c r="D895" s="4" t="s">
        <v>275</v>
      </c>
      <c r="E895" s="4" t="s">
        <v>63</v>
      </c>
      <c r="F895" s="4" t="s">
        <v>63</v>
      </c>
      <c r="G895" s="4" t="s">
        <v>799</v>
      </c>
      <c r="H895" s="4"/>
      <c r="I895" s="4" t="n">
        <v>1.6971</v>
      </c>
      <c r="J895" s="4" t="str">
        <f aca="false">TRIM(E895) &amp; TRIM(C895) &amp; TRIM(D895)</f>
        <v>First ReviewBid VideoGB</v>
      </c>
      <c r="K895" s="4" t="n">
        <f aca="false">IFERROR(I895*60,"")</f>
        <v>101.826</v>
      </c>
    </row>
    <row r="896" customFormat="false" ht="15" hidden="false" customHeight="false" outlineLevel="0" collapsed="false">
      <c r="A896" s="4" t="s">
        <v>15</v>
      </c>
      <c r="B896" s="4" t="s">
        <v>56</v>
      </c>
      <c r="C896" s="4" t="s">
        <v>75</v>
      </c>
      <c r="D896" s="4" t="s">
        <v>178</v>
      </c>
      <c r="E896" s="4" t="s">
        <v>59</v>
      </c>
      <c r="F896" s="4" t="s">
        <v>59</v>
      </c>
      <c r="G896" s="4" t="s">
        <v>666</v>
      </c>
      <c r="H896" s="4"/>
      <c r="I896" s="4" t="n">
        <v>9.6255</v>
      </c>
      <c r="J896" s="4" t="str">
        <f aca="false">TRIM(E896) &amp; TRIM(C896) &amp; TRIM(D896)</f>
        <v>Re-reviewBid Ecom Ads GroupBO</v>
      </c>
      <c r="K896" s="4" t="n">
        <f aca="false">IFERROR(I896*60,"")</f>
        <v>577.53</v>
      </c>
    </row>
    <row r="897" customFormat="false" ht="15" hidden="false" customHeight="false" outlineLevel="0" collapsed="false">
      <c r="A897" s="4" t="s">
        <v>15</v>
      </c>
      <c r="B897" s="4" t="s">
        <v>56</v>
      </c>
      <c r="C897" s="4" t="s">
        <v>61</v>
      </c>
      <c r="D897" s="4" t="s">
        <v>203</v>
      </c>
      <c r="E897" s="4" t="s">
        <v>63</v>
      </c>
      <c r="F897" s="4" t="s">
        <v>63</v>
      </c>
      <c r="G897" s="4" t="s">
        <v>800</v>
      </c>
      <c r="H897" s="4"/>
      <c r="I897" s="4" t="n">
        <v>1.3877</v>
      </c>
      <c r="J897" s="4" t="str">
        <f aca="false">TRIM(E897) &amp; TRIM(C897) &amp; TRIM(D897)</f>
        <v>First ReviewBid Ecom URLCA</v>
      </c>
      <c r="K897" s="4" t="n">
        <f aca="false">IFERROR(I897*60,"")</f>
        <v>83.262</v>
      </c>
    </row>
    <row r="898" customFormat="false" ht="15" hidden="false" customHeight="false" outlineLevel="0" collapsed="false">
      <c r="A898" s="4" t="s">
        <v>15</v>
      </c>
      <c r="B898" s="4" t="s">
        <v>56</v>
      </c>
      <c r="C898" s="4" t="s">
        <v>61</v>
      </c>
      <c r="D898" s="4" t="s">
        <v>79</v>
      </c>
      <c r="E898" s="4" t="s">
        <v>63</v>
      </c>
      <c r="F898" s="4" t="s">
        <v>63</v>
      </c>
      <c r="G898" s="4" t="s">
        <v>801</v>
      </c>
      <c r="H898" s="4"/>
      <c r="I898" s="4" t="n">
        <v>0.8999</v>
      </c>
      <c r="J898" s="4" t="str">
        <f aca="false">TRIM(E898) &amp; TRIM(C898) &amp; TRIM(D898)</f>
        <v>First ReviewBid Ecom URLZA</v>
      </c>
      <c r="K898" s="4" t="n">
        <f aca="false">IFERROR(I898*60,"")</f>
        <v>53.994</v>
      </c>
    </row>
    <row r="899" customFormat="false" ht="15" hidden="false" customHeight="false" outlineLevel="0" collapsed="false">
      <c r="A899" s="4" t="s">
        <v>15</v>
      </c>
      <c r="B899" s="4" t="s">
        <v>56</v>
      </c>
      <c r="C899" s="4" t="s">
        <v>78</v>
      </c>
      <c r="D899" s="4" t="s">
        <v>195</v>
      </c>
      <c r="E899" s="4" t="s">
        <v>63</v>
      </c>
      <c r="F899" s="4" t="s">
        <v>63</v>
      </c>
      <c r="G899" s="4" t="s">
        <v>802</v>
      </c>
      <c r="H899" s="4"/>
      <c r="I899" s="4" t="n">
        <v>2.2815</v>
      </c>
      <c r="J899" s="4" t="str">
        <f aca="false">TRIM(E899) &amp; TRIM(C899) &amp; TRIM(D899)</f>
        <v>First ReviewBid VideoIT</v>
      </c>
      <c r="K899" s="4" t="n">
        <f aca="false">IFERROR(I899*60,"")</f>
        <v>136.89</v>
      </c>
    </row>
    <row r="900" customFormat="false" ht="15" hidden="false" customHeight="false" outlineLevel="0" collapsed="false">
      <c r="A900" s="4" t="s">
        <v>15</v>
      </c>
      <c r="B900" s="4" t="s">
        <v>56</v>
      </c>
      <c r="C900" s="4" t="s">
        <v>81</v>
      </c>
      <c r="D900" s="4" t="s">
        <v>262</v>
      </c>
      <c r="E900" s="4" t="s">
        <v>63</v>
      </c>
      <c r="F900" s="4" t="s">
        <v>63</v>
      </c>
      <c r="G900" s="4" t="s">
        <v>803</v>
      </c>
      <c r="H900" s="4"/>
      <c r="I900" s="4" t="n">
        <v>0.3347</v>
      </c>
      <c r="J900" s="4" t="str">
        <f aca="false">TRIM(E900) &amp; TRIM(C900) &amp; TRIM(D900)</f>
        <v>First ReviewBid TextSI</v>
      </c>
      <c r="K900" s="4" t="n">
        <f aca="false">IFERROR(I900*60,"")</f>
        <v>20.082</v>
      </c>
    </row>
    <row r="901" customFormat="false" ht="15" hidden="false" customHeight="false" outlineLevel="0" collapsed="false">
      <c r="A901" s="4" t="s">
        <v>15</v>
      </c>
      <c r="B901" s="4" t="s">
        <v>56</v>
      </c>
      <c r="C901" s="4" t="s">
        <v>75</v>
      </c>
      <c r="D901" s="4" t="s">
        <v>104</v>
      </c>
      <c r="E901" s="4" t="s">
        <v>66</v>
      </c>
      <c r="F901" s="4" t="s">
        <v>67</v>
      </c>
      <c r="G901" s="4" t="s">
        <v>588</v>
      </c>
      <c r="H901" s="4"/>
      <c r="I901" s="4" t="n">
        <v>1.9941</v>
      </c>
      <c r="J901" s="4" t="str">
        <f aca="false">TRIM(E901) &amp; TRIM(C901) &amp; TRIM(D901)</f>
        <v>Posted RecallBid Ecom Ads GroupIE</v>
      </c>
      <c r="K901" s="4" t="n">
        <f aca="false">IFERROR(I901*60,"")</f>
        <v>119.646</v>
      </c>
    </row>
    <row r="902" customFormat="false" ht="15" hidden="false" customHeight="false" outlineLevel="0" collapsed="false">
      <c r="A902" s="4" t="s">
        <v>15</v>
      </c>
      <c r="B902" s="4" t="s">
        <v>56</v>
      </c>
      <c r="C902" s="4" t="s">
        <v>57</v>
      </c>
      <c r="D902" s="4" t="s">
        <v>106</v>
      </c>
      <c r="E902" s="4" t="s">
        <v>66</v>
      </c>
      <c r="F902" s="4" t="s">
        <v>67</v>
      </c>
      <c r="G902" s="4" t="s">
        <v>564</v>
      </c>
      <c r="H902" s="4"/>
      <c r="I902" s="4" t="n">
        <v>2.0927</v>
      </c>
      <c r="J902" s="4" t="str">
        <f aca="false">TRIM(E902) &amp; TRIM(C902) &amp; TRIM(D902)</f>
        <v>Posted RecallBid Ad GroupMY</v>
      </c>
      <c r="K902" s="4" t="n">
        <f aca="false">IFERROR(I902*60,"")</f>
        <v>125.562</v>
      </c>
    </row>
    <row r="903" customFormat="false" ht="15" hidden="false" customHeight="false" outlineLevel="0" collapsed="false">
      <c r="A903" s="4" t="s">
        <v>15</v>
      </c>
      <c r="B903" s="4" t="s">
        <v>56</v>
      </c>
      <c r="C903" s="4" t="s">
        <v>75</v>
      </c>
      <c r="D903" s="4" t="s">
        <v>168</v>
      </c>
      <c r="E903" s="4" t="s">
        <v>59</v>
      </c>
      <c r="F903" s="4" t="s">
        <v>59</v>
      </c>
      <c r="G903" s="4" t="s">
        <v>558</v>
      </c>
      <c r="H903" s="4"/>
      <c r="I903" s="4" t="n">
        <v>7.8775</v>
      </c>
      <c r="J903" s="4" t="str">
        <f aca="false">TRIM(E903) &amp; TRIM(C903) &amp; TRIM(D903)</f>
        <v>Re-reviewBid Ecom Ads GroupKZ</v>
      </c>
      <c r="K903" s="4" t="n">
        <f aca="false">IFERROR(I903*60,"")</f>
        <v>472.65</v>
      </c>
    </row>
    <row r="904" customFormat="false" ht="15" hidden="false" customHeight="false" outlineLevel="0" collapsed="false">
      <c r="A904" s="4" t="s">
        <v>15</v>
      </c>
      <c r="B904" s="4" t="s">
        <v>56</v>
      </c>
      <c r="C904" s="4" t="s">
        <v>61</v>
      </c>
      <c r="D904" s="4" t="s">
        <v>106</v>
      </c>
      <c r="E904" s="4" t="s">
        <v>63</v>
      </c>
      <c r="F904" s="4" t="s">
        <v>63</v>
      </c>
      <c r="G904" s="4" t="s">
        <v>804</v>
      </c>
      <c r="H904" s="4"/>
      <c r="I904" s="4" t="n">
        <v>1.1475</v>
      </c>
      <c r="J904" s="4" t="str">
        <f aca="false">TRIM(E904) &amp; TRIM(C904) &amp; TRIM(D904)</f>
        <v>First ReviewBid Ecom URLMY</v>
      </c>
      <c r="K904" s="4" t="n">
        <f aca="false">IFERROR(I904*60,"")</f>
        <v>68.85</v>
      </c>
    </row>
    <row r="905" customFormat="false" ht="15" hidden="false" customHeight="false" outlineLevel="0" collapsed="false">
      <c r="A905" s="4" t="s">
        <v>15</v>
      </c>
      <c r="B905" s="4" t="s">
        <v>56</v>
      </c>
      <c r="C905" s="4" t="s">
        <v>57</v>
      </c>
      <c r="D905" s="4" t="s">
        <v>238</v>
      </c>
      <c r="E905" s="4" t="s">
        <v>59</v>
      </c>
      <c r="F905" s="4" t="s">
        <v>59</v>
      </c>
      <c r="G905" s="4" t="s">
        <v>239</v>
      </c>
      <c r="H905" s="4"/>
      <c r="I905" s="4" t="n">
        <v>7.3529</v>
      </c>
      <c r="J905" s="4" t="str">
        <f aca="false">TRIM(E905) &amp; TRIM(C905) &amp; TRIM(D905)</f>
        <v>Re-reviewBid Ad GroupCH</v>
      </c>
      <c r="K905" s="4" t="n">
        <f aca="false">IFERROR(I905*60,"")</f>
        <v>441.174</v>
      </c>
    </row>
    <row r="906" customFormat="false" ht="15" hidden="false" customHeight="false" outlineLevel="0" collapsed="false">
      <c r="A906" s="4" t="s">
        <v>15</v>
      </c>
      <c r="B906" s="4" t="s">
        <v>56</v>
      </c>
      <c r="C906" s="4" t="s">
        <v>81</v>
      </c>
      <c r="D906" s="4" t="s">
        <v>130</v>
      </c>
      <c r="E906" s="4" t="s">
        <v>63</v>
      </c>
      <c r="F906" s="4" t="s">
        <v>63</v>
      </c>
      <c r="G906" s="4" t="s">
        <v>805</v>
      </c>
      <c r="H906" s="4"/>
      <c r="I906" s="4" t="n">
        <v>0.2594</v>
      </c>
      <c r="J906" s="4" t="str">
        <f aca="false">TRIM(E906) &amp; TRIM(C906) &amp; TRIM(D906)</f>
        <v>First ReviewBid TextMA</v>
      </c>
      <c r="K906" s="4" t="n">
        <f aca="false">IFERROR(I906*60,"")</f>
        <v>15.564</v>
      </c>
    </row>
    <row r="907" customFormat="false" ht="15" hidden="false" customHeight="false" outlineLevel="0" collapsed="false">
      <c r="A907" s="4" t="s">
        <v>15</v>
      </c>
      <c r="B907" s="4" t="s">
        <v>56</v>
      </c>
      <c r="C907" s="4" t="s">
        <v>69</v>
      </c>
      <c r="D907" s="4" t="s">
        <v>65</v>
      </c>
      <c r="E907" s="4" t="s">
        <v>63</v>
      </c>
      <c r="F907" s="4" t="s">
        <v>63</v>
      </c>
      <c r="G907" s="4" t="s">
        <v>806</v>
      </c>
      <c r="H907" s="4"/>
      <c r="I907" s="4" t="n">
        <v>2.3204</v>
      </c>
      <c r="J907" s="4" t="str">
        <f aca="false">TRIM(E907) &amp; TRIM(C907) &amp; TRIM(D907)</f>
        <v>First ReviewBid LinkEE</v>
      </c>
      <c r="K907" s="4" t="n">
        <f aca="false">IFERROR(I907*60,"")</f>
        <v>139.224</v>
      </c>
    </row>
    <row r="908" customFormat="false" ht="15" hidden="false" customHeight="false" outlineLevel="0" collapsed="false">
      <c r="A908" s="4" t="s">
        <v>15</v>
      </c>
      <c r="B908" s="4" t="s">
        <v>56</v>
      </c>
      <c r="C908" s="4" t="s">
        <v>57</v>
      </c>
      <c r="D908" s="4" t="s">
        <v>79</v>
      </c>
      <c r="E908" s="4" t="s">
        <v>66</v>
      </c>
      <c r="F908" s="4" t="s">
        <v>67</v>
      </c>
      <c r="G908" s="4" t="s">
        <v>664</v>
      </c>
      <c r="H908" s="4"/>
      <c r="I908" s="4" t="n">
        <v>1.9023</v>
      </c>
      <c r="J908" s="4" t="str">
        <f aca="false">TRIM(E908) &amp; TRIM(C908) &amp; TRIM(D908)</f>
        <v>Posted RecallBid Ad GroupZA</v>
      </c>
      <c r="K908" s="4" t="n">
        <f aca="false">IFERROR(I908*60,"")</f>
        <v>114.138</v>
      </c>
    </row>
    <row r="909" customFormat="false" ht="15" hidden="false" customHeight="false" outlineLevel="0" collapsed="false">
      <c r="A909" s="4" t="s">
        <v>15</v>
      </c>
      <c r="B909" s="4" t="s">
        <v>56</v>
      </c>
      <c r="C909" s="4" t="s">
        <v>57</v>
      </c>
      <c r="D909" s="4" t="s">
        <v>310</v>
      </c>
      <c r="E909" s="4" t="s">
        <v>66</v>
      </c>
      <c r="F909" s="4" t="s">
        <v>67</v>
      </c>
      <c r="G909" s="4" t="s">
        <v>665</v>
      </c>
      <c r="H909" s="4"/>
      <c r="I909" s="4" t="n">
        <v>1.7853</v>
      </c>
      <c r="J909" s="4" t="str">
        <f aca="false">TRIM(E909) &amp; TRIM(C909) &amp; TRIM(D909)</f>
        <v>Posted RecallBid Ad GroupUY</v>
      </c>
      <c r="K909" s="4" t="n">
        <f aca="false">IFERROR(I909*60,"")</f>
        <v>107.118</v>
      </c>
    </row>
    <row r="910" customFormat="false" ht="15" hidden="false" customHeight="false" outlineLevel="0" collapsed="false">
      <c r="A910" s="4" t="s">
        <v>15</v>
      </c>
      <c r="B910" s="4" t="s">
        <v>56</v>
      </c>
      <c r="C910" s="4" t="s">
        <v>72</v>
      </c>
      <c r="D910" s="4" t="s">
        <v>104</v>
      </c>
      <c r="E910" s="4" t="s">
        <v>63</v>
      </c>
      <c r="F910" s="4" t="s">
        <v>63</v>
      </c>
      <c r="G910" s="4" t="s">
        <v>807</v>
      </c>
      <c r="H910" s="4"/>
      <c r="I910" s="4" t="n">
        <v>0.4626</v>
      </c>
      <c r="J910" s="4" t="str">
        <f aca="false">TRIM(E910) &amp; TRIM(C910) &amp; TRIM(D910)</f>
        <v>First ReviewBid ImageIE</v>
      </c>
      <c r="K910" s="4" t="n">
        <f aca="false">IFERROR(I910*60,"")</f>
        <v>27.756</v>
      </c>
    </row>
    <row r="911" customFormat="false" ht="15" hidden="false" customHeight="false" outlineLevel="0" collapsed="false">
      <c r="A911" s="4" t="s">
        <v>15</v>
      </c>
      <c r="B911" s="4" t="s">
        <v>56</v>
      </c>
      <c r="C911" s="4" t="s">
        <v>75</v>
      </c>
      <c r="D911" s="4" t="s">
        <v>243</v>
      </c>
      <c r="E911" s="4" t="s">
        <v>66</v>
      </c>
      <c r="F911" s="4" t="s">
        <v>67</v>
      </c>
      <c r="G911" s="4" t="s">
        <v>259</v>
      </c>
      <c r="H911" s="4"/>
      <c r="I911" s="4" t="n">
        <v>2.0174</v>
      </c>
      <c r="J911" s="4" t="str">
        <f aca="false">TRIM(E911) &amp; TRIM(C911) &amp; TRIM(D911)</f>
        <v>Posted RecallBid Ecom Ads GroupBY</v>
      </c>
      <c r="K911" s="4" t="n">
        <f aca="false">IFERROR(I911*60,"")</f>
        <v>121.044</v>
      </c>
    </row>
    <row r="912" customFormat="false" ht="15" hidden="false" customHeight="false" outlineLevel="0" collapsed="false">
      <c r="A912" s="4" t="s">
        <v>15</v>
      </c>
      <c r="B912" s="4" t="s">
        <v>56</v>
      </c>
      <c r="C912" s="4" t="s">
        <v>61</v>
      </c>
      <c r="D912" s="4" t="s">
        <v>168</v>
      </c>
      <c r="E912" s="4" t="s">
        <v>63</v>
      </c>
      <c r="F912" s="4" t="s">
        <v>63</v>
      </c>
      <c r="G912" s="4" t="s">
        <v>808</v>
      </c>
      <c r="H912" s="4"/>
      <c r="I912" s="4" t="n">
        <v>1.184</v>
      </c>
      <c r="J912" s="4" t="str">
        <f aca="false">TRIM(E912) &amp; TRIM(C912) &amp; TRIM(D912)</f>
        <v>First ReviewBid Ecom URLKZ</v>
      </c>
      <c r="K912" s="4" t="n">
        <f aca="false">IFERROR(I912*60,"")</f>
        <v>71.04</v>
      </c>
    </row>
    <row r="913" customFormat="false" ht="15" hidden="false" customHeight="false" outlineLevel="0" collapsed="false">
      <c r="A913" s="4" t="s">
        <v>15</v>
      </c>
      <c r="B913" s="4" t="s">
        <v>56</v>
      </c>
      <c r="C913" s="4" t="s">
        <v>78</v>
      </c>
      <c r="D913" s="4" t="s">
        <v>415</v>
      </c>
      <c r="E913" s="4" t="s">
        <v>63</v>
      </c>
      <c r="F913" s="4" t="s">
        <v>63</v>
      </c>
      <c r="G913" s="4" t="s">
        <v>809</v>
      </c>
      <c r="H913" s="4"/>
      <c r="I913" s="4" t="n">
        <v>0.4102</v>
      </c>
      <c r="J913" s="4" t="str">
        <f aca="false">TRIM(E913) &amp; TRIM(C913) &amp; TRIM(D913)</f>
        <v>First ReviewBid VideoNG</v>
      </c>
      <c r="K913" s="4" t="n">
        <f aca="false">IFERROR(I913*60,"")</f>
        <v>24.612</v>
      </c>
    </row>
    <row r="914" customFormat="false" ht="15" hidden="false" customHeight="false" outlineLevel="0" collapsed="false">
      <c r="A914" s="4" t="s">
        <v>15</v>
      </c>
      <c r="B914" s="4" t="s">
        <v>56</v>
      </c>
      <c r="C914" s="4" t="s">
        <v>75</v>
      </c>
      <c r="D914" s="4" t="s">
        <v>235</v>
      </c>
      <c r="E914" s="4" t="s">
        <v>59</v>
      </c>
      <c r="F914" s="4" t="s">
        <v>59</v>
      </c>
      <c r="G914" s="4" t="s">
        <v>390</v>
      </c>
      <c r="H914" s="4"/>
      <c r="I914" s="4" t="n">
        <v>5.2172</v>
      </c>
      <c r="J914" s="4" t="str">
        <f aca="false">TRIM(E914) &amp; TRIM(C914) &amp; TRIM(D914)</f>
        <v>Re-reviewBid Ecom Ads GroupJP</v>
      </c>
      <c r="K914" s="4" t="n">
        <f aca="false">IFERROR(I914*60,"")</f>
        <v>313.032</v>
      </c>
    </row>
    <row r="915" customFormat="false" ht="15" hidden="false" customHeight="false" outlineLevel="0" collapsed="false">
      <c r="A915" s="4" t="s">
        <v>15</v>
      </c>
      <c r="B915" s="4" t="s">
        <v>56</v>
      </c>
      <c r="C915" s="4" t="s">
        <v>84</v>
      </c>
      <c r="D915" s="4" t="s">
        <v>159</v>
      </c>
      <c r="E915" s="4" t="s">
        <v>63</v>
      </c>
      <c r="F915" s="4" t="s">
        <v>63</v>
      </c>
      <c r="G915" s="4" t="s">
        <v>810</v>
      </c>
      <c r="H915" s="4"/>
      <c r="I915" s="4" t="n">
        <v>1.2178</v>
      </c>
      <c r="J915" s="4" t="str">
        <f aca="false">TRIM(E915) &amp; TRIM(C915) &amp; TRIM(D915)</f>
        <v>First ReviewBid Ecom VideoDO</v>
      </c>
      <c r="K915" s="4" t="n">
        <f aca="false">IFERROR(I915*60,"")</f>
        <v>73.068</v>
      </c>
    </row>
    <row r="916" customFormat="false" ht="15" hidden="false" customHeight="false" outlineLevel="0" collapsed="false">
      <c r="A916" s="4" t="s">
        <v>15</v>
      </c>
      <c r="B916" s="4" t="s">
        <v>56</v>
      </c>
      <c r="C916" s="4" t="s">
        <v>72</v>
      </c>
      <c r="D916" s="4" t="s">
        <v>62</v>
      </c>
      <c r="E916" s="4" t="s">
        <v>63</v>
      </c>
      <c r="F916" s="4" t="s">
        <v>63</v>
      </c>
      <c r="G916" s="4" t="s">
        <v>811</v>
      </c>
      <c r="H916" s="4"/>
      <c r="I916" s="4" t="n">
        <v>0.426</v>
      </c>
      <c r="J916" s="4" t="str">
        <f aca="false">TRIM(E916) &amp; TRIM(C916) &amp; TRIM(D916)</f>
        <v>First ReviewBid ImageCL</v>
      </c>
      <c r="K916" s="4" t="n">
        <f aca="false">IFERROR(I916*60,"")</f>
        <v>25.56</v>
      </c>
    </row>
    <row r="917" customFormat="false" ht="15" hidden="false" customHeight="false" outlineLevel="0" collapsed="false">
      <c r="A917" s="4" t="s">
        <v>15</v>
      </c>
      <c r="B917" s="4" t="s">
        <v>56</v>
      </c>
      <c r="C917" s="4" t="s">
        <v>75</v>
      </c>
      <c r="D917" s="4" t="s">
        <v>265</v>
      </c>
      <c r="E917" s="4" t="s">
        <v>63</v>
      </c>
      <c r="F917" s="4" t="s">
        <v>63</v>
      </c>
      <c r="G917" s="4" t="s">
        <v>661</v>
      </c>
      <c r="H917" s="4"/>
      <c r="I917" s="4" t="n">
        <v>3.8816</v>
      </c>
      <c r="J917" s="4" t="str">
        <f aca="false">TRIM(E917) &amp; TRIM(C917) &amp; TRIM(D917)</f>
        <v>First ReviewBid Ecom Ads GroupNO</v>
      </c>
      <c r="K917" s="4" t="n">
        <f aca="false">IFERROR(I917*60,"")</f>
        <v>232.896</v>
      </c>
    </row>
    <row r="918" customFormat="false" ht="15" hidden="false" customHeight="false" outlineLevel="0" collapsed="false">
      <c r="A918" s="4" t="s">
        <v>15</v>
      </c>
      <c r="B918" s="4" t="s">
        <v>56</v>
      </c>
      <c r="C918" s="4" t="s">
        <v>57</v>
      </c>
      <c r="D918" s="4" t="s">
        <v>166</v>
      </c>
      <c r="E918" s="4" t="s">
        <v>63</v>
      </c>
      <c r="F918" s="4" t="s">
        <v>63</v>
      </c>
      <c r="G918" s="4" t="s">
        <v>555</v>
      </c>
      <c r="H918" s="4"/>
      <c r="I918" s="4" t="n">
        <v>1.9165</v>
      </c>
      <c r="J918" s="4" t="str">
        <f aca="false">TRIM(E918) &amp; TRIM(C918) &amp; TRIM(D918)</f>
        <v>First ReviewBid Ad GroupCZ</v>
      </c>
      <c r="K918" s="4" t="n">
        <f aca="false">IFERROR(I918*60,"")</f>
        <v>114.99</v>
      </c>
    </row>
    <row r="919" customFormat="false" ht="15" hidden="false" customHeight="false" outlineLevel="0" collapsed="false">
      <c r="A919" s="4" t="s">
        <v>15</v>
      </c>
      <c r="B919" s="4" t="s">
        <v>56</v>
      </c>
      <c r="C919" s="4" t="s">
        <v>61</v>
      </c>
      <c r="D919" s="4" t="s">
        <v>251</v>
      </c>
      <c r="E919" s="4" t="s">
        <v>63</v>
      </c>
      <c r="F919" s="4" t="s">
        <v>63</v>
      </c>
      <c r="G919" s="4" t="s">
        <v>812</v>
      </c>
      <c r="H919" s="4"/>
      <c r="I919" s="4" t="n">
        <v>1.9396</v>
      </c>
      <c r="J919" s="4" t="str">
        <f aca="false">TRIM(E919) &amp; TRIM(C919) &amp; TRIM(D919)</f>
        <v>First ReviewBid Ecom URLRO</v>
      </c>
      <c r="K919" s="4" t="n">
        <f aca="false">IFERROR(I919*60,"")</f>
        <v>116.376</v>
      </c>
    </row>
    <row r="920" customFormat="false" ht="15" hidden="false" customHeight="false" outlineLevel="0" collapsed="false">
      <c r="A920" s="4" t="s">
        <v>15</v>
      </c>
      <c r="B920" s="4" t="s">
        <v>56</v>
      </c>
      <c r="C920" s="4" t="s">
        <v>57</v>
      </c>
      <c r="D920" s="4" t="s">
        <v>213</v>
      </c>
      <c r="E920" s="4" t="s">
        <v>63</v>
      </c>
      <c r="F920" s="4" t="s">
        <v>63</v>
      </c>
      <c r="G920" s="4" t="s">
        <v>498</v>
      </c>
      <c r="H920" s="4"/>
      <c r="I920" s="4" t="n">
        <v>1.5413</v>
      </c>
      <c r="J920" s="4" t="str">
        <f aca="false">TRIM(E920) &amp; TRIM(C920) &amp; TRIM(D920)</f>
        <v>First ReviewBid Ad GroupFR</v>
      </c>
      <c r="K920" s="4" t="n">
        <f aca="false">IFERROR(I920*60,"")</f>
        <v>92.478</v>
      </c>
    </row>
    <row r="921" customFormat="false" ht="15" hidden="false" customHeight="false" outlineLevel="0" collapsed="false">
      <c r="A921" s="4" t="s">
        <v>15</v>
      </c>
      <c r="B921" s="4" t="s">
        <v>56</v>
      </c>
      <c r="C921" s="4" t="s">
        <v>81</v>
      </c>
      <c r="D921" s="4" t="s">
        <v>255</v>
      </c>
      <c r="E921" s="4" t="s">
        <v>63</v>
      </c>
      <c r="F921" s="4" t="s">
        <v>63</v>
      </c>
      <c r="G921" s="4" t="s">
        <v>813</v>
      </c>
      <c r="H921" s="4"/>
      <c r="I921" s="4" t="n">
        <v>0.2445</v>
      </c>
      <c r="J921" s="4" t="str">
        <f aca="false">TRIM(E921) &amp; TRIM(C921) &amp; TRIM(D921)</f>
        <v>First ReviewBid TextNZ</v>
      </c>
      <c r="K921" s="4" t="n">
        <f aca="false">IFERROR(I921*60,"")</f>
        <v>14.67</v>
      </c>
    </row>
    <row r="922" customFormat="false" ht="15" hidden="false" customHeight="false" outlineLevel="0" collapsed="false">
      <c r="A922" s="4" t="s">
        <v>15</v>
      </c>
      <c r="B922" s="4" t="s">
        <v>56</v>
      </c>
      <c r="C922" s="4" t="s">
        <v>75</v>
      </c>
      <c r="D922" s="4" t="s">
        <v>178</v>
      </c>
      <c r="E922" s="4" t="s">
        <v>66</v>
      </c>
      <c r="F922" s="4" t="s">
        <v>67</v>
      </c>
      <c r="G922" s="4" t="s">
        <v>666</v>
      </c>
      <c r="H922" s="4"/>
      <c r="I922" s="4" t="n">
        <v>1.1293</v>
      </c>
      <c r="J922" s="4" t="str">
        <f aca="false">TRIM(E922) &amp; TRIM(C922) &amp; TRIM(D922)</f>
        <v>Posted RecallBid Ecom Ads GroupBO</v>
      </c>
      <c r="K922" s="4" t="n">
        <f aca="false">IFERROR(I922*60,"")</f>
        <v>67.758</v>
      </c>
    </row>
    <row r="923" customFormat="false" ht="15" hidden="false" customHeight="false" outlineLevel="0" collapsed="false">
      <c r="A923" s="4" t="s">
        <v>15</v>
      </c>
      <c r="B923" s="4" t="s">
        <v>56</v>
      </c>
      <c r="C923" s="4" t="s">
        <v>84</v>
      </c>
      <c r="D923" s="4" t="s">
        <v>121</v>
      </c>
      <c r="E923" s="4" t="s">
        <v>63</v>
      </c>
      <c r="F923" s="4" t="s">
        <v>63</v>
      </c>
      <c r="G923" s="4" t="s">
        <v>814</v>
      </c>
      <c r="H923" s="4"/>
      <c r="I923" s="4" t="n">
        <v>1.3731</v>
      </c>
      <c r="J923" s="4" t="str">
        <f aca="false">TRIM(E923) &amp; TRIM(C923) &amp; TRIM(D923)</f>
        <v>First ReviewBid Ecom VideoKR</v>
      </c>
      <c r="K923" s="4" t="n">
        <f aca="false">IFERROR(I923*60,"")</f>
        <v>82.386</v>
      </c>
    </row>
    <row r="924" customFormat="false" ht="15" hidden="false" customHeight="false" outlineLevel="0" collapsed="false">
      <c r="A924" s="4" t="s">
        <v>15</v>
      </c>
      <c r="B924" s="4" t="s">
        <v>56</v>
      </c>
      <c r="C924" s="4" t="s">
        <v>84</v>
      </c>
      <c r="D924" s="4" t="s">
        <v>243</v>
      </c>
      <c r="E924" s="4" t="s">
        <v>63</v>
      </c>
      <c r="F924" s="4" t="s">
        <v>63</v>
      </c>
      <c r="G924" s="4" t="s">
        <v>815</v>
      </c>
      <c r="H924" s="4"/>
      <c r="I924" s="4" t="n">
        <v>1.8283</v>
      </c>
      <c r="J924" s="4" t="str">
        <f aca="false">TRIM(E924) &amp; TRIM(C924) &amp; TRIM(D924)</f>
        <v>First ReviewBid Ecom VideoBY</v>
      </c>
      <c r="K924" s="4" t="n">
        <f aca="false">IFERROR(I924*60,"")</f>
        <v>109.698</v>
      </c>
    </row>
    <row r="925" customFormat="false" ht="15" hidden="false" customHeight="false" outlineLevel="0" collapsed="false">
      <c r="A925" s="4" t="s">
        <v>15</v>
      </c>
      <c r="B925" s="4" t="s">
        <v>56</v>
      </c>
      <c r="C925" s="4" t="s">
        <v>75</v>
      </c>
      <c r="D925" s="4" t="s">
        <v>299</v>
      </c>
      <c r="E925" s="4" t="s">
        <v>59</v>
      </c>
      <c r="F925" s="4" t="s">
        <v>59</v>
      </c>
      <c r="G925" s="4" t="s">
        <v>408</v>
      </c>
      <c r="H925" s="4"/>
      <c r="I925" s="4" t="n">
        <v>8.4417</v>
      </c>
      <c r="J925" s="4" t="str">
        <f aca="false">TRIM(E925) &amp; TRIM(C925) &amp; TRIM(D925)</f>
        <v>Re-reviewBid Ecom Ads GroupQA</v>
      </c>
      <c r="K925" s="4" t="n">
        <f aca="false">IFERROR(I925*60,"")</f>
        <v>506.502</v>
      </c>
    </row>
    <row r="926" customFormat="false" ht="15" hidden="false" customHeight="false" outlineLevel="0" collapsed="false">
      <c r="A926" s="4" t="s">
        <v>15</v>
      </c>
      <c r="B926" s="4" t="s">
        <v>56</v>
      </c>
      <c r="C926" s="4" t="s">
        <v>75</v>
      </c>
      <c r="D926" s="4" t="s">
        <v>246</v>
      </c>
      <c r="E926" s="4" t="s">
        <v>59</v>
      </c>
      <c r="F926" s="4" t="s">
        <v>59</v>
      </c>
      <c r="G926" s="4" t="s">
        <v>475</v>
      </c>
      <c r="H926" s="4"/>
      <c r="I926" s="4" t="n">
        <v>3.041</v>
      </c>
      <c r="J926" s="4" t="str">
        <f aca="false">TRIM(E926) &amp; TRIM(C926) &amp; TRIM(D926)</f>
        <v>Re-reviewBid Ecom Ads GroupLV</v>
      </c>
      <c r="K926" s="4" t="n">
        <f aca="false">IFERROR(I926*60,"")</f>
        <v>182.46</v>
      </c>
    </row>
    <row r="927" customFormat="false" ht="15" hidden="false" customHeight="false" outlineLevel="0" collapsed="false">
      <c r="A927" s="4" t="s">
        <v>15</v>
      </c>
      <c r="B927" s="4" t="s">
        <v>56</v>
      </c>
      <c r="C927" s="4" t="s">
        <v>93</v>
      </c>
      <c r="D927" s="4" t="s">
        <v>70</v>
      </c>
      <c r="E927" s="4" t="s">
        <v>63</v>
      </c>
      <c r="F927" s="4" t="s">
        <v>63</v>
      </c>
      <c r="G927" s="4" t="s">
        <v>816</v>
      </c>
      <c r="H927" s="4"/>
      <c r="I927" s="4" t="n">
        <v>0.6156</v>
      </c>
      <c r="J927" s="4" t="str">
        <f aca="false">TRIM(E927) &amp; TRIM(C927) &amp; TRIM(D927)</f>
        <v>First ReviewBid AudioBE</v>
      </c>
      <c r="K927" s="4" t="n">
        <f aca="false">IFERROR(I927*60,"")</f>
        <v>36.936</v>
      </c>
    </row>
    <row r="928" customFormat="false" ht="15" hidden="false" customHeight="false" outlineLevel="0" collapsed="false">
      <c r="A928" s="4" t="s">
        <v>15</v>
      </c>
      <c r="B928" s="4" t="s">
        <v>56</v>
      </c>
      <c r="C928" s="4" t="s">
        <v>57</v>
      </c>
      <c r="D928" s="4" t="s">
        <v>157</v>
      </c>
      <c r="E928" s="4" t="s">
        <v>63</v>
      </c>
      <c r="F928" s="4" t="s">
        <v>63</v>
      </c>
      <c r="G928" s="4" t="s">
        <v>158</v>
      </c>
      <c r="H928" s="4"/>
      <c r="I928" s="4" t="n">
        <v>1.8661</v>
      </c>
      <c r="J928" s="4" t="str">
        <f aca="false">TRIM(E928) &amp; TRIM(C928) &amp; TRIM(D928)</f>
        <v>First ReviewBid Ad GroupSA</v>
      </c>
      <c r="K928" s="4" t="n">
        <f aca="false">IFERROR(I928*60,"")</f>
        <v>111.966</v>
      </c>
    </row>
    <row r="929" customFormat="false" ht="15" hidden="false" customHeight="false" outlineLevel="0" collapsed="false">
      <c r="A929" s="4" t="s">
        <v>15</v>
      </c>
      <c r="B929" s="4" t="s">
        <v>56</v>
      </c>
      <c r="C929" s="4" t="s">
        <v>75</v>
      </c>
      <c r="D929" s="4" t="s">
        <v>104</v>
      </c>
      <c r="E929" s="4" t="s">
        <v>59</v>
      </c>
      <c r="F929" s="4" t="s">
        <v>59</v>
      </c>
      <c r="G929" s="4" t="s">
        <v>588</v>
      </c>
      <c r="H929" s="4"/>
      <c r="I929" s="4" t="n">
        <v>5.4842</v>
      </c>
      <c r="J929" s="4" t="str">
        <f aca="false">TRIM(E929) &amp; TRIM(C929) &amp; TRIM(D929)</f>
        <v>Re-reviewBid Ecom Ads GroupIE</v>
      </c>
      <c r="K929" s="4" t="n">
        <f aca="false">IFERROR(I929*60,"")</f>
        <v>329.052</v>
      </c>
    </row>
    <row r="930" customFormat="false" ht="15" hidden="false" customHeight="false" outlineLevel="0" collapsed="false">
      <c r="A930" s="4" t="s">
        <v>15</v>
      </c>
      <c r="B930" s="4" t="s">
        <v>56</v>
      </c>
      <c r="C930" s="4" t="s">
        <v>81</v>
      </c>
      <c r="D930" s="4" t="s">
        <v>310</v>
      </c>
      <c r="E930" s="4" t="s">
        <v>63</v>
      </c>
      <c r="F930" s="4" t="s">
        <v>63</v>
      </c>
      <c r="G930" s="4" t="s">
        <v>817</v>
      </c>
      <c r="H930" s="4"/>
      <c r="I930" s="4" t="n">
        <v>0.5367</v>
      </c>
      <c r="J930" s="4" t="str">
        <f aca="false">TRIM(E930) &amp; TRIM(C930) &amp; TRIM(D930)</f>
        <v>First ReviewBid TextUY</v>
      </c>
      <c r="K930" s="4" t="n">
        <f aca="false">IFERROR(I930*60,"")</f>
        <v>32.202</v>
      </c>
    </row>
    <row r="931" customFormat="false" ht="15" hidden="false" customHeight="false" outlineLevel="0" collapsed="false">
      <c r="A931" s="4" t="s">
        <v>15</v>
      </c>
      <c r="B931" s="4" t="s">
        <v>56</v>
      </c>
      <c r="C931" s="4" t="s">
        <v>81</v>
      </c>
      <c r="D931" s="4" t="s">
        <v>100</v>
      </c>
      <c r="E931" s="4" t="s">
        <v>63</v>
      </c>
      <c r="F931" s="4" t="s">
        <v>63</v>
      </c>
      <c r="G931" s="4" t="s">
        <v>818</v>
      </c>
      <c r="H931" s="4"/>
      <c r="I931" s="4" t="n">
        <v>0.3061</v>
      </c>
      <c r="J931" s="4" t="str">
        <f aca="false">TRIM(E931) &amp; TRIM(C931) &amp; TRIM(D931)</f>
        <v>First ReviewBid TextAU</v>
      </c>
      <c r="K931" s="4" t="n">
        <f aca="false">IFERROR(I931*60,"")</f>
        <v>18.366</v>
      </c>
    </row>
    <row r="932" customFormat="false" ht="15" hidden="false" customHeight="false" outlineLevel="0" collapsed="false">
      <c r="A932" s="4" t="s">
        <v>15</v>
      </c>
      <c r="B932" s="4" t="s">
        <v>56</v>
      </c>
      <c r="C932" s="4" t="s">
        <v>78</v>
      </c>
      <c r="D932" s="4" t="s">
        <v>210</v>
      </c>
      <c r="E932" s="4" t="s">
        <v>63</v>
      </c>
      <c r="F932" s="4" t="s">
        <v>63</v>
      </c>
      <c r="G932" s="4" t="s">
        <v>819</v>
      </c>
      <c r="H932" s="4"/>
      <c r="I932" s="4" t="n">
        <v>1.9863</v>
      </c>
      <c r="J932" s="4" t="str">
        <f aca="false">TRIM(E932) &amp; TRIM(C932) &amp; TRIM(D932)</f>
        <v>First ReviewBid VideoPK</v>
      </c>
      <c r="K932" s="4" t="n">
        <f aca="false">IFERROR(I932*60,"")</f>
        <v>119.178</v>
      </c>
    </row>
    <row r="933" customFormat="false" ht="15" hidden="false" customHeight="false" outlineLevel="0" collapsed="false">
      <c r="A933" s="4" t="s">
        <v>15</v>
      </c>
      <c r="B933" s="4" t="s">
        <v>56</v>
      </c>
      <c r="C933" s="4" t="s">
        <v>75</v>
      </c>
      <c r="D933" s="4" t="s">
        <v>79</v>
      </c>
      <c r="E933" s="4" t="s">
        <v>59</v>
      </c>
      <c r="F933" s="4" t="s">
        <v>59</v>
      </c>
      <c r="G933" s="4" t="s">
        <v>587</v>
      </c>
      <c r="H933" s="4"/>
      <c r="I933" s="4" t="n">
        <v>9.6223</v>
      </c>
      <c r="J933" s="4" t="str">
        <f aca="false">TRIM(E933) &amp; TRIM(C933) &amp; TRIM(D933)</f>
        <v>Re-reviewBid Ecom Ads GroupZA</v>
      </c>
      <c r="K933" s="4" t="n">
        <f aca="false">IFERROR(I933*60,"")</f>
        <v>577.338</v>
      </c>
    </row>
    <row r="934" customFormat="false" ht="15" hidden="false" customHeight="false" outlineLevel="0" collapsed="false">
      <c r="A934" s="4" t="s">
        <v>15</v>
      </c>
      <c r="B934" s="4" t="s">
        <v>56</v>
      </c>
      <c r="C934" s="4" t="s">
        <v>57</v>
      </c>
      <c r="D934" s="4" t="s">
        <v>216</v>
      </c>
      <c r="E934" s="4" t="s">
        <v>63</v>
      </c>
      <c r="F934" s="4" t="s">
        <v>63</v>
      </c>
      <c r="G934" s="4" t="s">
        <v>767</v>
      </c>
      <c r="H934" s="4"/>
      <c r="I934" s="4" t="n">
        <v>1.5875</v>
      </c>
      <c r="J934" s="4" t="str">
        <f aca="false">TRIM(E934) &amp; TRIM(C934) &amp; TRIM(D934)</f>
        <v>First ReviewBid Ad GroupPY</v>
      </c>
      <c r="K934" s="4" t="n">
        <f aca="false">IFERROR(I934*60,"")</f>
        <v>95.25</v>
      </c>
    </row>
    <row r="935" customFormat="false" ht="15" hidden="false" customHeight="false" outlineLevel="0" collapsed="false">
      <c r="A935" s="4" t="s">
        <v>15</v>
      </c>
      <c r="B935" s="4" t="s">
        <v>56</v>
      </c>
      <c r="C935" s="4" t="s">
        <v>72</v>
      </c>
      <c r="D935" s="4" t="s">
        <v>243</v>
      </c>
      <c r="E935" s="4" t="s">
        <v>63</v>
      </c>
      <c r="F935" s="4" t="s">
        <v>63</v>
      </c>
      <c r="G935" s="4" t="s">
        <v>820</v>
      </c>
      <c r="H935" s="4"/>
      <c r="I935" s="4" t="n">
        <v>0.541</v>
      </c>
      <c r="J935" s="4" t="str">
        <f aca="false">TRIM(E935) &amp; TRIM(C935) &amp; TRIM(D935)</f>
        <v>First ReviewBid ImageBY</v>
      </c>
      <c r="K935" s="4" t="n">
        <f aca="false">IFERROR(I935*60,"")</f>
        <v>32.46</v>
      </c>
    </row>
    <row r="936" customFormat="false" ht="15" hidden="false" customHeight="false" outlineLevel="0" collapsed="false">
      <c r="A936" s="4" t="s">
        <v>15</v>
      </c>
      <c r="B936" s="4" t="s">
        <v>56</v>
      </c>
      <c r="C936" s="4" t="s">
        <v>69</v>
      </c>
      <c r="D936" s="4" t="s">
        <v>141</v>
      </c>
      <c r="E936" s="4" t="s">
        <v>63</v>
      </c>
      <c r="F936" s="4" t="s">
        <v>63</v>
      </c>
      <c r="G936" s="4" t="s">
        <v>821</v>
      </c>
      <c r="H936" s="4"/>
      <c r="I936" s="4" t="n">
        <v>0.9646</v>
      </c>
      <c r="J936" s="4" t="str">
        <f aca="false">TRIM(E936) &amp; TRIM(C936) &amp; TRIM(D936)</f>
        <v>First ReviewBid LinkAZ</v>
      </c>
      <c r="K936" s="4" t="n">
        <f aca="false">IFERROR(I936*60,"")</f>
        <v>57.876</v>
      </c>
    </row>
    <row r="937" customFormat="false" ht="15" hidden="false" customHeight="false" outlineLevel="0" collapsed="false">
      <c r="A937" s="4" t="s">
        <v>15</v>
      </c>
      <c r="B937" s="4" t="s">
        <v>56</v>
      </c>
      <c r="C937" s="4" t="s">
        <v>75</v>
      </c>
      <c r="D937" s="4" t="s">
        <v>152</v>
      </c>
      <c r="E937" s="4" t="s">
        <v>59</v>
      </c>
      <c r="F937" s="4" t="s">
        <v>59</v>
      </c>
      <c r="G937" s="4" t="s">
        <v>437</v>
      </c>
      <c r="H937" s="4"/>
      <c r="I937" s="4" t="n">
        <v>4.4834</v>
      </c>
      <c r="J937" s="4" t="str">
        <f aca="false">TRIM(E937) &amp; TRIM(C937) &amp; TRIM(D937)</f>
        <v>Re-reviewBid Ecom Ads GroupCY</v>
      </c>
      <c r="K937" s="4" t="n">
        <f aca="false">IFERROR(I937*60,"")</f>
        <v>269.004</v>
      </c>
    </row>
    <row r="938" customFormat="false" ht="15" hidden="false" customHeight="false" outlineLevel="0" collapsed="false">
      <c r="A938" s="4" t="s">
        <v>15</v>
      </c>
      <c r="B938" s="4" t="s">
        <v>56</v>
      </c>
      <c r="C938" s="4" t="s">
        <v>61</v>
      </c>
      <c r="D938" s="4" t="s">
        <v>97</v>
      </c>
      <c r="E938" s="4" t="s">
        <v>63</v>
      </c>
      <c r="F938" s="4" t="s">
        <v>63</v>
      </c>
      <c r="G938" s="4" t="s">
        <v>822</v>
      </c>
      <c r="H938" s="4"/>
      <c r="I938" s="4" t="n">
        <v>1.2621</v>
      </c>
      <c r="J938" s="4" t="str">
        <f aca="false">TRIM(E938) &amp; TRIM(C938) &amp; TRIM(D938)</f>
        <v>First ReviewBid Ecom URLBR</v>
      </c>
      <c r="K938" s="4" t="n">
        <f aca="false">IFERROR(I938*60,"")</f>
        <v>75.726</v>
      </c>
    </row>
    <row r="939" customFormat="false" ht="15" hidden="false" customHeight="false" outlineLevel="0" collapsed="false">
      <c r="A939" s="4" t="s">
        <v>15</v>
      </c>
      <c r="B939" s="4" t="s">
        <v>56</v>
      </c>
      <c r="C939" s="4" t="s">
        <v>78</v>
      </c>
      <c r="D939" s="4" t="s">
        <v>113</v>
      </c>
      <c r="E939" s="4" t="s">
        <v>63</v>
      </c>
      <c r="F939" s="4" t="s">
        <v>63</v>
      </c>
      <c r="G939" s="4" t="s">
        <v>823</v>
      </c>
      <c r="H939" s="4"/>
      <c r="I939" s="4" t="n">
        <v>1.9454</v>
      </c>
      <c r="J939" s="4" t="str">
        <f aca="false">TRIM(E939) &amp; TRIM(C939) &amp; TRIM(D939)</f>
        <v>First ReviewBid VideoNL</v>
      </c>
      <c r="K939" s="4" t="n">
        <f aca="false">IFERROR(I939*60,"")</f>
        <v>116.724</v>
      </c>
    </row>
    <row r="940" customFormat="false" ht="15" hidden="false" customHeight="false" outlineLevel="0" collapsed="false">
      <c r="A940" s="4" t="s">
        <v>15</v>
      </c>
      <c r="B940" s="4" t="s">
        <v>56</v>
      </c>
      <c r="C940" s="4" t="s">
        <v>57</v>
      </c>
      <c r="D940" s="4" t="s">
        <v>58</v>
      </c>
      <c r="E940" s="4" t="s">
        <v>63</v>
      </c>
      <c r="F940" s="4" t="s">
        <v>63</v>
      </c>
      <c r="G940" s="4" t="s">
        <v>60</v>
      </c>
      <c r="H940" s="4"/>
      <c r="I940" s="4" t="n">
        <v>1.7386</v>
      </c>
      <c r="J940" s="4" t="str">
        <f aca="false">TRIM(E940) &amp; TRIM(C940) &amp; TRIM(D940)</f>
        <v>First ReviewBid Ad GroupSG</v>
      </c>
      <c r="K940" s="4" t="n">
        <f aca="false">IFERROR(I940*60,"")</f>
        <v>104.316</v>
      </c>
    </row>
    <row r="941" customFormat="false" ht="15" hidden="false" customHeight="false" outlineLevel="0" collapsed="false">
      <c r="A941" s="4" t="s">
        <v>15</v>
      </c>
      <c r="B941" s="4" t="s">
        <v>56</v>
      </c>
      <c r="C941" s="4" t="s">
        <v>93</v>
      </c>
      <c r="D941" s="4" t="s">
        <v>97</v>
      </c>
      <c r="E941" s="4" t="s">
        <v>63</v>
      </c>
      <c r="F941" s="4" t="s">
        <v>63</v>
      </c>
      <c r="G941" s="4" t="s">
        <v>824</v>
      </c>
      <c r="H941" s="4"/>
      <c r="I941" s="4" t="n">
        <v>0.7682</v>
      </c>
      <c r="J941" s="4" t="str">
        <f aca="false">TRIM(E941) &amp; TRIM(C941) &amp; TRIM(D941)</f>
        <v>First ReviewBid AudioBR</v>
      </c>
      <c r="K941" s="4" t="n">
        <f aca="false">IFERROR(I941*60,"")</f>
        <v>46.092</v>
      </c>
    </row>
    <row r="942" customFormat="false" ht="15" hidden="false" customHeight="false" outlineLevel="0" collapsed="false">
      <c r="A942" s="4" t="s">
        <v>15</v>
      </c>
      <c r="B942" s="4" t="s">
        <v>56</v>
      </c>
      <c r="C942" s="4" t="s">
        <v>57</v>
      </c>
      <c r="D942" s="4" t="s">
        <v>262</v>
      </c>
      <c r="E942" s="4" t="s">
        <v>66</v>
      </c>
      <c r="F942" s="4" t="s">
        <v>67</v>
      </c>
      <c r="G942" s="4" t="s">
        <v>598</v>
      </c>
      <c r="H942" s="4"/>
      <c r="I942" s="4" t="n">
        <v>1.9531</v>
      </c>
      <c r="J942" s="4" t="str">
        <f aca="false">TRIM(E942) &amp; TRIM(C942) &amp; TRIM(D942)</f>
        <v>Posted RecallBid Ad GroupSI</v>
      </c>
      <c r="K942" s="4" t="n">
        <f aca="false">IFERROR(I942*60,"")</f>
        <v>117.186</v>
      </c>
    </row>
    <row r="943" customFormat="false" ht="15" hidden="false" customHeight="false" outlineLevel="0" collapsed="false">
      <c r="A943" s="4" t="s">
        <v>15</v>
      </c>
      <c r="B943" s="4" t="s">
        <v>56</v>
      </c>
      <c r="C943" s="4" t="s">
        <v>78</v>
      </c>
      <c r="D943" s="4" t="s">
        <v>139</v>
      </c>
      <c r="E943" s="4" t="s">
        <v>63</v>
      </c>
      <c r="F943" s="4" t="s">
        <v>63</v>
      </c>
      <c r="G943" s="4" t="s">
        <v>825</v>
      </c>
      <c r="H943" s="4"/>
      <c r="I943" s="4" t="n">
        <v>0.7581</v>
      </c>
      <c r="J943" s="4" t="str">
        <f aca="false">TRIM(E943) &amp; TRIM(C943) &amp; TRIM(D943)</f>
        <v>First ReviewBid VideoEG</v>
      </c>
      <c r="K943" s="4" t="n">
        <f aca="false">IFERROR(I943*60,"")</f>
        <v>45.486</v>
      </c>
    </row>
    <row r="944" customFormat="false" ht="15" hidden="false" customHeight="false" outlineLevel="0" collapsed="false">
      <c r="A944" s="4" t="s">
        <v>15</v>
      </c>
      <c r="B944" s="4" t="s">
        <v>56</v>
      </c>
      <c r="C944" s="4" t="s">
        <v>61</v>
      </c>
      <c r="D944" s="4" t="s">
        <v>190</v>
      </c>
      <c r="E944" s="4" t="s">
        <v>63</v>
      </c>
      <c r="F944" s="4" t="s">
        <v>63</v>
      </c>
      <c r="G944" s="4" t="s">
        <v>826</v>
      </c>
      <c r="H944" s="4"/>
      <c r="I944" s="4" t="n">
        <v>0.8761</v>
      </c>
      <c r="J944" s="4" t="str">
        <f aca="false">TRIM(E944) &amp; TRIM(C944) &amp; TRIM(D944)</f>
        <v>First ReviewBid Ecom URLPH</v>
      </c>
      <c r="K944" s="4" t="n">
        <f aca="false">IFERROR(I944*60,"")</f>
        <v>52.566</v>
      </c>
    </row>
    <row r="945" customFormat="false" ht="15" hidden="false" customHeight="false" outlineLevel="0" collapsed="false">
      <c r="A945" s="4" t="s">
        <v>15</v>
      </c>
      <c r="B945" s="4" t="s">
        <v>56</v>
      </c>
      <c r="C945" s="4" t="s">
        <v>61</v>
      </c>
      <c r="D945" s="4" t="s">
        <v>208</v>
      </c>
      <c r="E945" s="4" t="s">
        <v>63</v>
      </c>
      <c r="F945" s="4" t="s">
        <v>63</v>
      </c>
      <c r="G945" s="4" t="s">
        <v>827</v>
      </c>
      <c r="H945" s="4"/>
      <c r="I945" s="4" t="n">
        <v>1.8029</v>
      </c>
      <c r="J945" s="4" t="str">
        <f aca="false">TRIM(E945) &amp; TRIM(C945) &amp; TRIM(D945)</f>
        <v>First ReviewBid Ecom URLCO</v>
      </c>
      <c r="K945" s="4" t="n">
        <f aca="false">IFERROR(I945*60,"")</f>
        <v>108.174</v>
      </c>
    </row>
    <row r="946" customFormat="false" ht="15" hidden="false" customHeight="false" outlineLevel="0" collapsed="false">
      <c r="A946" s="4" t="s">
        <v>15</v>
      </c>
      <c r="B946" s="4" t="s">
        <v>56</v>
      </c>
      <c r="C946" s="4" t="s">
        <v>57</v>
      </c>
      <c r="D946" s="4" t="s">
        <v>111</v>
      </c>
      <c r="E946" s="4" t="s">
        <v>63</v>
      </c>
      <c r="F946" s="4" t="s">
        <v>63</v>
      </c>
      <c r="G946" s="4" t="s">
        <v>264</v>
      </c>
      <c r="H946" s="4"/>
      <c r="I946" s="4" t="n">
        <v>2.3172</v>
      </c>
      <c r="J946" s="4" t="str">
        <f aca="false">TRIM(E946) &amp; TRIM(C946) &amp; TRIM(D946)</f>
        <v>First ReviewBid Ad GroupUS</v>
      </c>
      <c r="K946" s="4" t="n">
        <f aca="false">IFERROR(I946*60,"")</f>
        <v>139.032</v>
      </c>
    </row>
    <row r="947" customFormat="false" ht="15" hidden="false" customHeight="false" outlineLevel="0" collapsed="false">
      <c r="A947" s="4" t="s">
        <v>15</v>
      </c>
      <c r="B947" s="4" t="s">
        <v>56</v>
      </c>
      <c r="C947" s="4" t="s">
        <v>57</v>
      </c>
      <c r="D947" s="4" t="s">
        <v>458</v>
      </c>
      <c r="E947" s="4" t="s">
        <v>66</v>
      </c>
      <c r="F947" s="4" t="s">
        <v>67</v>
      </c>
      <c r="G947" s="4" t="s">
        <v>459</v>
      </c>
      <c r="H947" s="4"/>
      <c r="I947" s="4" t="n">
        <v>2.5576</v>
      </c>
      <c r="J947" s="4" t="str">
        <f aca="false">TRIM(E947) &amp; TRIM(C947) &amp; TRIM(D947)</f>
        <v>Posted RecallBid Ad GroupTW</v>
      </c>
      <c r="K947" s="4" t="n">
        <f aca="false">IFERROR(I947*60,"")</f>
        <v>153.456</v>
      </c>
    </row>
    <row r="948" customFormat="false" ht="15" hidden="false" customHeight="false" outlineLevel="0" collapsed="false">
      <c r="A948" s="4" t="s">
        <v>15</v>
      </c>
      <c r="B948" s="4" t="s">
        <v>56</v>
      </c>
      <c r="C948" s="4" t="s">
        <v>81</v>
      </c>
      <c r="D948" s="4" t="s">
        <v>289</v>
      </c>
      <c r="E948" s="4" t="s">
        <v>63</v>
      </c>
      <c r="F948" s="4" t="s">
        <v>63</v>
      </c>
      <c r="G948" s="4" t="s">
        <v>828</v>
      </c>
      <c r="H948" s="4"/>
      <c r="I948" s="4" t="n">
        <v>0.7143</v>
      </c>
      <c r="J948" s="4" t="str">
        <f aca="false">TRIM(E948) &amp; TRIM(C948) &amp; TRIM(D948)</f>
        <v>First ReviewBid TextLK</v>
      </c>
      <c r="K948" s="4" t="n">
        <f aca="false">IFERROR(I948*60,"")</f>
        <v>42.858</v>
      </c>
    </row>
    <row r="949" customFormat="false" ht="15" hidden="false" customHeight="false" outlineLevel="0" collapsed="false">
      <c r="A949" s="4" t="s">
        <v>15</v>
      </c>
      <c r="B949" s="4" t="s">
        <v>56</v>
      </c>
      <c r="C949" s="4" t="s">
        <v>75</v>
      </c>
      <c r="D949" s="4" t="s">
        <v>265</v>
      </c>
      <c r="E949" s="4" t="s">
        <v>59</v>
      </c>
      <c r="F949" s="4" t="s">
        <v>59</v>
      </c>
      <c r="G949" s="4" t="s">
        <v>661</v>
      </c>
      <c r="H949" s="4"/>
      <c r="I949" s="4" t="n">
        <v>5.9392</v>
      </c>
      <c r="J949" s="4" t="str">
        <f aca="false">TRIM(E949) &amp; TRIM(C949) &amp; TRIM(D949)</f>
        <v>Re-reviewBid Ecom Ads GroupNO</v>
      </c>
      <c r="K949" s="4" t="n">
        <f aca="false">IFERROR(I949*60,"")</f>
        <v>356.352</v>
      </c>
    </row>
    <row r="950" customFormat="false" ht="15" hidden="false" customHeight="false" outlineLevel="0" collapsed="false">
      <c r="A950" s="4" t="s">
        <v>15</v>
      </c>
      <c r="B950" s="4" t="s">
        <v>56</v>
      </c>
      <c r="C950" s="4" t="s">
        <v>57</v>
      </c>
      <c r="D950" s="4" t="s">
        <v>235</v>
      </c>
      <c r="E950" s="4" t="s">
        <v>63</v>
      </c>
      <c r="F950" s="4" t="s">
        <v>63</v>
      </c>
      <c r="G950" s="4" t="s">
        <v>279</v>
      </c>
      <c r="H950" s="4"/>
      <c r="I950" s="4" t="n">
        <v>2.3419</v>
      </c>
      <c r="J950" s="4" t="str">
        <f aca="false">TRIM(E950) &amp; TRIM(C950) &amp; TRIM(D950)</f>
        <v>First ReviewBid Ad GroupJP</v>
      </c>
      <c r="K950" s="4" t="n">
        <f aca="false">IFERROR(I950*60,"")</f>
        <v>140.514</v>
      </c>
    </row>
    <row r="951" customFormat="false" ht="15" hidden="false" customHeight="false" outlineLevel="0" collapsed="false">
      <c r="A951" s="4" t="s">
        <v>15</v>
      </c>
      <c r="B951" s="4" t="s">
        <v>56</v>
      </c>
      <c r="C951" s="4" t="s">
        <v>72</v>
      </c>
      <c r="D951" s="4" t="s">
        <v>58</v>
      </c>
      <c r="E951" s="4" t="s">
        <v>63</v>
      </c>
      <c r="F951" s="4" t="s">
        <v>63</v>
      </c>
      <c r="G951" s="4" t="s">
        <v>829</v>
      </c>
      <c r="H951" s="4"/>
      <c r="I951" s="4" t="n">
        <v>0.252</v>
      </c>
      <c r="J951" s="4" t="str">
        <f aca="false">TRIM(E951) &amp; TRIM(C951) &amp; TRIM(D951)</f>
        <v>First ReviewBid ImageSG</v>
      </c>
      <c r="K951" s="4" t="n">
        <f aca="false">IFERROR(I951*60,"")</f>
        <v>15.12</v>
      </c>
    </row>
    <row r="952" customFormat="false" ht="15" hidden="false" customHeight="false" outlineLevel="0" collapsed="false">
      <c r="A952" s="4" t="s">
        <v>15</v>
      </c>
      <c r="B952" s="4" t="s">
        <v>56</v>
      </c>
      <c r="C952" s="4" t="s">
        <v>93</v>
      </c>
      <c r="D952" s="4" t="s">
        <v>195</v>
      </c>
      <c r="E952" s="4" t="s">
        <v>63</v>
      </c>
      <c r="F952" s="4" t="s">
        <v>63</v>
      </c>
      <c r="G952" s="4" t="s">
        <v>830</v>
      </c>
      <c r="H952" s="4"/>
      <c r="I952" s="4" t="n">
        <v>1.5712</v>
      </c>
      <c r="J952" s="4" t="str">
        <f aca="false">TRIM(E952) &amp; TRIM(C952) &amp; TRIM(D952)</f>
        <v>First ReviewBid AudioIT</v>
      </c>
      <c r="K952" s="4" t="n">
        <f aca="false">IFERROR(I952*60,"")</f>
        <v>94.272</v>
      </c>
    </row>
    <row r="953" customFormat="false" ht="15" hidden="false" customHeight="false" outlineLevel="0" collapsed="false">
      <c r="A953" s="4" t="s">
        <v>15</v>
      </c>
      <c r="B953" s="4" t="s">
        <v>56</v>
      </c>
      <c r="C953" s="4" t="s">
        <v>57</v>
      </c>
      <c r="D953" s="4" t="s">
        <v>154</v>
      </c>
      <c r="E953" s="4" t="s">
        <v>66</v>
      </c>
      <c r="F953" s="4" t="s">
        <v>67</v>
      </c>
      <c r="G953" s="4" t="s">
        <v>572</v>
      </c>
      <c r="H953" s="4"/>
      <c r="I953" s="4" t="n">
        <v>2.3853</v>
      </c>
      <c r="J953" s="4" t="str">
        <f aca="false">TRIM(E953) &amp; TRIM(C953) &amp; TRIM(D953)</f>
        <v>Posted RecallBid Ad GroupES</v>
      </c>
      <c r="K953" s="4" t="n">
        <f aca="false">IFERROR(I953*60,"")</f>
        <v>143.118</v>
      </c>
    </row>
    <row r="954" customFormat="false" ht="15" hidden="false" customHeight="false" outlineLevel="0" collapsed="false">
      <c r="A954" s="4" t="s">
        <v>15</v>
      </c>
      <c r="B954" s="4" t="s">
        <v>56</v>
      </c>
      <c r="C954" s="4" t="s">
        <v>72</v>
      </c>
      <c r="D954" s="4" t="s">
        <v>159</v>
      </c>
      <c r="E954" s="4" t="s">
        <v>63</v>
      </c>
      <c r="F954" s="4" t="s">
        <v>63</v>
      </c>
      <c r="G954" s="4" t="s">
        <v>831</v>
      </c>
      <c r="H954" s="4"/>
      <c r="I954" s="4" t="n">
        <v>0.4575</v>
      </c>
      <c r="J954" s="4" t="str">
        <f aca="false">TRIM(E954) &amp; TRIM(C954) &amp; TRIM(D954)</f>
        <v>First ReviewBid ImageDO</v>
      </c>
      <c r="K954" s="4" t="n">
        <f aca="false">IFERROR(I954*60,"")</f>
        <v>27.45</v>
      </c>
    </row>
    <row r="955" customFormat="false" ht="15" hidden="false" customHeight="false" outlineLevel="0" collapsed="false">
      <c r="A955" s="4" t="s">
        <v>15</v>
      </c>
      <c r="B955" s="4" t="s">
        <v>56</v>
      </c>
      <c r="C955" s="4" t="s">
        <v>75</v>
      </c>
      <c r="D955" s="4" t="s">
        <v>102</v>
      </c>
      <c r="E955" s="4" t="s">
        <v>59</v>
      </c>
      <c r="F955" s="4" t="s">
        <v>59</v>
      </c>
      <c r="G955" s="4" t="s">
        <v>508</v>
      </c>
      <c r="H955" s="4"/>
      <c r="I955" s="4" t="n">
        <v>4.2617</v>
      </c>
      <c r="J955" s="4" t="str">
        <f aca="false">TRIM(E955) &amp; TRIM(C955) &amp; TRIM(D955)</f>
        <v>Re-reviewBid Ecom Ads GroupSE</v>
      </c>
      <c r="K955" s="4" t="n">
        <f aca="false">IFERROR(I955*60,"")</f>
        <v>255.702</v>
      </c>
    </row>
    <row r="956" customFormat="false" ht="15" hidden="false" customHeight="false" outlineLevel="0" collapsed="false">
      <c r="A956" s="4" t="s">
        <v>15</v>
      </c>
      <c r="B956" s="4" t="s">
        <v>56</v>
      </c>
      <c r="C956" s="4" t="s">
        <v>72</v>
      </c>
      <c r="D956" s="4" t="s">
        <v>199</v>
      </c>
      <c r="E956" s="4" t="s">
        <v>63</v>
      </c>
      <c r="F956" s="4" t="s">
        <v>63</v>
      </c>
      <c r="G956" s="4" t="s">
        <v>832</v>
      </c>
      <c r="H956" s="4"/>
      <c r="I956" s="4" t="n">
        <v>0.3323</v>
      </c>
      <c r="J956" s="4" t="str">
        <f aca="false">TRIM(E956) &amp; TRIM(C956) &amp; TRIM(D956)</f>
        <v>First ReviewBid ImageBH</v>
      </c>
      <c r="K956" s="4" t="n">
        <f aca="false">IFERROR(I956*60,"")</f>
        <v>19.938</v>
      </c>
    </row>
    <row r="957" customFormat="false" ht="15" hidden="false" customHeight="false" outlineLevel="0" collapsed="false">
      <c r="A957" s="4" t="s">
        <v>15</v>
      </c>
      <c r="B957" s="4" t="s">
        <v>56</v>
      </c>
      <c r="C957" s="4" t="s">
        <v>75</v>
      </c>
      <c r="D957" s="4" t="s">
        <v>308</v>
      </c>
      <c r="E957" s="4" t="s">
        <v>66</v>
      </c>
      <c r="F957" s="4" t="s">
        <v>67</v>
      </c>
      <c r="G957" s="4" t="s">
        <v>633</v>
      </c>
      <c r="H957" s="4"/>
      <c r="I957" s="4" t="n">
        <v>3.214</v>
      </c>
      <c r="J957" s="4" t="str">
        <f aca="false">TRIM(E957) &amp; TRIM(C957) &amp; TRIM(D957)</f>
        <v>Posted RecallBid Ecom Ads GroupPL</v>
      </c>
      <c r="K957" s="4" t="n">
        <f aca="false">IFERROR(I957*60,"")</f>
        <v>192.84</v>
      </c>
    </row>
    <row r="958" customFormat="false" ht="15" hidden="false" customHeight="false" outlineLevel="0" collapsed="false">
      <c r="A958" s="4" t="s">
        <v>15</v>
      </c>
      <c r="B958" s="4" t="s">
        <v>56</v>
      </c>
      <c r="C958" s="4" t="s">
        <v>57</v>
      </c>
      <c r="D958" s="4" t="s">
        <v>341</v>
      </c>
      <c r="E958" s="4" t="s">
        <v>63</v>
      </c>
      <c r="F958" s="4" t="s">
        <v>63</v>
      </c>
      <c r="G958" s="4" t="s">
        <v>380</v>
      </c>
      <c r="H958" s="4"/>
      <c r="I958" s="4" t="n">
        <v>3.688</v>
      </c>
      <c r="J958" s="4" t="str">
        <f aca="false">TRIM(E958) &amp; TRIM(C958) &amp; TRIM(D958)</f>
        <v>First ReviewBid Ad GroupBG</v>
      </c>
      <c r="K958" s="4" t="n">
        <f aca="false">IFERROR(I958*60,"")</f>
        <v>221.28</v>
      </c>
    </row>
    <row r="959" customFormat="false" ht="15" hidden="false" customHeight="false" outlineLevel="0" collapsed="false">
      <c r="A959" s="4" t="s">
        <v>15</v>
      </c>
      <c r="B959" s="4" t="s">
        <v>56</v>
      </c>
      <c r="C959" s="4" t="s">
        <v>93</v>
      </c>
      <c r="D959" s="4" t="s">
        <v>255</v>
      </c>
      <c r="E959" s="4" t="s">
        <v>63</v>
      </c>
      <c r="F959" s="4" t="s">
        <v>63</v>
      </c>
      <c r="G959" s="4" t="s">
        <v>833</v>
      </c>
      <c r="H959" s="4"/>
      <c r="I959" s="4" t="n">
        <v>0.3112</v>
      </c>
      <c r="J959" s="4" t="str">
        <f aca="false">TRIM(E959) &amp; TRIM(C959) &amp; TRIM(D959)</f>
        <v>First ReviewBid AudioNZ</v>
      </c>
      <c r="K959" s="4" t="n">
        <f aca="false">IFERROR(I959*60,"")</f>
        <v>18.672</v>
      </c>
    </row>
    <row r="960" customFormat="false" ht="15" hidden="false" customHeight="false" outlineLevel="0" collapsed="false">
      <c r="A960" s="4" t="s">
        <v>15</v>
      </c>
      <c r="B960" s="4" t="s">
        <v>56</v>
      </c>
      <c r="C960" s="4" t="s">
        <v>78</v>
      </c>
      <c r="D960" s="4" t="s">
        <v>128</v>
      </c>
      <c r="E960" s="4" t="s">
        <v>63</v>
      </c>
      <c r="F960" s="4" t="s">
        <v>63</v>
      </c>
      <c r="G960" s="4" t="s">
        <v>834</v>
      </c>
      <c r="H960" s="4"/>
      <c r="I960" s="4" t="n">
        <v>1.6081</v>
      </c>
      <c r="J960" s="4" t="str">
        <f aca="false">TRIM(E960) &amp; TRIM(C960) &amp; TRIM(D960)</f>
        <v>First ReviewBid VideoBD</v>
      </c>
      <c r="K960" s="4" t="n">
        <f aca="false">IFERROR(I960*60,"")</f>
        <v>96.486</v>
      </c>
    </row>
    <row r="961" customFormat="false" ht="15" hidden="false" customHeight="false" outlineLevel="0" collapsed="false">
      <c r="A961" s="4" t="s">
        <v>15</v>
      </c>
      <c r="B961" s="4" t="s">
        <v>56</v>
      </c>
      <c r="C961" s="4" t="s">
        <v>61</v>
      </c>
      <c r="D961" s="4" t="s">
        <v>216</v>
      </c>
      <c r="E961" s="4" t="s">
        <v>63</v>
      </c>
      <c r="F961" s="4" t="s">
        <v>63</v>
      </c>
      <c r="G961" s="4" t="s">
        <v>835</v>
      </c>
      <c r="H961" s="4"/>
      <c r="I961" s="4" t="n">
        <v>0.6469</v>
      </c>
      <c r="J961" s="4" t="str">
        <f aca="false">TRIM(E961) &amp; TRIM(C961) &amp; TRIM(D961)</f>
        <v>First ReviewBid Ecom URLPY</v>
      </c>
      <c r="K961" s="4" t="n">
        <f aca="false">IFERROR(I961*60,"")</f>
        <v>38.814</v>
      </c>
    </row>
    <row r="962" customFormat="false" ht="15" hidden="false" customHeight="false" outlineLevel="0" collapsed="false">
      <c r="A962" s="4" t="s">
        <v>15</v>
      </c>
      <c r="B962" s="4" t="s">
        <v>56</v>
      </c>
      <c r="C962" s="4" t="s">
        <v>57</v>
      </c>
      <c r="D962" s="4" t="s">
        <v>178</v>
      </c>
      <c r="E962" s="4" t="s">
        <v>59</v>
      </c>
      <c r="F962" s="4" t="s">
        <v>59</v>
      </c>
      <c r="G962" s="4" t="s">
        <v>462</v>
      </c>
      <c r="H962" s="4"/>
      <c r="I962" s="4" t="n">
        <v>3.3786</v>
      </c>
      <c r="J962" s="4" t="str">
        <f aca="false">TRIM(E962) &amp; TRIM(C962) &amp; TRIM(D962)</f>
        <v>Re-reviewBid Ad GroupBO</v>
      </c>
      <c r="K962" s="4" t="n">
        <f aca="false">IFERROR(I962*60,"")</f>
        <v>202.716</v>
      </c>
    </row>
    <row r="963" customFormat="false" ht="15" hidden="false" customHeight="false" outlineLevel="0" collapsed="false">
      <c r="A963" s="4" t="s">
        <v>15</v>
      </c>
      <c r="B963" s="4" t="s">
        <v>56</v>
      </c>
      <c r="C963" s="4" t="s">
        <v>81</v>
      </c>
      <c r="D963" s="4" t="s">
        <v>208</v>
      </c>
      <c r="E963" s="4" t="s">
        <v>63</v>
      </c>
      <c r="F963" s="4" t="s">
        <v>63</v>
      </c>
      <c r="G963" s="4" t="s">
        <v>836</v>
      </c>
      <c r="H963" s="4"/>
      <c r="I963" s="4" t="n">
        <v>0.8186</v>
      </c>
      <c r="J963" s="4" t="str">
        <f aca="false">TRIM(E963) &amp; TRIM(C963) &amp; TRIM(D963)</f>
        <v>First ReviewBid TextCO</v>
      </c>
      <c r="K963" s="4" t="n">
        <f aca="false">IFERROR(I963*60,"")</f>
        <v>49.116</v>
      </c>
    </row>
    <row r="964" customFormat="false" ht="15" hidden="false" customHeight="false" outlineLevel="0" collapsed="false">
      <c r="A964" s="4" t="s">
        <v>15</v>
      </c>
      <c r="B964" s="4" t="s">
        <v>56</v>
      </c>
      <c r="C964" s="4" t="s">
        <v>61</v>
      </c>
      <c r="D964" s="4" t="s">
        <v>308</v>
      </c>
      <c r="E964" s="4" t="s">
        <v>63</v>
      </c>
      <c r="F964" s="4" t="s">
        <v>63</v>
      </c>
      <c r="G964" s="4" t="s">
        <v>837</v>
      </c>
      <c r="H964" s="4"/>
      <c r="I964" s="4" t="n">
        <v>1.5715</v>
      </c>
      <c r="J964" s="4" t="str">
        <f aca="false">TRIM(E964) &amp; TRIM(C964) &amp; TRIM(D964)</f>
        <v>First ReviewBid Ecom URLPL</v>
      </c>
      <c r="K964" s="4" t="n">
        <f aca="false">IFERROR(I964*60,"")</f>
        <v>94.29</v>
      </c>
    </row>
    <row r="965" customFormat="false" ht="15" hidden="false" customHeight="false" outlineLevel="0" collapsed="false">
      <c r="A965" s="4" t="s">
        <v>15</v>
      </c>
      <c r="B965" s="4" t="s">
        <v>56</v>
      </c>
      <c r="C965" s="4" t="s">
        <v>119</v>
      </c>
      <c r="D965" s="4" t="s">
        <v>190</v>
      </c>
      <c r="E965" s="4" t="s">
        <v>63</v>
      </c>
      <c r="F965" s="4" t="s">
        <v>63</v>
      </c>
      <c r="G965" s="4" t="s">
        <v>838</v>
      </c>
      <c r="H965" s="4"/>
      <c r="I965" s="4" t="n">
        <v>0.9162</v>
      </c>
      <c r="J965" s="4" t="str">
        <f aca="false">TRIM(E965) &amp; TRIM(C965) &amp; TRIM(D965)</f>
        <v>First ReviewBid Pre ApprovalPH</v>
      </c>
      <c r="K965" s="4" t="n">
        <f aca="false">IFERROR(I965*60,"")</f>
        <v>54.972</v>
      </c>
    </row>
    <row r="966" customFormat="false" ht="15" hidden="false" customHeight="false" outlineLevel="0" collapsed="false">
      <c r="A966" s="4" t="s">
        <v>15</v>
      </c>
      <c r="B966" s="4" t="s">
        <v>56</v>
      </c>
      <c r="C966" s="4" t="s">
        <v>75</v>
      </c>
      <c r="D966" s="4" t="s">
        <v>357</v>
      </c>
      <c r="E966" s="4" t="s">
        <v>66</v>
      </c>
      <c r="F966" s="4" t="s">
        <v>67</v>
      </c>
      <c r="G966" s="4" t="s">
        <v>466</v>
      </c>
      <c r="H966" s="4"/>
      <c r="I966" s="4" t="n">
        <v>2.0764</v>
      </c>
      <c r="J966" s="4" t="str">
        <f aca="false">TRIM(E966) &amp; TRIM(C966) &amp; TRIM(D966)</f>
        <v>Posted RecallBid Ecom Ads GroupHU</v>
      </c>
      <c r="K966" s="4" t="n">
        <f aca="false">IFERROR(I966*60,"")</f>
        <v>124.584</v>
      </c>
    </row>
    <row r="967" customFormat="false" ht="15" hidden="false" customHeight="false" outlineLevel="0" collapsed="false">
      <c r="A967" s="4" t="s">
        <v>15</v>
      </c>
      <c r="B967" s="4" t="s">
        <v>56</v>
      </c>
      <c r="C967" s="4" t="s">
        <v>84</v>
      </c>
      <c r="D967" s="4" t="s">
        <v>357</v>
      </c>
      <c r="E967" s="4" t="s">
        <v>63</v>
      </c>
      <c r="F967" s="4" t="s">
        <v>63</v>
      </c>
      <c r="G967" s="4" t="s">
        <v>839</v>
      </c>
      <c r="H967" s="4"/>
      <c r="I967" s="4" t="n">
        <v>1.2503</v>
      </c>
      <c r="J967" s="4" t="str">
        <f aca="false">TRIM(E967) &amp; TRIM(C967) &amp; TRIM(D967)</f>
        <v>First ReviewBid Ecom VideoHU</v>
      </c>
      <c r="K967" s="4" t="n">
        <f aca="false">IFERROR(I967*60,"")</f>
        <v>75.018</v>
      </c>
    </row>
    <row r="968" customFormat="false" ht="15" hidden="false" customHeight="false" outlineLevel="0" collapsed="false">
      <c r="A968" s="4" t="s">
        <v>15</v>
      </c>
      <c r="B968" s="4" t="s">
        <v>56</v>
      </c>
      <c r="C968" s="4" t="s">
        <v>69</v>
      </c>
      <c r="D968" s="4" t="s">
        <v>95</v>
      </c>
      <c r="E968" s="4" t="s">
        <v>63</v>
      </c>
      <c r="F968" s="4" t="s">
        <v>63</v>
      </c>
      <c r="G968" s="4" t="s">
        <v>840</v>
      </c>
      <c r="H968" s="4"/>
      <c r="I968" s="4" t="n">
        <v>2.5074</v>
      </c>
      <c r="J968" s="4" t="str">
        <f aca="false">TRIM(E968) &amp; TRIM(C968) &amp; TRIM(D968)</f>
        <v>First ReviewBid LinkVN</v>
      </c>
      <c r="K968" s="4" t="n">
        <f aca="false">IFERROR(I968*60,"")</f>
        <v>150.444</v>
      </c>
    </row>
    <row r="969" customFormat="false" ht="15" hidden="false" customHeight="false" outlineLevel="0" collapsed="false">
      <c r="A969" s="4" t="s">
        <v>15</v>
      </c>
      <c r="B969" s="4" t="s">
        <v>56</v>
      </c>
      <c r="C969" s="4" t="s">
        <v>69</v>
      </c>
      <c r="D969" s="4" t="s">
        <v>319</v>
      </c>
      <c r="E969" s="4" t="s">
        <v>63</v>
      </c>
      <c r="F969" s="4" t="s">
        <v>63</v>
      </c>
      <c r="G969" s="4" t="s">
        <v>841</v>
      </c>
      <c r="H969" s="4"/>
      <c r="I969" s="4" t="n">
        <v>0.998</v>
      </c>
      <c r="J969" s="4" t="str">
        <f aca="false">TRIM(E969) &amp; TRIM(C969) &amp; TRIM(D969)</f>
        <v>First ReviewBid LinkSK</v>
      </c>
      <c r="K969" s="4" t="n">
        <f aca="false">IFERROR(I969*60,"")</f>
        <v>59.88</v>
      </c>
    </row>
    <row r="970" customFormat="false" ht="15" hidden="false" customHeight="false" outlineLevel="0" collapsed="false">
      <c r="A970" s="4" t="s">
        <v>15</v>
      </c>
      <c r="B970" s="4" t="s">
        <v>56</v>
      </c>
      <c r="C970" s="4" t="s">
        <v>81</v>
      </c>
      <c r="D970" s="4" t="s">
        <v>87</v>
      </c>
      <c r="E970" s="4" t="s">
        <v>63</v>
      </c>
      <c r="F970" s="4" t="s">
        <v>63</v>
      </c>
      <c r="G970" s="4" t="s">
        <v>842</v>
      </c>
      <c r="H970" s="4"/>
      <c r="I970" s="4" t="n">
        <v>0.4065</v>
      </c>
      <c r="J970" s="4" t="str">
        <f aca="false">TRIM(E970) &amp; TRIM(C970) &amp; TRIM(D970)</f>
        <v>First ReviewBid TextAE</v>
      </c>
      <c r="K970" s="4" t="n">
        <f aca="false">IFERROR(I970*60,"")</f>
        <v>24.39</v>
      </c>
    </row>
    <row r="971" customFormat="false" ht="15" hidden="false" customHeight="false" outlineLevel="0" collapsed="false">
      <c r="A971" s="4" t="s">
        <v>15</v>
      </c>
      <c r="B971" s="4" t="s">
        <v>56</v>
      </c>
      <c r="C971" s="4" t="s">
        <v>93</v>
      </c>
      <c r="D971" s="4" t="s">
        <v>199</v>
      </c>
      <c r="E971" s="4" t="s">
        <v>63</v>
      </c>
      <c r="F971" s="4" t="s">
        <v>63</v>
      </c>
      <c r="G971" s="4" t="s">
        <v>843</v>
      </c>
      <c r="H971" s="4"/>
      <c r="I971" s="4" t="n">
        <v>0.1571</v>
      </c>
      <c r="J971" s="4" t="str">
        <f aca="false">TRIM(E971) &amp; TRIM(C971) &amp; TRIM(D971)</f>
        <v>First ReviewBid AudioBH</v>
      </c>
      <c r="K971" s="4" t="n">
        <f aca="false">IFERROR(I971*60,"")</f>
        <v>9.426</v>
      </c>
    </row>
    <row r="972" customFormat="false" ht="15" hidden="false" customHeight="false" outlineLevel="0" collapsed="false">
      <c r="A972" s="4" t="s">
        <v>15</v>
      </c>
      <c r="B972" s="4" t="s">
        <v>56</v>
      </c>
      <c r="C972" s="4" t="s">
        <v>78</v>
      </c>
      <c r="D972" s="4" t="s">
        <v>104</v>
      </c>
      <c r="E972" s="4" t="s">
        <v>63</v>
      </c>
      <c r="F972" s="4" t="s">
        <v>63</v>
      </c>
      <c r="G972" s="4" t="s">
        <v>844</v>
      </c>
      <c r="H972" s="4"/>
      <c r="I972" s="4" t="n">
        <v>1.6016</v>
      </c>
      <c r="J972" s="4" t="str">
        <f aca="false">TRIM(E972) &amp; TRIM(C972) &amp; TRIM(D972)</f>
        <v>First ReviewBid VideoIE</v>
      </c>
      <c r="K972" s="4" t="n">
        <f aca="false">IFERROR(I972*60,"")</f>
        <v>96.096</v>
      </c>
    </row>
    <row r="973" customFormat="false" ht="15" hidden="false" customHeight="false" outlineLevel="0" collapsed="false">
      <c r="A973" s="4" t="s">
        <v>15</v>
      </c>
      <c r="B973" s="4" t="s">
        <v>56</v>
      </c>
      <c r="C973" s="4" t="s">
        <v>81</v>
      </c>
      <c r="D973" s="4" t="s">
        <v>139</v>
      </c>
      <c r="E973" s="4" t="s">
        <v>63</v>
      </c>
      <c r="F973" s="4" t="s">
        <v>63</v>
      </c>
      <c r="G973" s="4" t="s">
        <v>845</v>
      </c>
      <c r="H973" s="4"/>
      <c r="I973" s="4" t="n">
        <v>0.2626</v>
      </c>
      <c r="J973" s="4" t="str">
        <f aca="false">TRIM(E973) &amp; TRIM(C973) &amp; TRIM(D973)</f>
        <v>First ReviewBid TextEG</v>
      </c>
      <c r="K973" s="4" t="n">
        <f aca="false">IFERROR(I973*60,"")</f>
        <v>15.756</v>
      </c>
    </row>
    <row r="974" customFormat="false" ht="15" hidden="false" customHeight="false" outlineLevel="0" collapsed="false">
      <c r="A974" s="4" t="s">
        <v>15</v>
      </c>
      <c r="B974" s="4" t="s">
        <v>56</v>
      </c>
      <c r="C974" s="4" t="s">
        <v>57</v>
      </c>
      <c r="D974" s="4" t="s">
        <v>231</v>
      </c>
      <c r="E974" s="4" t="s">
        <v>66</v>
      </c>
      <c r="F974" s="4" t="s">
        <v>67</v>
      </c>
      <c r="G974" s="4" t="s">
        <v>547</v>
      </c>
      <c r="H974" s="4"/>
      <c r="I974" s="4" t="n">
        <v>1.9286</v>
      </c>
      <c r="J974" s="4" t="str">
        <f aca="false">TRIM(E974) &amp; TRIM(C974) &amp; TRIM(D974)</f>
        <v>Posted RecallBid Ad GroupIL</v>
      </c>
      <c r="K974" s="4" t="n">
        <f aca="false">IFERROR(I974*60,"")</f>
        <v>115.716</v>
      </c>
    </row>
    <row r="975" customFormat="false" ht="15" hidden="false" customHeight="false" outlineLevel="0" collapsed="false">
      <c r="A975" s="4" t="s">
        <v>15</v>
      </c>
      <c r="B975" s="4" t="s">
        <v>56</v>
      </c>
      <c r="C975" s="4" t="s">
        <v>93</v>
      </c>
      <c r="D975" s="4" t="s">
        <v>162</v>
      </c>
      <c r="E975" s="4" t="s">
        <v>63</v>
      </c>
      <c r="F975" s="4" t="s">
        <v>63</v>
      </c>
      <c r="G975" s="4" t="s">
        <v>846</v>
      </c>
      <c r="H975" s="4"/>
      <c r="I975" s="4" t="n">
        <v>0.2124</v>
      </c>
      <c r="J975" s="4" t="str">
        <f aca="false">TRIM(E975) &amp; TRIM(C975) &amp; TRIM(D975)</f>
        <v>First ReviewBid AudioJO</v>
      </c>
      <c r="K975" s="4" t="n">
        <f aca="false">IFERROR(I975*60,"")</f>
        <v>12.744</v>
      </c>
    </row>
    <row r="976" customFormat="false" ht="15" hidden="false" customHeight="false" outlineLevel="0" collapsed="false">
      <c r="A976" s="4" t="s">
        <v>15</v>
      </c>
      <c r="B976" s="4" t="s">
        <v>56</v>
      </c>
      <c r="C976" s="4" t="s">
        <v>57</v>
      </c>
      <c r="D976" s="4" t="s">
        <v>262</v>
      </c>
      <c r="E976" s="4" t="s">
        <v>63</v>
      </c>
      <c r="F976" s="4" t="s">
        <v>63</v>
      </c>
      <c r="G976" s="4" t="s">
        <v>598</v>
      </c>
      <c r="H976" s="4"/>
      <c r="I976" s="4" t="n">
        <v>2.3996</v>
      </c>
      <c r="J976" s="4" t="str">
        <f aca="false">TRIM(E976) &amp; TRIM(C976) &amp; TRIM(D976)</f>
        <v>First ReviewBid Ad GroupSI</v>
      </c>
      <c r="K976" s="4" t="n">
        <f aca="false">IFERROR(I976*60,"")</f>
        <v>143.976</v>
      </c>
    </row>
    <row r="977" customFormat="false" ht="15" hidden="false" customHeight="false" outlineLevel="0" collapsed="false">
      <c r="A977" s="4" t="s">
        <v>15</v>
      </c>
      <c r="B977" s="4" t="s">
        <v>56</v>
      </c>
      <c r="C977" s="4" t="s">
        <v>81</v>
      </c>
      <c r="D977" s="4" t="s">
        <v>157</v>
      </c>
      <c r="E977" s="4" t="s">
        <v>63</v>
      </c>
      <c r="F977" s="4" t="s">
        <v>63</v>
      </c>
      <c r="G977" s="4" t="s">
        <v>847</v>
      </c>
      <c r="H977" s="4"/>
      <c r="I977" s="4" t="n">
        <v>0.4167</v>
      </c>
      <c r="J977" s="4" t="str">
        <f aca="false">TRIM(E977) &amp; TRIM(C977) &amp; TRIM(D977)</f>
        <v>First ReviewBid TextSA</v>
      </c>
      <c r="K977" s="4" t="n">
        <f aca="false">IFERROR(I977*60,"")</f>
        <v>25.002</v>
      </c>
    </row>
    <row r="978" customFormat="false" ht="15" hidden="false" customHeight="false" outlineLevel="0" collapsed="false">
      <c r="A978" s="4" t="s">
        <v>15</v>
      </c>
      <c r="B978" s="4" t="s">
        <v>56</v>
      </c>
      <c r="C978" s="4" t="s">
        <v>57</v>
      </c>
      <c r="D978" s="4" t="s">
        <v>216</v>
      </c>
      <c r="E978" s="4" t="s">
        <v>66</v>
      </c>
      <c r="F978" s="4" t="s">
        <v>67</v>
      </c>
      <c r="G978" s="4" t="s">
        <v>767</v>
      </c>
      <c r="H978" s="4"/>
      <c r="I978" s="4" t="n">
        <v>1.2313</v>
      </c>
      <c r="J978" s="4" t="str">
        <f aca="false">TRIM(E978) &amp; TRIM(C978) &amp; TRIM(D978)</f>
        <v>Posted RecallBid Ad GroupPY</v>
      </c>
      <c r="K978" s="4" t="n">
        <f aca="false">IFERROR(I978*60,"")</f>
        <v>73.878</v>
      </c>
    </row>
    <row r="979" customFormat="false" ht="15" hidden="false" customHeight="false" outlineLevel="0" collapsed="false">
      <c r="A979" s="4" t="s">
        <v>15</v>
      </c>
      <c r="B979" s="4" t="s">
        <v>56</v>
      </c>
      <c r="C979" s="4" t="s">
        <v>93</v>
      </c>
      <c r="D979" s="4" t="s">
        <v>76</v>
      </c>
      <c r="E979" s="4" t="s">
        <v>63</v>
      </c>
      <c r="F979" s="4" t="s">
        <v>63</v>
      </c>
      <c r="G979" s="4" t="s">
        <v>848</v>
      </c>
      <c r="H979" s="4"/>
      <c r="I979" s="4" t="n">
        <v>15.3777</v>
      </c>
      <c r="J979" s="4" t="str">
        <f aca="false">TRIM(E979) &amp; TRIM(C979) &amp; TRIM(D979)</f>
        <v>First ReviewBid AudioLT</v>
      </c>
      <c r="K979" s="4" t="n">
        <f aca="false">IFERROR(I979*60,"")</f>
        <v>922.662</v>
      </c>
    </row>
    <row r="980" customFormat="false" ht="15" hidden="false" customHeight="false" outlineLevel="0" collapsed="false">
      <c r="A980" s="4" t="s">
        <v>15</v>
      </c>
      <c r="B980" s="4" t="s">
        <v>56</v>
      </c>
      <c r="C980" s="4" t="s">
        <v>69</v>
      </c>
      <c r="D980" s="4" t="s">
        <v>284</v>
      </c>
      <c r="E980" s="4" t="s">
        <v>63</v>
      </c>
      <c r="F980" s="4" t="s">
        <v>63</v>
      </c>
      <c r="G980" s="4" t="s">
        <v>849</v>
      </c>
      <c r="H980" s="4"/>
      <c r="I980" s="4" t="n">
        <v>0.7862</v>
      </c>
      <c r="J980" s="4" t="str">
        <f aca="false">TRIM(E980) &amp; TRIM(C980) &amp; TRIM(D980)</f>
        <v>First ReviewBid LinkTR</v>
      </c>
      <c r="K980" s="4" t="n">
        <f aca="false">IFERROR(I980*60,"")</f>
        <v>47.172</v>
      </c>
    </row>
    <row r="981" customFormat="false" ht="15" hidden="false" customHeight="false" outlineLevel="0" collapsed="false">
      <c r="A981" s="4" t="s">
        <v>15</v>
      </c>
      <c r="B981" s="4" t="s">
        <v>56</v>
      </c>
      <c r="C981" s="4" t="s">
        <v>75</v>
      </c>
      <c r="D981" s="4" t="s">
        <v>195</v>
      </c>
      <c r="E981" s="4" t="s">
        <v>59</v>
      </c>
      <c r="F981" s="4" t="s">
        <v>59</v>
      </c>
      <c r="G981" s="4" t="s">
        <v>196</v>
      </c>
      <c r="H981" s="4"/>
      <c r="I981" s="4" t="n">
        <v>7.4201</v>
      </c>
      <c r="J981" s="4" t="str">
        <f aca="false">TRIM(E981) &amp; TRIM(C981) &amp; TRIM(D981)</f>
        <v>Re-reviewBid Ecom Ads GroupIT</v>
      </c>
      <c r="K981" s="4" t="n">
        <f aca="false">IFERROR(I981*60,"")</f>
        <v>445.206</v>
      </c>
    </row>
    <row r="982" customFormat="false" ht="15" hidden="false" customHeight="false" outlineLevel="0" collapsed="false">
      <c r="A982" s="4" t="s">
        <v>15</v>
      </c>
      <c r="B982" s="4" t="s">
        <v>56</v>
      </c>
      <c r="C982" s="4" t="s">
        <v>57</v>
      </c>
      <c r="D982" s="4" t="s">
        <v>121</v>
      </c>
      <c r="E982" s="4" t="s">
        <v>59</v>
      </c>
      <c r="F982" s="4" t="s">
        <v>59</v>
      </c>
      <c r="G982" s="4" t="s">
        <v>590</v>
      </c>
      <c r="H982" s="4"/>
      <c r="I982" s="4" t="n">
        <v>6.9685</v>
      </c>
      <c r="J982" s="4" t="str">
        <f aca="false">TRIM(E982) &amp; TRIM(C982) &amp; TRIM(D982)</f>
        <v>Re-reviewBid Ad GroupKR</v>
      </c>
      <c r="K982" s="4" t="n">
        <f aca="false">IFERROR(I982*60,"")</f>
        <v>418.11</v>
      </c>
    </row>
    <row r="983" customFormat="false" ht="15" hidden="false" customHeight="false" outlineLevel="0" collapsed="false">
      <c r="A983" s="4" t="s">
        <v>15</v>
      </c>
      <c r="B983" s="4" t="s">
        <v>56</v>
      </c>
      <c r="C983" s="4" t="s">
        <v>93</v>
      </c>
      <c r="D983" s="4" t="s">
        <v>251</v>
      </c>
      <c r="E983" s="4" t="s">
        <v>63</v>
      </c>
      <c r="F983" s="4" t="s">
        <v>63</v>
      </c>
      <c r="G983" s="4" t="s">
        <v>850</v>
      </c>
      <c r="H983" s="4"/>
      <c r="I983" s="4" t="n">
        <v>1.2501</v>
      </c>
      <c r="J983" s="4" t="str">
        <f aca="false">TRIM(E983) &amp; TRIM(C983) &amp; TRIM(D983)</f>
        <v>First ReviewBid AudioRO</v>
      </c>
      <c r="K983" s="4" t="n">
        <f aca="false">IFERROR(I983*60,"")</f>
        <v>75.006</v>
      </c>
    </row>
    <row r="984" customFormat="false" ht="15" hidden="false" customHeight="false" outlineLevel="0" collapsed="false">
      <c r="A984" s="4" t="s">
        <v>15</v>
      </c>
      <c r="B984" s="4" t="s">
        <v>56</v>
      </c>
      <c r="C984" s="4" t="s">
        <v>119</v>
      </c>
      <c r="D984" s="4" t="s">
        <v>284</v>
      </c>
      <c r="E984" s="4" t="s">
        <v>63</v>
      </c>
      <c r="F984" s="4" t="s">
        <v>63</v>
      </c>
      <c r="G984" s="4" t="s">
        <v>851</v>
      </c>
      <c r="H984" s="4"/>
      <c r="I984" s="4" t="n">
        <v>3.2021</v>
      </c>
      <c r="J984" s="4" t="str">
        <f aca="false">TRIM(E984) &amp; TRIM(C984) &amp; TRIM(D984)</f>
        <v>First ReviewBid Pre ApprovalTR</v>
      </c>
      <c r="K984" s="4" t="n">
        <f aca="false">IFERROR(I984*60,"")</f>
        <v>192.126</v>
      </c>
    </row>
    <row r="985" customFormat="false" ht="15" hidden="false" customHeight="false" outlineLevel="0" collapsed="false">
      <c r="A985" s="4" t="s">
        <v>15</v>
      </c>
      <c r="B985" s="4" t="s">
        <v>56</v>
      </c>
      <c r="C985" s="4" t="s">
        <v>72</v>
      </c>
      <c r="D985" s="4" t="s">
        <v>145</v>
      </c>
      <c r="E985" s="4" t="s">
        <v>63</v>
      </c>
      <c r="F985" s="4" t="s">
        <v>63</v>
      </c>
      <c r="G985" s="4" t="s">
        <v>852</v>
      </c>
      <c r="H985" s="4"/>
      <c r="I985" s="4" t="n">
        <v>0.4719</v>
      </c>
      <c r="J985" s="4" t="str">
        <f aca="false">TRIM(E985) &amp; TRIM(C985) &amp; TRIM(D985)</f>
        <v>First ReviewBid ImageRS</v>
      </c>
      <c r="K985" s="4" t="n">
        <f aca="false">IFERROR(I985*60,"")</f>
        <v>28.314</v>
      </c>
    </row>
    <row r="986" customFormat="false" ht="15" hidden="false" customHeight="false" outlineLevel="0" collapsed="false">
      <c r="A986" s="4" t="s">
        <v>15</v>
      </c>
      <c r="B986" s="4" t="s">
        <v>56</v>
      </c>
      <c r="C986" s="4" t="s">
        <v>57</v>
      </c>
      <c r="D986" s="4" t="s">
        <v>210</v>
      </c>
      <c r="E986" s="4" t="s">
        <v>59</v>
      </c>
      <c r="F986" s="4" t="s">
        <v>59</v>
      </c>
      <c r="G986" s="4" t="s">
        <v>277</v>
      </c>
      <c r="H986" s="4"/>
      <c r="I986" s="4" t="n">
        <v>9.2573</v>
      </c>
      <c r="J986" s="4" t="str">
        <f aca="false">TRIM(E986) &amp; TRIM(C986) &amp; TRIM(D986)</f>
        <v>Re-reviewBid Ad GroupPK</v>
      </c>
      <c r="K986" s="4" t="n">
        <f aca="false">IFERROR(I986*60,"")</f>
        <v>555.438</v>
      </c>
    </row>
    <row r="987" customFormat="false" ht="15" hidden="false" customHeight="false" outlineLevel="0" collapsed="false">
      <c r="A987" s="4" t="s">
        <v>15</v>
      </c>
      <c r="B987" s="4" t="s">
        <v>56</v>
      </c>
      <c r="C987" s="4" t="s">
        <v>61</v>
      </c>
      <c r="D987" s="4" t="s">
        <v>319</v>
      </c>
      <c r="E987" s="4" t="s">
        <v>63</v>
      </c>
      <c r="F987" s="4" t="s">
        <v>63</v>
      </c>
      <c r="G987" s="4" t="s">
        <v>853</v>
      </c>
      <c r="H987" s="4"/>
      <c r="I987" s="4" t="n">
        <v>0.8368</v>
      </c>
      <c r="J987" s="4" t="str">
        <f aca="false">TRIM(E987) &amp; TRIM(C987) &amp; TRIM(D987)</f>
        <v>First ReviewBid Ecom URLSK</v>
      </c>
      <c r="K987" s="4" t="n">
        <f aca="false">IFERROR(I987*60,"")</f>
        <v>50.208</v>
      </c>
    </row>
    <row r="988" customFormat="false" ht="15" hidden="false" customHeight="false" outlineLevel="0" collapsed="false">
      <c r="A988" s="4" t="s">
        <v>15</v>
      </c>
      <c r="B988" s="4" t="s">
        <v>56</v>
      </c>
      <c r="C988" s="4" t="s">
        <v>57</v>
      </c>
      <c r="D988" s="4" t="s">
        <v>166</v>
      </c>
      <c r="E988" s="4" t="s">
        <v>66</v>
      </c>
      <c r="F988" s="4" t="s">
        <v>67</v>
      </c>
      <c r="G988" s="4" t="s">
        <v>555</v>
      </c>
      <c r="H988" s="4"/>
      <c r="I988" s="4" t="n">
        <v>1.4992</v>
      </c>
      <c r="J988" s="4" t="str">
        <f aca="false">TRIM(E988) &amp; TRIM(C988) &amp; TRIM(D988)</f>
        <v>Posted RecallBid Ad GroupCZ</v>
      </c>
      <c r="K988" s="4" t="n">
        <f aca="false">IFERROR(I988*60,"")</f>
        <v>89.952</v>
      </c>
    </row>
    <row r="989" customFormat="false" ht="15" hidden="false" customHeight="false" outlineLevel="0" collapsed="false">
      <c r="A989" s="4" t="s">
        <v>15</v>
      </c>
      <c r="B989" s="4" t="s">
        <v>56</v>
      </c>
      <c r="C989" s="4" t="s">
        <v>57</v>
      </c>
      <c r="D989" s="4" t="s">
        <v>203</v>
      </c>
      <c r="E989" s="4" t="s">
        <v>59</v>
      </c>
      <c r="F989" s="4" t="s">
        <v>59</v>
      </c>
      <c r="G989" s="4" t="s">
        <v>302</v>
      </c>
      <c r="H989" s="4"/>
      <c r="I989" s="4" t="n">
        <v>5.386</v>
      </c>
      <c r="J989" s="4" t="str">
        <f aca="false">TRIM(E989) &amp; TRIM(C989) &amp; TRIM(D989)</f>
        <v>Re-reviewBid Ad GroupCA</v>
      </c>
      <c r="K989" s="4" t="n">
        <f aca="false">IFERROR(I989*60,"")</f>
        <v>323.16</v>
      </c>
    </row>
    <row r="990" customFormat="false" ht="15" hidden="false" customHeight="false" outlineLevel="0" collapsed="false">
      <c r="A990" s="4" t="s">
        <v>15</v>
      </c>
      <c r="B990" s="4" t="s">
        <v>56</v>
      </c>
      <c r="C990" s="4" t="s">
        <v>57</v>
      </c>
      <c r="D990" s="4" t="s">
        <v>265</v>
      </c>
      <c r="E990" s="4" t="s">
        <v>59</v>
      </c>
      <c r="F990" s="4" t="s">
        <v>59</v>
      </c>
      <c r="G990" s="4" t="s">
        <v>418</v>
      </c>
      <c r="H990" s="4"/>
      <c r="I990" s="4" t="n">
        <v>5.55</v>
      </c>
      <c r="J990" s="4" t="str">
        <f aca="false">TRIM(E990) &amp; TRIM(C990) &amp; TRIM(D990)</f>
        <v>Re-reviewBid Ad GroupNO</v>
      </c>
      <c r="K990" s="4" t="n">
        <f aca="false">IFERROR(I990*60,"")</f>
        <v>333</v>
      </c>
    </row>
    <row r="991" customFormat="false" ht="15" hidden="false" customHeight="false" outlineLevel="0" collapsed="false">
      <c r="A991" s="4" t="s">
        <v>15</v>
      </c>
      <c r="B991" s="4" t="s">
        <v>56</v>
      </c>
      <c r="C991" s="4" t="s">
        <v>57</v>
      </c>
      <c r="D991" s="4" t="s">
        <v>267</v>
      </c>
      <c r="E991" s="4" t="s">
        <v>63</v>
      </c>
      <c r="F991" s="4" t="s">
        <v>63</v>
      </c>
      <c r="G991" s="4" t="s">
        <v>333</v>
      </c>
      <c r="H991" s="4"/>
      <c r="I991" s="4" t="n">
        <v>1.9677</v>
      </c>
      <c r="J991" s="4" t="str">
        <f aca="false">TRIM(E991) &amp; TRIM(C991) &amp; TRIM(D991)</f>
        <v>First ReviewBid Ad GroupID</v>
      </c>
      <c r="K991" s="4" t="n">
        <f aca="false">IFERROR(I991*60,"")</f>
        <v>118.062</v>
      </c>
    </row>
    <row r="992" customFormat="false" ht="15" hidden="false" customHeight="false" outlineLevel="0" collapsed="false">
      <c r="A992" s="4" t="s">
        <v>15</v>
      </c>
      <c r="B992" s="4" t="s">
        <v>56</v>
      </c>
      <c r="C992" s="4" t="s">
        <v>57</v>
      </c>
      <c r="D992" s="4" t="s">
        <v>306</v>
      </c>
      <c r="E992" s="4" t="s">
        <v>66</v>
      </c>
      <c r="F992" s="4" t="s">
        <v>67</v>
      </c>
      <c r="G992" s="4" t="s">
        <v>511</v>
      </c>
      <c r="H992" s="4"/>
      <c r="I992" s="4" t="n">
        <v>0.9086</v>
      </c>
      <c r="J992" s="4" t="str">
        <f aca="false">TRIM(E992) &amp; TRIM(C992) &amp; TRIM(D992)</f>
        <v>Posted RecallBid Ad GroupTH</v>
      </c>
      <c r="K992" s="4" t="n">
        <f aca="false">IFERROR(I992*60,"")</f>
        <v>54.516</v>
      </c>
    </row>
    <row r="993" customFormat="false" ht="15" hidden="false" customHeight="false" outlineLevel="0" collapsed="false">
      <c r="A993" s="4" t="s">
        <v>15</v>
      </c>
      <c r="B993" s="4" t="s">
        <v>56</v>
      </c>
      <c r="C993" s="4" t="s">
        <v>84</v>
      </c>
      <c r="D993" s="4" t="s">
        <v>162</v>
      </c>
      <c r="E993" s="4" t="s">
        <v>63</v>
      </c>
      <c r="F993" s="4" t="s">
        <v>63</v>
      </c>
      <c r="G993" s="4" t="s">
        <v>854</v>
      </c>
      <c r="H993" s="4"/>
      <c r="I993" s="4" t="n">
        <v>1.6282</v>
      </c>
      <c r="J993" s="4" t="str">
        <f aca="false">TRIM(E993) &amp; TRIM(C993) &amp; TRIM(D993)</f>
        <v>First ReviewBid Ecom VideoJO</v>
      </c>
      <c r="K993" s="4" t="n">
        <f aca="false">IFERROR(I993*60,"")</f>
        <v>97.692</v>
      </c>
    </row>
    <row r="994" customFormat="false" ht="15" hidden="false" customHeight="false" outlineLevel="0" collapsed="false">
      <c r="A994" s="4" t="s">
        <v>15</v>
      </c>
      <c r="B994" s="4" t="s">
        <v>56</v>
      </c>
      <c r="C994" s="4" t="s">
        <v>57</v>
      </c>
      <c r="D994" s="4" t="s">
        <v>357</v>
      </c>
      <c r="E994" s="4" t="s">
        <v>66</v>
      </c>
      <c r="F994" s="4" t="s">
        <v>67</v>
      </c>
      <c r="G994" s="4" t="s">
        <v>483</v>
      </c>
      <c r="H994" s="4"/>
      <c r="I994" s="4" t="n">
        <v>1.3076</v>
      </c>
      <c r="J994" s="4" t="str">
        <f aca="false">TRIM(E994) &amp; TRIM(C994) &amp; TRIM(D994)</f>
        <v>Posted RecallBid Ad GroupHU</v>
      </c>
      <c r="K994" s="4" t="n">
        <f aca="false">IFERROR(I994*60,"")</f>
        <v>78.456</v>
      </c>
    </row>
    <row r="995" customFormat="false" ht="15" hidden="false" customHeight="false" outlineLevel="0" collapsed="false">
      <c r="A995" s="4" t="s">
        <v>15</v>
      </c>
      <c r="B995" s="4" t="s">
        <v>56</v>
      </c>
      <c r="C995" s="4" t="s">
        <v>57</v>
      </c>
      <c r="D995" s="4" t="s">
        <v>855</v>
      </c>
      <c r="E995" s="4" t="s">
        <v>63</v>
      </c>
      <c r="F995" s="4" t="s">
        <v>63</v>
      </c>
      <c r="G995" s="4" t="s">
        <v>856</v>
      </c>
      <c r="H995" s="4"/>
      <c r="I995" s="4" t="n">
        <v>1.2848</v>
      </c>
      <c r="J995" s="4" t="str">
        <f aca="false">TRIM(E995) &amp; TRIM(C995) &amp; TRIM(D995)</f>
        <v>First ReviewBid Ad GroupMENA</v>
      </c>
      <c r="K995" s="4" t="n">
        <f aca="false">IFERROR(I995*60,"")</f>
        <v>77.088</v>
      </c>
    </row>
    <row r="996" customFormat="false" ht="15" hidden="false" customHeight="false" outlineLevel="0" collapsed="false">
      <c r="A996" s="4" t="s">
        <v>15</v>
      </c>
      <c r="B996" s="4" t="s">
        <v>56</v>
      </c>
      <c r="C996" s="4" t="s">
        <v>69</v>
      </c>
      <c r="D996" s="4" t="s">
        <v>275</v>
      </c>
      <c r="E996" s="4" t="s">
        <v>63</v>
      </c>
      <c r="F996" s="4" t="s">
        <v>63</v>
      </c>
      <c r="G996" s="4" t="s">
        <v>857</v>
      </c>
      <c r="H996" s="4"/>
      <c r="I996" s="4" t="n">
        <v>1.1624</v>
      </c>
      <c r="J996" s="4" t="str">
        <f aca="false">TRIM(E996) &amp; TRIM(C996) &amp; TRIM(D996)</f>
        <v>First ReviewBid LinkGB</v>
      </c>
      <c r="K996" s="4" t="n">
        <f aca="false">IFERROR(I996*60,"")</f>
        <v>69.744</v>
      </c>
    </row>
    <row r="997" customFormat="false" ht="15" hidden="false" customHeight="false" outlineLevel="0" collapsed="false">
      <c r="A997" s="4" t="s">
        <v>15</v>
      </c>
      <c r="B997" s="4" t="s">
        <v>56</v>
      </c>
      <c r="C997" s="4" t="s">
        <v>72</v>
      </c>
      <c r="D997" s="4" t="s">
        <v>150</v>
      </c>
      <c r="E997" s="4" t="s">
        <v>63</v>
      </c>
      <c r="F997" s="4" t="s">
        <v>63</v>
      </c>
      <c r="G997" s="4" t="s">
        <v>858</v>
      </c>
      <c r="H997" s="4"/>
      <c r="I997" s="4" t="n">
        <v>0.3348</v>
      </c>
      <c r="J997" s="4" t="str">
        <f aca="false">TRIM(E997) &amp; TRIM(C997) &amp; TRIM(D997)</f>
        <v>First ReviewBid ImageDE</v>
      </c>
      <c r="K997" s="4" t="n">
        <f aca="false">IFERROR(I997*60,"")</f>
        <v>20.088</v>
      </c>
    </row>
    <row r="998" customFormat="false" ht="15" hidden="false" customHeight="false" outlineLevel="0" collapsed="false">
      <c r="A998" s="4" t="s">
        <v>15</v>
      </c>
      <c r="B998" s="4" t="s">
        <v>56</v>
      </c>
      <c r="C998" s="4" t="s">
        <v>93</v>
      </c>
      <c r="D998" s="4" t="s">
        <v>130</v>
      </c>
      <c r="E998" s="4" t="s">
        <v>63</v>
      </c>
      <c r="F998" s="4" t="s">
        <v>63</v>
      </c>
      <c r="G998" s="4" t="s">
        <v>859</v>
      </c>
      <c r="H998" s="4"/>
      <c r="I998" s="4" t="n">
        <v>0.6215</v>
      </c>
      <c r="J998" s="4" t="str">
        <f aca="false">TRIM(E998) &amp; TRIM(C998) &amp; TRIM(D998)</f>
        <v>First ReviewBid AudioMA</v>
      </c>
      <c r="K998" s="4" t="n">
        <f aca="false">IFERROR(I998*60,"")</f>
        <v>37.29</v>
      </c>
    </row>
    <row r="999" customFormat="false" ht="15" hidden="false" customHeight="false" outlineLevel="0" collapsed="false">
      <c r="A999" s="4" t="s">
        <v>15</v>
      </c>
      <c r="B999" s="4" t="s">
        <v>56</v>
      </c>
      <c r="C999" s="4" t="s">
        <v>69</v>
      </c>
      <c r="D999" s="4" t="s">
        <v>341</v>
      </c>
      <c r="E999" s="4" t="s">
        <v>63</v>
      </c>
      <c r="F999" s="4" t="s">
        <v>63</v>
      </c>
      <c r="G999" s="4" t="s">
        <v>860</v>
      </c>
      <c r="H999" s="4"/>
      <c r="I999" s="4" t="n">
        <v>1.3569</v>
      </c>
      <c r="J999" s="4" t="str">
        <f aca="false">TRIM(E999) &amp; TRIM(C999) &amp; TRIM(D999)</f>
        <v>First ReviewBid LinkBG</v>
      </c>
      <c r="K999" s="4" t="n">
        <f aca="false">IFERROR(I999*60,"")</f>
        <v>81.414</v>
      </c>
    </row>
    <row r="1000" customFormat="false" ht="15" hidden="false" customHeight="false" outlineLevel="0" collapsed="false">
      <c r="A1000" s="4" t="s">
        <v>15</v>
      </c>
      <c r="B1000" s="4" t="s">
        <v>56</v>
      </c>
      <c r="C1000" s="4" t="s">
        <v>57</v>
      </c>
      <c r="D1000" s="4" t="s">
        <v>76</v>
      </c>
      <c r="E1000" s="4" t="s">
        <v>59</v>
      </c>
      <c r="F1000" s="4" t="s">
        <v>59</v>
      </c>
      <c r="G1000" s="4" t="s">
        <v>614</v>
      </c>
      <c r="H1000" s="4"/>
      <c r="I1000" s="4" t="n">
        <v>10.9507</v>
      </c>
      <c r="J1000" s="4" t="str">
        <f aca="false">TRIM(E1000) &amp; TRIM(C1000) &amp; TRIM(D1000)</f>
        <v>Re-reviewBid Ad GroupLT</v>
      </c>
      <c r="K1000" s="4" t="n">
        <f aca="false">IFERROR(I1000*60,"")</f>
        <v>657.042</v>
      </c>
    </row>
    <row r="1001" customFormat="false" ht="15" hidden="false" customHeight="false" outlineLevel="0" collapsed="false">
      <c r="A1001" s="4" t="s">
        <v>15</v>
      </c>
      <c r="B1001" s="4" t="s">
        <v>56</v>
      </c>
      <c r="C1001" s="4" t="s">
        <v>57</v>
      </c>
      <c r="D1001" s="4" t="s">
        <v>128</v>
      </c>
      <c r="E1001" s="4" t="s">
        <v>66</v>
      </c>
      <c r="F1001" s="4" t="s">
        <v>67</v>
      </c>
      <c r="G1001" s="4" t="s">
        <v>129</v>
      </c>
      <c r="H1001" s="4"/>
      <c r="I1001" s="4" t="n">
        <v>0.8492</v>
      </c>
      <c r="J1001" s="4" t="str">
        <f aca="false">TRIM(E1001) &amp; TRIM(C1001) &amp; TRIM(D1001)</f>
        <v>Posted RecallBid Ad GroupBD</v>
      </c>
      <c r="K1001" s="4" t="n">
        <f aca="false">IFERROR(I1001*60,"")</f>
        <v>50.952</v>
      </c>
    </row>
    <row r="1002" customFormat="false" ht="15" hidden="false" customHeight="false" outlineLevel="0" collapsed="false">
      <c r="A1002" s="4" t="s">
        <v>15</v>
      </c>
      <c r="B1002" s="4" t="s">
        <v>56</v>
      </c>
      <c r="C1002" s="4" t="s">
        <v>72</v>
      </c>
      <c r="D1002" s="4" t="s">
        <v>79</v>
      </c>
      <c r="E1002" s="4" t="s">
        <v>63</v>
      </c>
      <c r="F1002" s="4" t="s">
        <v>63</v>
      </c>
      <c r="G1002" s="4" t="s">
        <v>861</v>
      </c>
      <c r="H1002" s="4"/>
      <c r="I1002" s="4" t="n">
        <v>0.5442</v>
      </c>
      <c r="J1002" s="4" t="str">
        <f aca="false">TRIM(E1002) &amp; TRIM(C1002) &amp; TRIM(D1002)</f>
        <v>First ReviewBid ImageZA</v>
      </c>
      <c r="K1002" s="4" t="n">
        <f aca="false">IFERROR(I1002*60,"")</f>
        <v>32.652</v>
      </c>
    </row>
    <row r="1003" customFormat="false" ht="15" hidden="false" customHeight="false" outlineLevel="0" collapsed="false">
      <c r="A1003" s="4" t="s">
        <v>15</v>
      </c>
      <c r="B1003" s="4" t="s">
        <v>56</v>
      </c>
      <c r="C1003" s="4" t="s">
        <v>81</v>
      </c>
      <c r="D1003" s="4" t="s">
        <v>267</v>
      </c>
      <c r="E1003" s="4" t="s">
        <v>63</v>
      </c>
      <c r="F1003" s="4" t="s">
        <v>63</v>
      </c>
      <c r="G1003" s="4" t="s">
        <v>862</v>
      </c>
      <c r="H1003" s="4"/>
      <c r="I1003" s="4" t="n">
        <v>0.4074</v>
      </c>
      <c r="J1003" s="4" t="str">
        <f aca="false">TRIM(E1003) &amp; TRIM(C1003) &amp; TRIM(D1003)</f>
        <v>First ReviewBid TextID</v>
      </c>
      <c r="K1003" s="4" t="n">
        <f aca="false">IFERROR(I1003*60,"")</f>
        <v>24.444</v>
      </c>
    </row>
    <row r="1004" customFormat="false" ht="15" hidden="false" customHeight="false" outlineLevel="0" collapsed="false">
      <c r="A1004" s="4" t="s">
        <v>15</v>
      </c>
      <c r="B1004" s="4" t="s">
        <v>56</v>
      </c>
      <c r="C1004" s="4" t="s">
        <v>61</v>
      </c>
      <c r="D1004" s="4" t="s">
        <v>124</v>
      </c>
      <c r="E1004" s="4" t="s">
        <v>63</v>
      </c>
      <c r="F1004" s="4" t="s">
        <v>63</v>
      </c>
      <c r="G1004" s="4" t="s">
        <v>863</v>
      </c>
      <c r="H1004" s="4"/>
      <c r="I1004" s="4" t="n">
        <v>1.8664</v>
      </c>
      <c r="J1004" s="4" t="str">
        <f aca="false">TRIM(E1004) &amp; TRIM(C1004) &amp; TRIM(D1004)</f>
        <v>First ReviewBid Ecom URLPT</v>
      </c>
      <c r="K1004" s="4" t="n">
        <f aca="false">IFERROR(I1004*60,"")</f>
        <v>111.984</v>
      </c>
    </row>
    <row r="1005" customFormat="false" ht="15" hidden="false" customHeight="false" outlineLevel="0" collapsed="false">
      <c r="A1005" s="4" t="s">
        <v>15</v>
      </c>
      <c r="B1005" s="4" t="s">
        <v>56</v>
      </c>
      <c r="C1005" s="4" t="s">
        <v>81</v>
      </c>
      <c r="D1005" s="4" t="s">
        <v>275</v>
      </c>
      <c r="E1005" s="4" t="s">
        <v>63</v>
      </c>
      <c r="F1005" s="4" t="s">
        <v>63</v>
      </c>
      <c r="G1005" s="4" t="s">
        <v>864</v>
      </c>
      <c r="H1005" s="4"/>
      <c r="I1005" s="4" t="n">
        <v>0.4995</v>
      </c>
      <c r="J1005" s="4" t="str">
        <f aca="false">TRIM(E1005) &amp; TRIM(C1005) &amp; TRIM(D1005)</f>
        <v>First ReviewBid TextGB</v>
      </c>
      <c r="K1005" s="4" t="n">
        <f aca="false">IFERROR(I1005*60,"")</f>
        <v>29.97</v>
      </c>
    </row>
    <row r="1006" customFormat="false" ht="15" hidden="false" customHeight="false" outlineLevel="0" collapsed="false">
      <c r="A1006" s="4" t="s">
        <v>15</v>
      </c>
      <c r="B1006" s="4" t="s">
        <v>56</v>
      </c>
      <c r="C1006" s="4" t="s">
        <v>75</v>
      </c>
      <c r="D1006" s="4" t="s">
        <v>113</v>
      </c>
      <c r="E1006" s="4" t="s">
        <v>66</v>
      </c>
      <c r="F1006" s="4" t="s">
        <v>67</v>
      </c>
      <c r="G1006" s="4" t="s">
        <v>114</v>
      </c>
      <c r="H1006" s="4"/>
      <c r="I1006" s="4" t="n">
        <v>2.1342</v>
      </c>
      <c r="J1006" s="4" t="str">
        <f aca="false">TRIM(E1006) &amp; TRIM(C1006) &amp; TRIM(D1006)</f>
        <v>Posted RecallBid Ecom Ads GroupNL</v>
      </c>
      <c r="K1006" s="4" t="n">
        <f aca="false">IFERROR(I1006*60,"")</f>
        <v>128.052</v>
      </c>
    </row>
    <row r="1007" customFormat="false" ht="15" hidden="false" customHeight="false" outlineLevel="0" collapsed="false">
      <c r="A1007" s="4" t="s">
        <v>15</v>
      </c>
      <c r="B1007" s="4" t="s">
        <v>56</v>
      </c>
      <c r="C1007" s="4" t="s">
        <v>57</v>
      </c>
      <c r="D1007" s="4" t="s">
        <v>275</v>
      </c>
      <c r="E1007" s="4" t="s">
        <v>63</v>
      </c>
      <c r="F1007" s="4" t="s">
        <v>63</v>
      </c>
      <c r="G1007" s="4" t="s">
        <v>325</v>
      </c>
      <c r="H1007" s="4"/>
      <c r="I1007" s="4" t="n">
        <v>3.0333</v>
      </c>
      <c r="J1007" s="4" t="str">
        <f aca="false">TRIM(E1007) &amp; TRIM(C1007) &amp; TRIM(D1007)</f>
        <v>First ReviewBid Ad GroupGB</v>
      </c>
      <c r="K1007" s="4" t="n">
        <f aca="false">IFERROR(I1007*60,"")</f>
        <v>181.998</v>
      </c>
    </row>
    <row r="1008" customFormat="false" ht="15" hidden="false" customHeight="false" outlineLevel="0" collapsed="false">
      <c r="A1008" s="4" t="s">
        <v>15</v>
      </c>
      <c r="B1008" s="4" t="s">
        <v>56</v>
      </c>
      <c r="C1008" s="4" t="s">
        <v>61</v>
      </c>
      <c r="D1008" s="4" t="s">
        <v>139</v>
      </c>
      <c r="E1008" s="4" t="s">
        <v>63</v>
      </c>
      <c r="F1008" s="4" t="s">
        <v>63</v>
      </c>
      <c r="G1008" s="4" t="s">
        <v>865</v>
      </c>
      <c r="H1008" s="4"/>
      <c r="I1008" s="4" t="n">
        <v>0.9939</v>
      </c>
      <c r="J1008" s="4" t="str">
        <f aca="false">TRIM(E1008) &amp; TRIM(C1008) &amp; TRIM(D1008)</f>
        <v>First ReviewBid Ecom URLEG</v>
      </c>
      <c r="K1008" s="4" t="n">
        <f aca="false">IFERROR(I1008*60,"")</f>
        <v>59.634</v>
      </c>
    </row>
    <row r="1009" customFormat="false" ht="15" hidden="false" customHeight="false" outlineLevel="0" collapsed="false">
      <c r="A1009" s="4" t="s">
        <v>15</v>
      </c>
      <c r="B1009" s="4" t="s">
        <v>56</v>
      </c>
      <c r="C1009" s="4" t="s">
        <v>75</v>
      </c>
      <c r="D1009" s="4" t="s">
        <v>206</v>
      </c>
      <c r="E1009" s="4" t="s">
        <v>59</v>
      </c>
      <c r="F1009" s="4" t="s">
        <v>59</v>
      </c>
      <c r="G1009" s="4" t="s">
        <v>748</v>
      </c>
      <c r="H1009" s="4"/>
      <c r="I1009" s="4" t="n">
        <v>5.9737</v>
      </c>
      <c r="J1009" s="4" t="str">
        <f aca="false">TRIM(E1009) &amp; TRIM(C1009) &amp; TRIM(D1009)</f>
        <v>Re-reviewBid Ecom Ads GroupDZ</v>
      </c>
      <c r="K1009" s="4" t="n">
        <f aca="false">IFERROR(I1009*60,"")</f>
        <v>358.422</v>
      </c>
    </row>
    <row r="1010" customFormat="false" ht="15" hidden="false" customHeight="false" outlineLevel="0" collapsed="false">
      <c r="A1010" s="4" t="s">
        <v>15</v>
      </c>
      <c r="B1010" s="4" t="s">
        <v>56</v>
      </c>
      <c r="C1010" s="4" t="s">
        <v>72</v>
      </c>
      <c r="D1010" s="4" t="s">
        <v>265</v>
      </c>
      <c r="E1010" s="4" t="s">
        <v>63</v>
      </c>
      <c r="F1010" s="4" t="s">
        <v>63</v>
      </c>
      <c r="G1010" s="4" t="s">
        <v>866</v>
      </c>
      <c r="H1010" s="4"/>
      <c r="I1010" s="4" t="n">
        <v>0.6388</v>
      </c>
      <c r="J1010" s="4" t="str">
        <f aca="false">TRIM(E1010) &amp; TRIM(C1010) &amp; TRIM(D1010)</f>
        <v>First ReviewBid ImageNO</v>
      </c>
      <c r="K1010" s="4" t="n">
        <f aca="false">IFERROR(I1010*60,"")</f>
        <v>38.328</v>
      </c>
    </row>
    <row r="1011" customFormat="false" ht="15" hidden="false" customHeight="false" outlineLevel="0" collapsed="false">
      <c r="A1011" s="4" t="s">
        <v>15</v>
      </c>
      <c r="B1011" s="4" t="s">
        <v>56</v>
      </c>
      <c r="C1011" s="4" t="s">
        <v>75</v>
      </c>
      <c r="D1011" s="4" t="s">
        <v>255</v>
      </c>
      <c r="E1011" s="4" t="s">
        <v>66</v>
      </c>
      <c r="F1011" s="4" t="s">
        <v>67</v>
      </c>
      <c r="G1011" s="4" t="s">
        <v>303</v>
      </c>
      <c r="H1011" s="4"/>
      <c r="I1011" s="4" t="n">
        <v>1.9248</v>
      </c>
      <c r="J1011" s="4" t="str">
        <f aca="false">TRIM(E1011) &amp; TRIM(C1011) &amp; TRIM(D1011)</f>
        <v>Posted RecallBid Ecom Ads GroupNZ</v>
      </c>
      <c r="K1011" s="4" t="n">
        <f aca="false">IFERROR(I1011*60,"")</f>
        <v>115.488</v>
      </c>
    </row>
    <row r="1012" customFormat="false" ht="15" hidden="false" customHeight="false" outlineLevel="0" collapsed="false">
      <c r="A1012" s="4" t="s">
        <v>15</v>
      </c>
      <c r="B1012" s="4" t="s">
        <v>56</v>
      </c>
      <c r="C1012" s="4" t="s">
        <v>119</v>
      </c>
      <c r="D1012" s="4" t="s">
        <v>121</v>
      </c>
      <c r="E1012" s="4" t="s">
        <v>63</v>
      </c>
      <c r="F1012" s="4" t="s">
        <v>63</v>
      </c>
      <c r="G1012" s="4" t="s">
        <v>867</v>
      </c>
      <c r="H1012" s="4"/>
      <c r="I1012" s="4" t="n">
        <v>4.0649</v>
      </c>
      <c r="J1012" s="4" t="str">
        <f aca="false">TRIM(E1012) &amp; TRIM(C1012) &amp; TRIM(D1012)</f>
        <v>First ReviewBid Pre ApprovalKR</v>
      </c>
      <c r="K1012" s="4" t="n">
        <f aca="false">IFERROR(I1012*60,"")</f>
        <v>243.894</v>
      </c>
    </row>
    <row r="1013" customFormat="false" ht="15" hidden="false" customHeight="false" outlineLevel="0" collapsed="false">
      <c r="A1013" s="4" t="s">
        <v>15</v>
      </c>
      <c r="B1013" s="4" t="s">
        <v>56</v>
      </c>
      <c r="C1013" s="4" t="s">
        <v>93</v>
      </c>
      <c r="D1013" s="4" t="s">
        <v>171</v>
      </c>
      <c r="E1013" s="4" t="s">
        <v>63</v>
      </c>
      <c r="F1013" s="4" t="s">
        <v>63</v>
      </c>
      <c r="G1013" s="4" t="s">
        <v>868</v>
      </c>
      <c r="H1013" s="4"/>
      <c r="I1013" s="4" t="n">
        <v>2.1903</v>
      </c>
      <c r="J1013" s="4" t="str">
        <f aca="false">TRIM(E1013) &amp; TRIM(C1013) &amp; TRIM(D1013)</f>
        <v>First ReviewBid AudioKE</v>
      </c>
      <c r="K1013" s="4" t="n">
        <f aca="false">IFERROR(I1013*60,"")</f>
        <v>131.418</v>
      </c>
    </row>
    <row r="1014" customFormat="false" ht="15" hidden="false" customHeight="false" outlineLevel="0" collapsed="false">
      <c r="A1014" s="4" t="s">
        <v>15</v>
      </c>
      <c r="B1014" s="4" t="s">
        <v>56</v>
      </c>
      <c r="C1014" s="4" t="s">
        <v>57</v>
      </c>
      <c r="D1014" s="4" t="s">
        <v>306</v>
      </c>
      <c r="E1014" s="4" t="s">
        <v>59</v>
      </c>
      <c r="F1014" s="4" t="s">
        <v>59</v>
      </c>
      <c r="G1014" s="4" t="s">
        <v>511</v>
      </c>
      <c r="H1014" s="4"/>
      <c r="I1014" s="4" t="n">
        <v>5.2004</v>
      </c>
      <c r="J1014" s="4" t="str">
        <f aca="false">TRIM(E1014) &amp; TRIM(C1014) &amp; TRIM(D1014)</f>
        <v>Re-reviewBid Ad GroupTH</v>
      </c>
      <c r="K1014" s="4" t="n">
        <f aca="false">IFERROR(I1014*60,"")</f>
        <v>312.024</v>
      </c>
    </row>
    <row r="1015" customFormat="false" ht="15" hidden="false" customHeight="false" outlineLevel="0" collapsed="false">
      <c r="A1015" s="4" t="s">
        <v>15</v>
      </c>
      <c r="B1015" s="4" t="s">
        <v>56</v>
      </c>
      <c r="C1015" s="4" t="s">
        <v>57</v>
      </c>
      <c r="D1015" s="4" t="s">
        <v>104</v>
      </c>
      <c r="E1015" s="4" t="s">
        <v>63</v>
      </c>
      <c r="F1015" s="4" t="s">
        <v>63</v>
      </c>
      <c r="G1015" s="4" t="s">
        <v>105</v>
      </c>
      <c r="H1015" s="4"/>
      <c r="I1015" s="4" t="n">
        <v>1.8972</v>
      </c>
      <c r="J1015" s="4" t="str">
        <f aca="false">TRIM(E1015) &amp; TRIM(C1015) &amp; TRIM(D1015)</f>
        <v>First ReviewBid Ad GroupIE</v>
      </c>
      <c r="K1015" s="4" t="n">
        <f aca="false">IFERROR(I1015*60,"")</f>
        <v>113.832</v>
      </c>
    </row>
    <row r="1016" customFormat="false" ht="15" hidden="false" customHeight="false" outlineLevel="0" collapsed="false">
      <c r="A1016" s="4" t="s">
        <v>15</v>
      </c>
      <c r="B1016" s="4" t="s">
        <v>56</v>
      </c>
      <c r="C1016" s="4" t="s">
        <v>57</v>
      </c>
      <c r="D1016" s="4" t="s">
        <v>299</v>
      </c>
      <c r="E1016" s="4" t="s">
        <v>66</v>
      </c>
      <c r="F1016" s="4" t="s">
        <v>67</v>
      </c>
      <c r="G1016" s="4" t="s">
        <v>300</v>
      </c>
      <c r="H1016" s="4"/>
      <c r="I1016" s="4" t="n">
        <v>2.8638</v>
      </c>
      <c r="J1016" s="4" t="str">
        <f aca="false">TRIM(E1016) &amp; TRIM(C1016) &amp; TRIM(D1016)</f>
        <v>Posted RecallBid Ad GroupQA</v>
      </c>
      <c r="K1016" s="4" t="n">
        <f aca="false">IFERROR(I1016*60,"")</f>
        <v>171.828</v>
      </c>
    </row>
    <row r="1017" customFormat="false" ht="15" hidden="false" customHeight="false" outlineLevel="0" collapsed="false">
      <c r="A1017" s="4" t="s">
        <v>15</v>
      </c>
      <c r="B1017" s="4" t="s">
        <v>56</v>
      </c>
      <c r="C1017" s="4" t="s">
        <v>57</v>
      </c>
      <c r="D1017" s="4" t="s">
        <v>115</v>
      </c>
      <c r="E1017" s="4" t="s">
        <v>63</v>
      </c>
      <c r="F1017" s="4" t="s">
        <v>63</v>
      </c>
      <c r="G1017" s="4" t="s">
        <v>116</v>
      </c>
      <c r="H1017" s="4"/>
      <c r="I1017" s="4" t="n">
        <v>2.2181</v>
      </c>
      <c r="J1017" s="4" t="str">
        <f aca="false">TRIM(E1017) &amp; TRIM(C1017) &amp; TRIM(D1017)</f>
        <v>First ReviewBid Ad GroupAT</v>
      </c>
      <c r="K1017" s="4" t="n">
        <f aca="false">IFERROR(I1017*60,"")</f>
        <v>133.086</v>
      </c>
    </row>
    <row r="1018" customFormat="false" ht="15" hidden="false" customHeight="false" outlineLevel="0" collapsed="false">
      <c r="A1018" s="4" t="s">
        <v>15</v>
      </c>
      <c r="B1018" s="4" t="s">
        <v>56</v>
      </c>
      <c r="C1018" s="4" t="s">
        <v>93</v>
      </c>
      <c r="D1018" s="4" t="s">
        <v>154</v>
      </c>
      <c r="E1018" s="4" t="s">
        <v>63</v>
      </c>
      <c r="F1018" s="4" t="s">
        <v>63</v>
      </c>
      <c r="G1018" s="4" t="s">
        <v>869</v>
      </c>
      <c r="H1018" s="4"/>
      <c r="I1018" s="4" t="n">
        <v>0.8461</v>
      </c>
      <c r="J1018" s="4" t="str">
        <f aca="false">TRIM(E1018) &amp; TRIM(C1018) &amp; TRIM(D1018)</f>
        <v>First ReviewBid AudioES</v>
      </c>
      <c r="K1018" s="4" t="n">
        <f aca="false">IFERROR(I1018*60,"")</f>
        <v>50.766</v>
      </c>
    </row>
    <row r="1019" customFormat="false" ht="15" hidden="false" customHeight="false" outlineLevel="0" collapsed="false">
      <c r="A1019" s="4" t="s">
        <v>15</v>
      </c>
      <c r="B1019" s="4" t="s">
        <v>56</v>
      </c>
      <c r="C1019" s="4" t="s">
        <v>57</v>
      </c>
      <c r="D1019" s="4" t="s">
        <v>113</v>
      </c>
      <c r="E1019" s="4" t="s">
        <v>63</v>
      </c>
      <c r="F1019" s="4" t="s">
        <v>63</v>
      </c>
      <c r="G1019" s="4" t="s">
        <v>364</v>
      </c>
      <c r="H1019" s="4"/>
      <c r="I1019" s="4" t="n">
        <v>2.4139</v>
      </c>
      <c r="J1019" s="4" t="str">
        <f aca="false">TRIM(E1019) &amp; TRIM(C1019) &amp; TRIM(D1019)</f>
        <v>First ReviewBid Ad GroupNL</v>
      </c>
      <c r="K1019" s="4" t="n">
        <f aca="false">IFERROR(I1019*60,"")</f>
        <v>144.834</v>
      </c>
    </row>
    <row r="1020" customFormat="false" ht="15" hidden="false" customHeight="false" outlineLevel="0" collapsed="false">
      <c r="A1020" s="4" t="s">
        <v>15</v>
      </c>
      <c r="B1020" s="4" t="s">
        <v>56</v>
      </c>
      <c r="C1020" s="4" t="s">
        <v>84</v>
      </c>
      <c r="D1020" s="4" t="s">
        <v>246</v>
      </c>
      <c r="E1020" s="4" t="s">
        <v>63</v>
      </c>
      <c r="F1020" s="4" t="s">
        <v>63</v>
      </c>
      <c r="G1020" s="4" t="s">
        <v>870</v>
      </c>
      <c r="H1020" s="4"/>
      <c r="I1020" s="4" t="n">
        <v>4.869</v>
      </c>
      <c r="J1020" s="4" t="str">
        <f aca="false">TRIM(E1020) &amp; TRIM(C1020) &amp; TRIM(D1020)</f>
        <v>First ReviewBid Ecom VideoLV</v>
      </c>
      <c r="K1020" s="4" t="n">
        <f aca="false">IFERROR(I1020*60,"")</f>
        <v>292.14</v>
      </c>
    </row>
    <row r="1021" customFormat="false" ht="15" hidden="false" customHeight="false" outlineLevel="0" collapsed="false">
      <c r="A1021" s="4" t="s">
        <v>15</v>
      </c>
      <c r="B1021" s="4" t="s">
        <v>56</v>
      </c>
      <c r="C1021" s="4" t="s">
        <v>57</v>
      </c>
      <c r="D1021" s="4" t="s">
        <v>238</v>
      </c>
      <c r="E1021" s="4" t="s">
        <v>66</v>
      </c>
      <c r="F1021" s="4" t="s">
        <v>67</v>
      </c>
      <c r="G1021" s="4" t="s">
        <v>239</v>
      </c>
      <c r="H1021" s="4"/>
      <c r="I1021" s="4" t="n">
        <v>1.4117</v>
      </c>
      <c r="J1021" s="4" t="str">
        <f aca="false">TRIM(E1021) &amp; TRIM(C1021) &amp; TRIM(D1021)</f>
        <v>Posted RecallBid Ad GroupCH</v>
      </c>
      <c r="K1021" s="4" t="n">
        <f aca="false">IFERROR(I1021*60,"")</f>
        <v>84.702</v>
      </c>
    </row>
    <row r="1022" customFormat="false" ht="15" hidden="false" customHeight="false" outlineLevel="0" collapsed="false">
      <c r="A1022" s="4" t="s">
        <v>15</v>
      </c>
      <c r="B1022" s="4" t="s">
        <v>56</v>
      </c>
      <c r="C1022" s="4" t="s">
        <v>84</v>
      </c>
      <c r="D1022" s="4" t="s">
        <v>97</v>
      </c>
      <c r="E1022" s="4" t="s">
        <v>63</v>
      </c>
      <c r="F1022" s="4" t="s">
        <v>63</v>
      </c>
      <c r="G1022" s="4" t="s">
        <v>871</v>
      </c>
      <c r="H1022" s="4"/>
      <c r="I1022" s="4" t="n">
        <v>1.4802</v>
      </c>
      <c r="J1022" s="4" t="str">
        <f aca="false">TRIM(E1022) &amp; TRIM(C1022) &amp; TRIM(D1022)</f>
        <v>First ReviewBid Ecom VideoBR</v>
      </c>
      <c r="K1022" s="4" t="n">
        <f aca="false">IFERROR(I1022*60,"")</f>
        <v>88.812</v>
      </c>
    </row>
    <row r="1023" customFormat="false" ht="15" hidden="false" customHeight="false" outlineLevel="0" collapsed="false">
      <c r="A1023" s="4" t="s">
        <v>15</v>
      </c>
      <c r="B1023" s="4" t="s">
        <v>56</v>
      </c>
      <c r="C1023" s="4" t="s">
        <v>69</v>
      </c>
      <c r="D1023" s="4" t="s">
        <v>235</v>
      </c>
      <c r="E1023" s="4" t="s">
        <v>63</v>
      </c>
      <c r="F1023" s="4" t="s">
        <v>63</v>
      </c>
      <c r="G1023" s="4" t="s">
        <v>872</v>
      </c>
      <c r="H1023" s="4"/>
      <c r="I1023" s="4" t="n">
        <v>1.4503</v>
      </c>
      <c r="J1023" s="4" t="str">
        <f aca="false">TRIM(E1023) &amp; TRIM(C1023) &amp; TRIM(D1023)</f>
        <v>First ReviewBid LinkJP</v>
      </c>
      <c r="K1023" s="4" t="n">
        <f aca="false">IFERROR(I1023*60,"")</f>
        <v>87.018</v>
      </c>
    </row>
    <row r="1024" customFormat="false" ht="15" hidden="false" customHeight="false" outlineLevel="0" collapsed="false">
      <c r="A1024" s="4" t="s">
        <v>15</v>
      </c>
      <c r="B1024" s="4" t="s">
        <v>56</v>
      </c>
      <c r="C1024" s="4" t="s">
        <v>78</v>
      </c>
      <c r="D1024" s="4" t="s">
        <v>106</v>
      </c>
      <c r="E1024" s="4" t="s">
        <v>63</v>
      </c>
      <c r="F1024" s="4" t="s">
        <v>63</v>
      </c>
      <c r="G1024" s="4" t="s">
        <v>873</v>
      </c>
      <c r="H1024" s="4"/>
      <c r="I1024" s="4" t="n">
        <v>1.3071</v>
      </c>
      <c r="J1024" s="4" t="str">
        <f aca="false">TRIM(E1024) &amp; TRIM(C1024) &amp; TRIM(D1024)</f>
        <v>First ReviewBid VideoMY</v>
      </c>
      <c r="K1024" s="4" t="n">
        <f aca="false">IFERROR(I1024*60,"")</f>
        <v>78.426</v>
      </c>
    </row>
    <row r="1025" customFormat="false" ht="15" hidden="false" customHeight="false" outlineLevel="0" collapsed="false">
      <c r="A1025" s="4" t="s">
        <v>15</v>
      </c>
      <c r="B1025" s="4" t="s">
        <v>56</v>
      </c>
      <c r="C1025" s="4" t="s">
        <v>72</v>
      </c>
      <c r="D1025" s="4" t="s">
        <v>102</v>
      </c>
      <c r="E1025" s="4" t="s">
        <v>63</v>
      </c>
      <c r="F1025" s="4" t="s">
        <v>63</v>
      </c>
      <c r="G1025" s="4" t="s">
        <v>874</v>
      </c>
      <c r="H1025" s="4"/>
      <c r="I1025" s="4" t="n">
        <v>0.5188</v>
      </c>
      <c r="J1025" s="4" t="str">
        <f aca="false">TRIM(E1025) &amp; TRIM(C1025) &amp; TRIM(D1025)</f>
        <v>First ReviewBid ImageSE</v>
      </c>
      <c r="K1025" s="4" t="n">
        <f aca="false">IFERROR(I1025*60,"")</f>
        <v>31.128</v>
      </c>
    </row>
    <row r="1026" customFormat="false" ht="15" hidden="false" customHeight="false" outlineLevel="0" collapsed="false">
      <c r="A1026" s="4" t="s">
        <v>15</v>
      </c>
      <c r="B1026" s="4" t="s">
        <v>56</v>
      </c>
      <c r="C1026" s="4" t="s">
        <v>81</v>
      </c>
      <c r="D1026" s="4" t="s">
        <v>284</v>
      </c>
      <c r="E1026" s="4" t="s">
        <v>63</v>
      </c>
      <c r="F1026" s="4" t="s">
        <v>63</v>
      </c>
      <c r="G1026" s="4" t="s">
        <v>875</v>
      </c>
      <c r="H1026" s="4"/>
      <c r="I1026" s="4" t="n">
        <v>0.5951</v>
      </c>
      <c r="J1026" s="4" t="str">
        <f aca="false">TRIM(E1026) &amp; TRIM(C1026) &amp; TRIM(D1026)</f>
        <v>First ReviewBid TextTR</v>
      </c>
      <c r="K1026" s="4" t="n">
        <f aca="false">IFERROR(I1026*60,"")</f>
        <v>35.706</v>
      </c>
    </row>
    <row r="1027" customFormat="false" ht="15" hidden="false" customHeight="false" outlineLevel="0" collapsed="false">
      <c r="A1027" s="4" t="s">
        <v>15</v>
      </c>
      <c r="B1027" s="4" t="s">
        <v>56</v>
      </c>
      <c r="C1027" s="4" t="s">
        <v>57</v>
      </c>
      <c r="D1027" s="4" t="s">
        <v>159</v>
      </c>
      <c r="E1027" s="4" t="s">
        <v>63</v>
      </c>
      <c r="F1027" s="4" t="s">
        <v>63</v>
      </c>
      <c r="G1027" s="4" t="s">
        <v>230</v>
      </c>
      <c r="H1027" s="4"/>
      <c r="I1027" s="4" t="n">
        <v>2.8285</v>
      </c>
      <c r="J1027" s="4" t="str">
        <f aca="false">TRIM(E1027) &amp; TRIM(C1027) &amp; TRIM(D1027)</f>
        <v>First ReviewBid Ad GroupDO</v>
      </c>
      <c r="K1027" s="4" t="n">
        <f aca="false">IFERROR(I1027*60,"")</f>
        <v>169.71</v>
      </c>
    </row>
    <row r="1028" customFormat="false" ht="15" hidden="false" customHeight="false" outlineLevel="0" collapsed="false">
      <c r="A1028" s="4" t="s">
        <v>15</v>
      </c>
      <c r="B1028" s="4" t="s">
        <v>56</v>
      </c>
      <c r="C1028" s="4" t="s">
        <v>57</v>
      </c>
      <c r="D1028" s="4" t="s">
        <v>271</v>
      </c>
      <c r="E1028" s="4" t="s">
        <v>63</v>
      </c>
      <c r="F1028" s="4" t="s">
        <v>63</v>
      </c>
      <c r="G1028" s="4" t="s">
        <v>272</v>
      </c>
      <c r="H1028" s="4"/>
      <c r="I1028" s="4" t="n">
        <v>1.2691</v>
      </c>
      <c r="J1028" s="4" t="str">
        <f aca="false">TRIM(E1028) &amp; TRIM(C1028) &amp; TRIM(D1028)</f>
        <v>First ReviewBid Ad GroupKW</v>
      </c>
      <c r="K1028" s="4" t="n">
        <f aca="false">IFERROR(I1028*60,"")</f>
        <v>76.146</v>
      </c>
    </row>
    <row r="1029" customFormat="false" ht="15" hidden="false" customHeight="false" outlineLevel="0" collapsed="false">
      <c r="A1029" s="4" t="s">
        <v>15</v>
      </c>
      <c r="B1029" s="4" t="s">
        <v>56</v>
      </c>
      <c r="C1029" s="4" t="s">
        <v>69</v>
      </c>
      <c r="D1029" s="4" t="s">
        <v>152</v>
      </c>
      <c r="E1029" s="4" t="s">
        <v>63</v>
      </c>
      <c r="F1029" s="4" t="s">
        <v>63</v>
      </c>
      <c r="G1029" s="4" t="s">
        <v>876</v>
      </c>
      <c r="H1029" s="4"/>
      <c r="I1029" s="4" t="n">
        <v>0.5326</v>
      </c>
      <c r="J1029" s="4" t="str">
        <f aca="false">TRIM(E1029) &amp; TRIM(C1029) &amp; TRIM(D1029)</f>
        <v>First ReviewBid LinkCY</v>
      </c>
      <c r="K1029" s="4" t="n">
        <f aca="false">IFERROR(I1029*60,"")</f>
        <v>31.956</v>
      </c>
    </row>
    <row r="1030" customFormat="false" ht="15" hidden="false" customHeight="false" outlineLevel="0" collapsed="false">
      <c r="A1030" s="4" t="s">
        <v>15</v>
      </c>
      <c r="B1030" s="4" t="s">
        <v>56</v>
      </c>
      <c r="C1030" s="4" t="s">
        <v>78</v>
      </c>
      <c r="D1030" s="4" t="s">
        <v>310</v>
      </c>
      <c r="E1030" s="4" t="s">
        <v>63</v>
      </c>
      <c r="F1030" s="4" t="s">
        <v>63</v>
      </c>
      <c r="G1030" s="4" t="s">
        <v>877</v>
      </c>
      <c r="H1030" s="4"/>
      <c r="I1030" s="4" t="n">
        <v>1.0071</v>
      </c>
      <c r="J1030" s="4" t="str">
        <f aca="false">TRIM(E1030) &amp; TRIM(C1030) &amp; TRIM(D1030)</f>
        <v>First ReviewBid VideoUY</v>
      </c>
      <c r="K1030" s="4" t="n">
        <f aca="false">IFERROR(I1030*60,"")</f>
        <v>60.426</v>
      </c>
    </row>
    <row r="1031" customFormat="false" ht="15" hidden="false" customHeight="false" outlineLevel="0" collapsed="false">
      <c r="A1031" s="4" t="s">
        <v>15</v>
      </c>
      <c r="B1031" s="4" t="s">
        <v>56</v>
      </c>
      <c r="C1031" s="4" t="s">
        <v>72</v>
      </c>
      <c r="D1031" s="4" t="s">
        <v>299</v>
      </c>
      <c r="E1031" s="4" t="s">
        <v>63</v>
      </c>
      <c r="F1031" s="4" t="s">
        <v>63</v>
      </c>
      <c r="G1031" s="4" t="s">
        <v>878</v>
      </c>
      <c r="H1031" s="4"/>
      <c r="I1031" s="4" t="n">
        <v>0.3963</v>
      </c>
      <c r="J1031" s="4" t="str">
        <f aca="false">TRIM(E1031) &amp; TRIM(C1031) &amp; TRIM(D1031)</f>
        <v>First ReviewBid ImageQA</v>
      </c>
      <c r="K1031" s="4" t="n">
        <f aca="false">IFERROR(I1031*60,"")</f>
        <v>23.778</v>
      </c>
    </row>
    <row r="1032" customFormat="false" ht="15" hidden="false" customHeight="false" outlineLevel="0" collapsed="false">
      <c r="A1032" s="4" t="s">
        <v>15</v>
      </c>
      <c r="B1032" s="4" t="s">
        <v>56</v>
      </c>
      <c r="C1032" s="4" t="s">
        <v>57</v>
      </c>
      <c r="D1032" s="4" t="s">
        <v>199</v>
      </c>
      <c r="E1032" s="4" t="s">
        <v>59</v>
      </c>
      <c r="F1032" s="4" t="s">
        <v>59</v>
      </c>
      <c r="G1032" s="4" t="s">
        <v>613</v>
      </c>
      <c r="H1032" s="4"/>
      <c r="I1032" s="4" t="n">
        <v>5.5935</v>
      </c>
      <c r="J1032" s="4" t="str">
        <f aca="false">TRIM(E1032) &amp; TRIM(C1032) &amp; TRIM(D1032)</f>
        <v>Re-reviewBid Ad GroupBH</v>
      </c>
      <c r="K1032" s="4" t="n">
        <f aca="false">IFERROR(I1032*60,"")</f>
        <v>335.61</v>
      </c>
    </row>
    <row r="1033" customFormat="false" ht="15" hidden="false" customHeight="false" outlineLevel="0" collapsed="false">
      <c r="A1033" s="4" t="s">
        <v>15</v>
      </c>
      <c r="B1033" s="4" t="s">
        <v>56</v>
      </c>
      <c r="C1033" s="4" t="s">
        <v>69</v>
      </c>
      <c r="D1033" s="4" t="s">
        <v>221</v>
      </c>
      <c r="E1033" s="4" t="s">
        <v>63</v>
      </c>
      <c r="F1033" s="4" t="s">
        <v>63</v>
      </c>
      <c r="G1033" s="4" t="s">
        <v>879</v>
      </c>
      <c r="H1033" s="4"/>
      <c r="I1033" s="4" t="n">
        <v>0.5556</v>
      </c>
      <c r="J1033" s="4" t="str">
        <f aca="false">TRIM(E1033) &amp; TRIM(C1033) &amp; TRIM(D1033)</f>
        <v>First ReviewBid LinkOM</v>
      </c>
      <c r="K1033" s="4" t="n">
        <f aca="false">IFERROR(I1033*60,"")</f>
        <v>33.336</v>
      </c>
    </row>
    <row r="1034" customFormat="false" ht="15" hidden="false" customHeight="false" outlineLevel="0" collapsed="false">
      <c r="A1034" s="4" t="s">
        <v>15</v>
      </c>
      <c r="B1034" s="4" t="s">
        <v>56</v>
      </c>
      <c r="C1034" s="4" t="s">
        <v>69</v>
      </c>
      <c r="D1034" s="4" t="s">
        <v>199</v>
      </c>
      <c r="E1034" s="4" t="s">
        <v>63</v>
      </c>
      <c r="F1034" s="4" t="s">
        <v>63</v>
      </c>
      <c r="G1034" s="4" t="s">
        <v>880</v>
      </c>
      <c r="H1034" s="4"/>
      <c r="I1034" s="4" t="n">
        <v>0.5933</v>
      </c>
      <c r="J1034" s="4" t="str">
        <f aca="false">TRIM(E1034) &amp; TRIM(C1034) &amp; TRIM(D1034)</f>
        <v>First ReviewBid LinkBH</v>
      </c>
      <c r="K1034" s="4" t="n">
        <f aca="false">IFERROR(I1034*60,"")</f>
        <v>35.598</v>
      </c>
    </row>
    <row r="1035" customFormat="false" ht="15" hidden="false" customHeight="false" outlineLevel="0" collapsed="false">
      <c r="A1035" s="4" t="s">
        <v>15</v>
      </c>
      <c r="B1035" s="4" t="s">
        <v>56</v>
      </c>
      <c r="C1035" s="4" t="s">
        <v>57</v>
      </c>
      <c r="D1035" s="4" t="s">
        <v>70</v>
      </c>
      <c r="E1035" s="4" t="s">
        <v>59</v>
      </c>
      <c r="F1035" s="4" t="s">
        <v>59</v>
      </c>
      <c r="G1035" s="4" t="s">
        <v>503</v>
      </c>
      <c r="H1035" s="4"/>
      <c r="I1035" s="4" t="n">
        <v>7.1207</v>
      </c>
      <c r="J1035" s="4" t="str">
        <f aca="false">TRIM(E1035) &amp; TRIM(C1035) &amp; TRIM(D1035)</f>
        <v>Re-reviewBid Ad GroupBE</v>
      </c>
      <c r="K1035" s="4" t="n">
        <f aca="false">IFERROR(I1035*60,"")</f>
        <v>427.242</v>
      </c>
    </row>
    <row r="1036" customFormat="false" ht="15" hidden="false" customHeight="false" outlineLevel="0" collapsed="false">
      <c r="A1036" s="4" t="s">
        <v>15</v>
      </c>
      <c r="B1036" s="4" t="s">
        <v>56</v>
      </c>
      <c r="C1036" s="4" t="s">
        <v>57</v>
      </c>
      <c r="D1036" s="4" t="s">
        <v>130</v>
      </c>
      <c r="E1036" s="4" t="s">
        <v>63</v>
      </c>
      <c r="F1036" s="4" t="s">
        <v>63</v>
      </c>
      <c r="G1036" s="4" t="s">
        <v>224</v>
      </c>
      <c r="H1036" s="4"/>
      <c r="I1036" s="4" t="n">
        <v>1.8025</v>
      </c>
      <c r="J1036" s="4" t="str">
        <f aca="false">TRIM(E1036) &amp; TRIM(C1036) &amp; TRIM(D1036)</f>
        <v>First ReviewBid Ad GroupMA</v>
      </c>
      <c r="K1036" s="4" t="n">
        <f aca="false">IFERROR(I1036*60,"")</f>
        <v>108.15</v>
      </c>
    </row>
    <row r="1037" customFormat="false" ht="15" hidden="false" customHeight="false" outlineLevel="0" collapsed="false">
      <c r="A1037" s="4" t="s">
        <v>15</v>
      </c>
      <c r="B1037" s="4" t="s">
        <v>56</v>
      </c>
      <c r="C1037" s="4" t="s">
        <v>75</v>
      </c>
      <c r="D1037" s="4" t="s">
        <v>124</v>
      </c>
      <c r="E1037" s="4" t="s">
        <v>63</v>
      </c>
      <c r="F1037" s="4" t="s">
        <v>63</v>
      </c>
      <c r="G1037" s="4" t="s">
        <v>257</v>
      </c>
      <c r="H1037" s="4"/>
      <c r="I1037" s="4" t="n">
        <v>5.75</v>
      </c>
      <c r="J1037" s="4" t="str">
        <f aca="false">TRIM(E1037) &amp; TRIM(C1037) &amp; TRIM(D1037)</f>
        <v>First ReviewBid Ecom Ads GroupPT</v>
      </c>
      <c r="K1037" s="4" t="n">
        <f aca="false">IFERROR(I1037*60,"")</f>
        <v>345</v>
      </c>
    </row>
    <row r="1038" customFormat="false" ht="15" hidden="false" customHeight="false" outlineLevel="0" collapsed="false">
      <c r="A1038" s="4" t="s">
        <v>15</v>
      </c>
      <c r="B1038" s="4" t="s">
        <v>56</v>
      </c>
      <c r="C1038" s="4" t="s">
        <v>75</v>
      </c>
      <c r="D1038" s="4" t="s">
        <v>181</v>
      </c>
      <c r="E1038" s="4" t="s">
        <v>63</v>
      </c>
      <c r="F1038" s="4" t="s">
        <v>63</v>
      </c>
      <c r="G1038" s="4" t="s">
        <v>182</v>
      </c>
      <c r="H1038" s="4"/>
      <c r="I1038" s="4" t="n">
        <v>3.0833</v>
      </c>
      <c r="J1038" s="4" t="str">
        <f aca="false">TRIM(E1038) &amp; TRIM(C1038) &amp; TRIM(D1038)</f>
        <v>First ReviewBid Ecom Ads GroupLB</v>
      </c>
      <c r="K1038" s="4" t="n">
        <f aca="false">IFERROR(I1038*60,"")</f>
        <v>184.998</v>
      </c>
    </row>
    <row r="1039" customFormat="false" ht="15" hidden="false" customHeight="false" outlineLevel="0" collapsed="false">
      <c r="A1039" s="4" t="s">
        <v>15</v>
      </c>
      <c r="B1039" s="4" t="s">
        <v>56</v>
      </c>
      <c r="C1039" s="4" t="s">
        <v>75</v>
      </c>
      <c r="D1039" s="4" t="s">
        <v>100</v>
      </c>
      <c r="E1039" s="4" t="s">
        <v>66</v>
      </c>
      <c r="F1039" s="4" t="s">
        <v>67</v>
      </c>
      <c r="G1039" s="4" t="s">
        <v>101</v>
      </c>
      <c r="H1039" s="4"/>
      <c r="I1039" s="4" t="n">
        <v>2.5947</v>
      </c>
      <c r="J1039" s="4" t="str">
        <f aca="false">TRIM(E1039) &amp; TRIM(C1039) &amp; TRIM(D1039)</f>
        <v>Posted RecallBid Ecom Ads GroupAU</v>
      </c>
      <c r="K1039" s="4" t="n">
        <f aca="false">IFERROR(I1039*60,"")</f>
        <v>155.682</v>
      </c>
    </row>
    <row r="1040" customFormat="false" ht="15" hidden="false" customHeight="false" outlineLevel="0" collapsed="false">
      <c r="A1040" s="4" t="s">
        <v>15</v>
      </c>
      <c r="B1040" s="4" t="s">
        <v>56</v>
      </c>
      <c r="C1040" s="4" t="s">
        <v>72</v>
      </c>
      <c r="D1040" s="4" t="s">
        <v>246</v>
      </c>
      <c r="E1040" s="4" t="s">
        <v>63</v>
      </c>
      <c r="F1040" s="4" t="s">
        <v>63</v>
      </c>
      <c r="G1040" s="4" t="s">
        <v>881</v>
      </c>
      <c r="H1040" s="4"/>
      <c r="I1040" s="4" t="n">
        <v>0.3918</v>
      </c>
      <c r="J1040" s="4" t="str">
        <f aca="false">TRIM(E1040) &amp; TRIM(C1040) &amp; TRIM(D1040)</f>
        <v>First ReviewBid ImageLV</v>
      </c>
      <c r="K1040" s="4" t="n">
        <f aca="false">IFERROR(I1040*60,"")</f>
        <v>23.508</v>
      </c>
    </row>
    <row r="1041" customFormat="false" ht="15" hidden="false" customHeight="false" outlineLevel="0" collapsed="false">
      <c r="A1041" s="4" t="s">
        <v>15</v>
      </c>
      <c r="B1041" s="4" t="s">
        <v>56</v>
      </c>
      <c r="C1041" s="4" t="s">
        <v>69</v>
      </c>
      <c r="D1041" s="4" t="s">
        <v>87</v>
      </c>
      <c r="E1041" s="4" t="s">
        <v>63</v>
      </c>
      <c r="F1041" s="4" t="s">
        <v>63</v>
      </c>
      <c r="G1041" s="4" t="s">
        <v>882</v>
      </c>
      <c r="H1041" s="4"/>
      <c r="I1041" s="4" t="n">
        <v>0.8518</v>
      </c>
      <c r="J1041" s="4" t="str">
        <f aca="false">TRIM(E1041) &amp; TRIM(C1041) &amp; TRIM(D1041)</f>
        <v>First ReviewBid LinkAE</v>
      </c>
      <c r="K1041" s="4" t="n">
        <f aca="false">IFERROR(I1041*60,"")</f>
        <v>51.108</v>
      </c>
    </row>
    <row r="1042" customFormat="false" ht="15" hidden="false" customHeight="false" outlineLevel="0" collapsed="false">
      <c r="A1042" s="4" t="s">
        <v>15</v>
      </c>
      <c r="B1042" s="4" t="s">
        <v>56</v>
      </c>
      <c r="C1042" s="4" t="s">
        <v>57</v>
      </c>
      <c r="D1042" s="4" t="s">
        <v>152</v>
      </c>
      <c r="E1042" s="4" t="s">
        <v>63</v>
      </c>
      <c r="F1042" s="4" t="s">
        <v>63</v>
      </c>
      <c r="G1042" s="4" t="s">
        <v>404</v>
      </c>
      <c r="H1042" s="4"/>
      <c r="I1042" s="4" t="n">
        <v>2.303</v>
      </c>
      <c r="J1042" s="4" t="str">
        <f aca="false">TRIM(E1042) &amp; TRIM(C1042) &amp; TRIM(D1042)</f>
        <v>First ReviewBid Ad GroupCY</v>
      </c>
      <c r="K1042" s="4" t="n">
        <f aca="false">IFERROR(I1042*60,"")</f>
        <v>138.18</v>
      </c>
    </row>
    <row r="1043" customFormat="false" ht="15" hidden="false" customHeight="false" outlineLevel="0" collapsed="false">
      <c r="A1043" s="4" t="s">
        <v>15</v>
      </c>
      <c r="B1043" s="4" t="s">
        <v>56</v>
      </c>
      <c r="C1043" s="4" t="s">
        <v>81</v>
      </c>
      <c r="D1043" s="4" t="s">
        <v>319</v>
      </c>
      <c r="E1043" s="4" t="s">
        <v>63</v>
      </c>
      <c r="F1043" s="4" t="s">
        <v>63</v>
      </c>
      <c r="G1043" s="4" t="s">
        <v>883</v>
      </c>
      <c r="H1043" s="4"/>
      <c r="I1043" s="4" t="n">
        <v>0.7888</v>
      </c>
      <c r="J1043" s="4" t="str">
        <f aca="false">TRIM(E1043) &amp; TRIM(C1043) &amp; TRIM(D1043)</f>
        <v>First ReviewBid TextSK</v>
      </c>
      <c r="K1043" s="4" t="n">
        <f aca="false">IFERROR(I1043*60,"")</f>
        <v>47.328</v>
      </c>
    </row>
    <row r="1044" customFormat="false" ht="15" hidden="false" customHeight="false" outlineLevel="0" collapsed="false">
      <c r="A1044" s="4" t="s">
        <v>15</v>
      </c>
      <c r="B1044" s="4" t="s">
        <v>56</v>
      </c>
      <c r="C1044" s="4" t="s">
        <v>78</v>
      </c>
      <c r="D1044" s="4" t="s">
        <v>341</v>
      </c>
      <c r="E1044" s="4" t="s">
        <v>63</v>
      </c>
      <c r="F1044" s="4" t="s">
        <v>63</v>
      </c>
      <c r="G1044" s="4" t="s">
        <v>884</v>
      </c>
      <c r="H1044" s="4"/>
      <c r="I1044" s="4" t="n">
        <v>1.4075</v>
      </c>
      <c r="J1044" s="4" t="str">
        <f aca="false">TRIM(E1044) &amp; TRIM(C1044) &amp; TRIM(D1044)</f>
        <v>First ReviewBid VideoBG</v>
      </c>
      <c r="K1044" s="4" t="n">
        <f aca="false">IFERROR(I1044*60,"")</f>
        <v>84.45</v>
      </c>
    </row>
    <row r="1045" customFormat="false" ht="15" hidden="false" customHeight="false" outlineLevel="0" collapsed="false">
      <c r="A1045" s="4" t="s">
        <v>15</v>
      </c>
      <c r="B1045" s="4" t="s">
        <v>56</v>
      </c>
      <c r="C1045" s="4" t="s">
        <v>84</v>
      </c>
      <c r="D1045" s="4" t="s">
        <v>299</v>
      </c>
      <c r="E1045" s="4" t="s">
        <v>63</v>
      </c>
      <c r="F1045" s="4" t="s">
        <v>63</v>
      </c>
      <c r="G1045" s="4" t="s">
        <v>885</v>
      </c>
      <c r="H1045" s="4"/>
      <c r="I1045" s="4" t="n">
        <v>1.0078</v>
      </c>
      <c r="J1045" s="4" t="str">
        <f aca="false">TRIM(E1045) &amp; TRIM(C1045) &amp; TRIM(D1045)</f>
        <v>First ReviewBid Ecom VideoQA</v>
      </c>
      <c r="K1045" s="4" t="n">
        <f aca="false">IFERROR(I1045*60,"")</f>
        <v>60.468</v>
      </c>
    </row>
    <row r="1046" customFormat="false" ht="15" hidden="false" customHeight="false" outlineLevel="0" collapsed="false">
      <c r="A1046" s="4" t="s">
        <v>15</v>
      </c>
      <c r="B1046" s="4" t="s">
        <v>56</v>
      </c>
      <c r="C1046" s="4" t="s">
        <v>57</v>
      </c>
      <c r="D1046" s="4" t="s">
        <v>206</v>
      </c>
      <c r="E1046" s="4" t="s">
        <v>59</v>
      </c>
      <c r="F1046" s="4" t="s">
        <v>59</v>
      </c>
      <c r="G1046" s="4" t="s">
        <v>207</v>
      </c>
      <c r="H1046" s="4"/>
      <c r="I1046" s="4" t="n">
        <v>5.0292</v>
      </c>
      <c r="J1046" s="4" t="str">
        <f aca="false">TRIM(E1046) &amp; TRIM(C1046) &amp; TRIM(D1046)</f>
        <v>Re-reviewBid Ad GroupDZ</v>
      </c>
      <c r="K1046" s="4" t="n">
        <f aca="false">IFERROR(I1046*60,"")</f>
        <v>301.752</v>
      </c>
    </row>
    <row r="1047" customFormat="false" ht="15" hidden="false" customHeight="false" outlineLevel="0" collapsed="false">
      <c r="A1047" s="4" t="s">
        <v>15</v>
      </c>
      <c r="B1047" s="4" t="s">
        <v>56</v>
      </c>
      <c r="C1047" s="4" t="s">
        <v>75</v>
      </c>
      <c r="D1047" s="4" t="s">
        <v>62</v>
      </c>
      <c r="E1047" s="4" t="s">
        <v>63</v>
      </c>
      <c r="F1047" s="4" t="s">
        <v>63</v>
      </c>
      <c r="G1047" s="4" t="s">
        <v>175</v>
      </c>
      <c r="H1047" s="4"/>
      <c r="I1047" s="4" t="n">
        <v>2.8731</v>
      </c>
      <c r="J1047" s="4" t="str">
        <f aca="false">TRIM(E1047) &amp; TRIM(C1047) &amp; TRIM(D1047)</f>
        <v>First ReviewBid Ecom Ads GroupCL</v>
      </c>
      <c r="K1047" s="4" t="n">
        <f aca="false">IFERROR(I1047*60,"")</f>
        <v>172.386</v>
      </c>
    </row>
    <row r="1048" customFormat="false" ht="15" hidden="false" customHeight="false" outlineLevel="0" collapsed="false">
      <c r="A1048" s="4" t="s">
        <v>15</v>
      </c>
      <c r="B1048" s="4" t="s">
        <v>56</v>
      </c>
      <c r="C1048" s="4" t="s">
        <v>81</v>
      </c>
      <c r="D1048" s="4" t="s">
        <v>299</v>
      </c>
      <c r="E1048" s="4" t="s">
        <v>63</v>
      </c>
      <c r="F1048" s="4" t="s">
        <v>63</v>
      </c>
      <c r="G1048" s="4" t="s">
        <v>886</v>
      </c>
      <c r="H1048" s="4"/>
      <c r="I1048" s="4" t="n">
        <v>0.3642</v>
      </c>
      <c r="J1048" s="4" t="str">
        <f aca="false">TRIM(E1048) &amp; TRIM(C1048) &amp; TRIM(D1048)</f>
        <v>First ReviewBid TextQA</v>
      </c>
      <c r="K1048" s="4" t="n">
        <f aca="false">IFERROR(I1048*60,"")</f>
        <v>21.852</v>
      </c>
    </row>
    <row r="1049" customFormat="false" ht="15" hidden="false" customHeight="false" outlineLevel="0" collapsed="false">
      <c r="A1049" s="4" t="s">
        <v>15</v>
      </c>
      <c r="B1049" s="4" t="s">
        <v>56</v>
      </c>
      <c r="C1049" s="4" t="s">
        <v>75</v>
      </c>
      <c r="D1049" s="4" t="s">
        <v>134</v>
      </c>
      <c r="E1049" s="4" t="s">
        <v>66</v>
      </c>
      <c r="F1049" s="4" t="s">
        <v>67</v>
      </c>
      <c r="G1049" s="4" t="s">
        <v>887</v>
      </c>
      <c r="H1049" s="4"/>
      <c r="I1049" s="4" t="n">
        <v>1.758</v>
      </c>
      <c r="J1049" s="4" t="str">
        <f aca="false">TRIM(E1049) &amp; TRIM(C1049) &amp; TRIM(D1049)</f>
        <v>Posted RecallBid Ecom Ads GroupPR</v>
      </c>
      <c r="K1049" s="4" t="n">
        <f aca="false">IFERROR(I1049*60,"")</f>
        <v>105.48</v>
      </c>
    </row>
    <row r="1050" customFormat="false" ht="15" hidden="false" customHeight="false" outlineLevel="0" collapsed="false">
      <c r="A1050" s="4" t="s">
        <v>15</v>
      </c>
      <c r="B1050" s="4" t="s">
        <v>56</v>
      </c>
      <c r="C1050" s="4" t="s">
        <v>78</v>
      </c>
      <c r="D1050" s="4" t="s">
        <v>152</v>
      </c>
      <c r="E1050" s="4" t="s">
        <v>63</v>
      </c>
      <c r="F1050" s="4" t="s">
        <v>63</v>
      </c>
      <c r="G1050" s="4" t="s">
        <v>888</v>
      </c>
      <c r="H1050" s="4"/>
      <c r="I1050" s="4" t="n">
        <v>0.9534</v>
      </c>
      <c r="J1050" s="4" t="str">
        <f aca="false">TRIM(E1050) &amp; TRIM(C1050) &amp; TRIM(D1050)</f>
        <v>First ReviewBid VideoCY</v>
      </c>
      <c r="K1050" s="4" t="n">
        <f aca="false">IFERROR(I1050*60,"")</f>
        <v>57.204</v>
      </c>
    </row>
    <row r="1051" customFormat="false" ht="15" hidden="false" customHeight="false" outlineLevel="0" collapsed="false">
      <c r="A1051" s="4" t="s">
        <v>15</v>
      </c>
      <c r="B1051" s="4" t="s">
        <v>56</v>
      </c>
      <c r="C1051" s="4" t="s">
        <v>57</v>
      </c>
      <c r="D1051" s="4" t="s">
        <v>185</v>
      </c>
      <c r="E1051" s="4" t="s">
        <v>66</v>
      </c>
      <c r="F1051" s="4" t="s">
        <v>67</v>
      </c>
      <c r="G1051" s="4" t="s">
        <v>367</v>
      </c>
      <c r="H1051" s="4"/>
      <c r="I1051" s="4" t="n">
        <v>1.0752</v>
      </c>
      <c r="J1051" s="4" t="str">
        <f aca="false">TRIM(E1051) &amp; TRIM(C1051) &amp; TRIM(D1051)</f>
        <v>Posted RecallBid Ad GroupDK</v>
      </c>
      <c r="K1051" s="4" t="n">
        <f aca="false">IFERROR(I1051*60,"")</f>
        <v>64.512</v>
      </c>
    </row>
    <row r="1052" customFormat="false" ht="15" hidden="false" customHeight="false" outlineLevel="0" collapsed="false">
      <c r="A1052" s="4" t="s">
        <v>15</v>
      </c>
      <c r="B1052" s="4" t="s">
        <v>56</v>
      </c>
      <c r="C1052" s="4" t="s">
        <v>75</v>
      </c>
      <c r="D1052" s="4" t="s">
        <v>185</v>
      </c>
      <c r="E1052" s="4" t="s">
        <v>63</v>
      </c>
      <c r="F1052" s="4" t="s">
        <v>63</v>
      </c>
      <c r="G1052" s="4" t="s">
        <v>186</v>
      </c>
      <c r="H1052" s="4"/>
      <c r="I1052" s="4" t="n">
        <v>3.9984</v>
      </c>
      <c r="J1052" s="4" t="str">
        <f aca="false">TRIM(E1052) &amp; TRIM(C1052) &amp; TRIM(D1052)</f>
        <v>First ReviewBid Ecom Ads GroupDK</v>
      </c>
      <c r="K1052" s="4" t="n">
        <f aca="false">IFERROR(I1052*60,"")</f>
        <v>239.904</v>
      </c>
    </row>
    <row r="1053" customFormat="false" ht="15" hidden="false" customHeight="false" outlineLevel="0" collapsed="false">
      <c r="A1053" s="4" t="s">
        <v>15</v>
      </c>
      <c r="B1053" s="4" t="s">
        <v>56</v>
      </c>
      <c r="C1053" s="4" t="s">
        <v>84</v>
      </c>
      <c r="D1053" s="4" t="s">
        <v>117</v>
      </c>
      <c r="E1053" s="4" t="s">
        <v>63</v>
      </c>
      <c r="F1053" s="4" t="s">
        <v>63</v>
      </c>
      <c r="G1053" s="4" t="s">
        <v>889</v>
      </c>
      <c r="H1053" s="4"/>
      <c r="I1053" s="4" t="n">
        <v>1.3052</v>
      </c>
      <c r="J1053" s="4" t="str">
        <f aca="false">TRIM(E1053) &amp; TRIM(C1053) &amp; TRIM(D1053)</f>
        <v>First ReviewBid Ecom VideoAR</v>
      </c>
      <c r="K1053" s="4" t="n">
        <f aca="false">IFERROR(I1053*60,"")</f>
        <v>78.312</v>
      </c>
    </row>
    <row r="1054" customFormat="false" ht="15" hidden="false" customHeight="false" outlineLevel="0" collapsed="false">
      <c r="A1054" s="4" t="s">
        <v>15</v>
      </c>
      <c r="B1054" s="4" t="s">
        <v>56</v>
      </c>
      <c r="C1054" s="4" t="s">
        <v>75</v>
      </c>
      <c r="D1054" s="4" t="s">
        <v>95</v>
      </c>
      <c r="E1054" s="4" t="s">
        <v>63</v>
      </c>
      <c r="F1054" s="4" t="s">
        <v>63</v>
      </c>
      <c r="G1054" s="4" t="s">
        <v>96</v>
      </c>
      <c r="H1054" s="4"/>
      <c r="I1054" s="4" t="n">
        <v>6.9138</v>
      </c>
      <c r="J1054" s="4" t="str">
        <f aca="false">TRIM(E1054) &amp; TRIM(C1054) &amp; TRIM(D1054)</f>
        <v>First ReviewBid Ecom Ads GroupVN</v>
      </c>
      <c r="K1054" s="4" t="n">
        <f aca="false">IFERROR(I1054*60,"")</f>
        <v>414.828</v>
      </c>
    </row>
    <row r="1055" customFormat="false" ht="15" hidden="false" customHeight="false" outlineLevel="0" collapsed="false">
      <c r="A1055" s="4" t="s">
        <v>15</v>
      </c>
      <c r="B1055" s="4" t="s">
        <v>56</v>
      </c>
      <c r="C1055" s="4" t="s">
        <v>84</v>
      </c>
      <c r="D1055" s="4" t="s">
        <v>362</v>
      </c>
      <c r="E1055" s="4" t="s">
        <v>63</v>
      </c>
      <c r="F1055" s="4" t="s">
        <v>63</v>
      </c>
      <c r="G1055" s="4" t="s">
        <v>890</v>
      </c>
      <c r="H1055" s="4"/>
      <c r="I1055" s="4" t="n">
        <v>1.4307</v>
      </c>
      <c r="J1055" s="4" t="str">
        <f aca="false">TRIM(E1055) &amp; TRIM(C1055) &amp; TRIM(D1055)</f>
        <v>First ReviewBid Ecom VideoPA</v>
      </c>
      <c r="K1055" s="4" t="n">
        <f aca="false">IFERROR(I1055*60,"")</f>
        <v>85.842</v>
      </c>
    </row>
    <row r="1056" customFormat="false" ht="15" hidden="false" customHeight="false" outlineLevel="0" collapsed="false">
      <c r="A1056" s="4" t="s">
        <v>15</v>
      </c>
      <c r="B1056" s="4" t="s">
        <v>56</v>
      </c>
      <c r="C1056" s="4" t="s">
        <v>84</v>
      </c>
      <c r="D1056" s="4" t="s">
        <v>284</v>
      </c>
      <c r="E1056" s="4" t="s">
        <v>63</v>
      </c>
      <c r="F1056" s="4" t="s">
        <v>63</v>
      </c>
      <c r="G1056" s="4" t="s">
        <v>891</v>
      </c>
      <c r="H1056" s="4"/>
      <c r="I1056" s="4" t="n">
        <v>0.7889</v>
      </c>
      <c r="J1056" s="4" t="str">
        <f aca="false">TRIM(E1056) &amp; TRIM(C1056) &amp; TRIM(D1056)</f>
        <v>First ReviewBid Ecom VideoTR</v>
      </c>
      <c r="K1056" s="4" t="n">
        <f aca="false">IFERROR(I1056*60,"")</f>
        <v>47.334</v>
      </c>
    </row>
    <row r="1057" customFormat="false" ht="15" hidden="false" customHeight="false" outlineLevel="0" collapsed="false">
      <c r="A1057" s="4" t="s">
        <v>15</v>
      </c>
      <c r="B1057" s="4" t="s">
        <v>56</v>
      </c>
      <c r="C1057" s="4" t="s">
        <v>61</v>
      </c>
      <c r="D1057" s="4" t="s">
        <v>299</v>
      </c>
      <c r="E1057" s="4" t="s">
        <v>63</v>
      </c>
      <c r="F1057" s="4" t="s">
        <v>63</v>
      </c>
      <c r="G1057" s="4" t="s">
        <v>892</v>
      </c>
      <c r="H1057" s="4"/>
      <c r="I1057" s="4" t="n">
        <v>0.9954</v>
      </c>
      <c r="J1057" s="4" t="str">
        <f aca="false">TRIM(E1057) &amp; TRIM(C1057) &amp; TRIM(D1057)</f>
        <v>First ReviewBid Ecom URLQA</v>
      </c>
      <c r="K1057" s="4" t="n">
        <f aca="false">IFERROR(I1057*60,"")</f>
        <v>59.724</v>
      </c>
    </row>
    <row r="1058" customFormat="false" ht="15" hidden="false" customHeight="false" outlineLevel="0" collapsed="false">
      <c r="A1058" s="4" t="s">
        <v>15</v>
      </c>
      <c r="B1058" s="4" t="s">
        <v>56</v>
      </c>
      <c r="C1058" s="4" t="s">
        <v>84</v>
      </c>
      <c r="D1058" s="4" t="s">
        <v>306</v>
      </c>
      <c r="E1058" s="4" t="s">
        <v>63</v>
      </c>
      <c r="F1058" s="4" t="s">
        <v>63</v>
      </c>
      <c r="G1058" s="4" t="s">
        <v>893</v>
      </c>
      <c r="H1058" s="4"/>
      <c r="I1058" s="4" t="n">
        <v>0.6893</v>
      </c>
      <c r="J1058" s="4" t="str">
        <f aca="false">TRIM(E1058) &amp; TRIM(C1058) &amp; TRIM(D1058)</f>
        <v>First ReviewBid Ecom VideoTH</v>
      </c>
      <c r="K1058" s="4" t="n">
        <f aca="false">IFERROR(I1058*60,"")</f>
        <v>41.358</v>
      </c>
    </row>
    <row r="1059" customFormat="false" ht="15" hidden="false" customHeight="false" outlineLevel="0" collapsed="false">
      <c r="A1059" s="4" t="s">
        <v>15</v>
      </c>
      <c r="B1059" s="4" t="s">
        <v>56</v>
      </c>
      <c r="C1059" s="4" t="s">
        <v>57</v>
      </c>
      <c r="D1059" s="4" t="s">
        <v>65</v>
      </c>
      <c r="E1059" s="4" t="s">
        <v>59</v>
      </c>
      <c r="F1059" s="4" t="s">
        <v>59</v>
      </c>
      <c r="G1059" s="4" t="s">
        <v>68</v>
      </c>
      <c r="H1059" s="4"/>
      <c r="I1059" s="4" t="n">
        <v>5.4004</v>
      </c>
      <c r="J1059" s="4" t="str">
        <f aca="false">TRIM(E1059) &amp; TRIM(C1059) &amp; TRIM(D1059)</f>
        <v>Re-reviewBid Ad GroupEE</v>
      </c>
      <c r="K1059" s="4" t="n">
        <f aca="false">IFERROR(I1059*60,"")</f>
        <v>324.024</v>
      </c>
    </row>
    <row r="1060" customFormat="false" ht="15" hidden="false" customHeight="false" outlineLevel="0" collapsed="false">
      <c r="A1060" s="4" t="s">
        <v>15</v>
      </c>
      <c r="B1060" s="4" t="s">
        <v>56</v>
      </c>
      <c r="C1060" s="4" t="s">
        <v>75</v>
      </c>
      <c r="D1060" s="4" t="s">
        <v>121</v>
      </c>
      <c r="E1060" s="4" t="s">
        <v>63</v>
      </c>
      <c r="F1060" s="4" t="s">
        <v>63</v>
      </c>
      <c r="G1060" s="4" t="s">
        <v>122</v>
      </c>
      <c r="H1060" s="4"/>
      <c r="I1060" s="4" t="n">
        <v>2.326</v>
      </c>
      <c r="J1060" s="4" t="str">
        <f aca="false">TRIM(E1060) &amp; TRIM(C1060) &amp; TRIM(D1060)</f>
        <v>First ReviewBid Ecom Ads GroupKR</v>
      </c>
      <c r="K1060" s="4" t="n">
        <f aca="false">IFERROR(I1060*60,"")</f>
        <v>139.56</v>
      </c>
    </row>
    <row r="1061" customFormat="false" ht="15" hidden="false" customHeight="false" outlineLevel="0" collapsed="false">
      <c r="A1061" s="4" t="s">
        <v>15</v>
      </c>
      <c r="B1061" s="4" t="s">
        <v>56</v>
      </c>
      <c r="C1061" s="4" t="s">
        <v>81</v>
      </c>
      <c r="D1061" s="4" t="s">
        <v>458</v>
      </c>
      <c r="E1061" s="4" t="s">
        <v>63</v>
      </c>
      <c r="F1061" s="4" t="s">
        <v>63</v>
      </c>
      <c r="G1061" s="4" t="s">
        <v>894</v>
      </c>
      <c r="H1061" s="4"/>
      <c r="I1061" s="4" t="n">
        <v>1.2079</v>
      </c>
      <c r="J1061" s="4" t="str">
        <f aca="false">TRIM(E1061) &amp; TRIM(C1061) &amp; TRIM(D1061)</f>
        <v>First ReviewBid TextTW</v>
      </c>
      <c r="K1061" s="4" t="n">
        <f aca="false">IFERROR(I1061*60,"")</f>
        <v>72.474</v>
      </c>
    </row>
    <row r="1062" customFormat="false" ht="15" hidden="false" customHeight="false" outlineLevel="0" collapsed="false">
      <c r="A1062" s="4" t="s">
        <v>15</v>
      </c>
      <c r="B1062" s="4" t="s">
        <v>56</v>
      </c>
      <c r="C1062" s="4" t="s">
        <v>75</v>
      </c>
      <c r="D1062" s="4" t="s">
        <v>113</v>
      </c>
      <c r="E1062" s="4" t="s">
        <v>59</v>
      </c>
      <c r="F1062" s="4" t="s">
        <v>59</v>
      </c>
      <c r="G1062" s="4" t="s">
        <v>114</v>
      </c>
      <c r="H1062" s="4"/>
      <c r="I1062" s="4" t="n">
        <v>7.7149</v>
      </c>
      <c r="J1062" s="4" t="str">
        <f aca="false">TRIM(E1062) &amp; TRIM(C1062) &amp; TRIM(D1062)</f>
        <v>Re-reviewBid Ecom Ads GroupNL</v>
      </c>
      <c r="K1062" s="4" t="n">
        <f aca="false">IFERROR(I1062*60,"")</f>
        <v>462.894</v>
      </c>
    </row>
    <row r="1063" customFormat="false" ht="15" hidden="false" customHeight="false" outlineLevel="0" collapsed="false">
      <c r="A1063" s="4" t="s">
        <v>15</v>
      </c>
      <c r="B1063" s="4" t="s">
        <v>56</v>
      </c>
      <c r="C1063" s="4" t="s">
        <v>81</v>
      </c>
      <c r="D1063" s="4" t="s">
        <v>159</v>
      </c>
      <c r="E1063" s="4" t="s">
        <v>63</v>
      </c>
      <c r="F1063" s="4" t="s">
        <v>63</v>
      </c>
      <c r="G1063" s="4" t="s">
        <v>895</v>
      </c>
      <c r="H1063" s="4"/>
      <c r="I1063" s="4" t="n">
        <v>1.2707</v>
      </c>
      <c r="J1063" s="4" t="str">
        <f aca="false">TRIM(E1063) &amp; TRIM(C1063) &amp; TRIM(D1063)</f>
        <v>First ReviewBid TextDO</v>
      </c>
      <c r="K1063" s="4" t="n">
        <f aca="false">IFERROR(I1063*60,"")</f>
        <v>76.242</v>
      </c>
    </row>
    <row r="1064" customFormat="false" ht="15" hidden="false" customHeight="false" outlineLevel="0" collapsed="false">
      <c r="A1064" s="4" t="s">
        <v>15</v>
      </c>
      <c r="B1064" s="4" t="s">
        <v>56</v>
      </c>
      <c r="C1064" s="4" t="s">
        <v>75</v>
      </c>
      <c r="D1064" s="4" t="s">
        <v>190</v>
      </c>
      <c r="E1064" s="4" t="s">
        <v>63</v>
      </c>
      <c r="F1064" s="4" t="s">
        <v>63</v>
      </c>
      <c r="G1064" s="4" t="s">
        <v>297</v>
      </c>
      <c r="H1064" s="4"/>
      <c r="I1064" s="4" t="n">
        <v>1.7729</v>
      </c>
      <c r="J1064" s="4" t="str">
        <f aca="false">TRIM(E1064) &amp; TRIM(C1064) &amp; TRIM(D1064)</f>
        <v>First ReviewBid Ecom Ads GroupPH</v>
      </c>
      <c r="K1064" s="4" t="n">
        <f aca="false">IFERROR(I1064*60,"")</f>
        <v>106.374</v>
      </c>
    </row>
    <row r="1065" customFormat="false" ht="15" hidden="false" customHeight="false" outlineLevel="0" collapsed="false">
      <c r="A1065" s="4" t="s">
        <v>15</v>
      </c>
      <c r="B1065" s="4" t="s">
        <v>56</v>
      </c>
      <c r="C1065" s="4" t="s">
        <v>57</v>
      </c>
      <c r="D1065" s="4" t="s">
        <v>362</v>
      </c>
      <c r="E1065" s="4" t="s">
        <v>59</v>
      </c>
      <c r="F1065" s="4" t="s">
        <v>59</v>
      </c>
      <c r="G1065" s="4" t="s">
        <v>363</v>
      </c>
      <c r="H1065" s="4"/>
      <c r="I1065" s="4" t="n">
        <v>4.325</v>
      </c>
      <c r="J1065" s="4" t="str">
        <f aca="false">TRIM(E1065) &amp; TRIM(C1065) &amp; TRIM(D1065)</f>
        <v>Re-reviewBid Ad GroupPA</v>
      </c>
      <c r="K1065" s="4" t="n">
        <f aca="false">IFERROR(I1065*60,"")</f>
        <v>259.5</v>
      </c>
    </row>
    <row r="1066" customFormat="false" ht="15" hidden="false" customHeight="false" outlineLevel="0" collapsed="false">
      <c r="A1066" s="4" t="s">
        <v>15</v>
      </c>
      <c r="B1066" s="4" t="s">
        <v>56</v>
      </c>
      <c r="C1066" s="4" t="s">
        <v>57</v>
      </c>
      <c r="D1066" s="4" t="s">
        <v>126</v>
      </c>
      <c r="E1066" s="4" t="s">
        <v>63</v>
      </c>
      <c r="F1066" s="4" t="s">
        <v>63</v>
      </c>
      <c r="G1066" s="4" t="s">
        <v>340</v>
      </c>
      <c r="H1066" s="4"/>
      <c r="I1066" s="4" t="n">
        <v>1.5955</v>
      </c>
      <c r="J1066" s="4" t="str">
        <f aca="false">TRIM(E1066) &amp; TRIM(C1066) &amp; TRIM(D1066)</f>
        <v>First ReviewBid Ad GroupMX</v>
      </c>
      <c r="K1066" s="4" t="n">
        <f aca="false">IFERROR(I1066*60,"")</f>
        <v>95.73</v>
      </c>
    </row>
    <row r="1067" customFormat="false" ht="15" hidden="false" customHeight="false" outlineLevel="0" collapsed="false">
      <c r="A1067" s="4" t="s">
        <v>15</v>
      </c>
      <c r="B1067" s="4" t="s">
        <v>56</v>
      </c>
      <c r="C1067" s="4" t="s">
        <v>61</v>
      </c>
      <c r="D1067" s="4" t="s">
        <v>128</v>
      </c>
      <c r="E1067" s="4" t="s">
        <v>63</v>
      </c>
      <c r="F1067" s="4" t="s">
        <v>63</v>
      </c>
      <c r="G1067" s="4" t="s">
        <v>896</v>
      </c>
      <c r="H1067" s="4"/>
      <c r="I1067" s="4" t="n">
        <v>0.791</v>
      </c>
      <c r="J1067" s="4" t="str">
        <f aca="false">TRIM(E1067) &amp; TRIM(C1067) &amp; TRIM(D1067)</f>
        <v>First ReviewBid Ecom URLBD</v>
      </c>
      <c r="K1067" s="4" t="n">
        <f aca="false">IFERROR(I1067*60,"")</f>
        <v>47.46</v>
      </c>
    </row>
    <row r="1068" customFormat="false" ht="15" hidden="false" customHeight="false" outlineLevel="0" collapsed="false">
      <c r="A1068" s="4" t="s">
        <v>15</v>
      </c>
      <c r="B1068" s="4" t="s">
        <v>56</v>
      </c>
      <c r="C1068" s="4" t="s">
        <v>119</v>
      </c>
      <c r="D1068" s="4" t="s">
        <v>185</v>
      </c>
      <c r="E1068" s="4" t="s">
        <v>63</v>
      </c>
      <c r="F1068" s="4" t="s">
        <v>63</v>
      </c>
      <c r="G1068" s="4" t="s">
        <v>897</v>
      </c>
      <c r="H1068" s="4"/>
      <c r="I1068" s="4" t="n">
        <v>1.2229</v>
      </c>
      <c r="J1068" s="4" t="str">
        <f aca="false">TRIM(E1068) &amp; TRIM(C1068) &amp; TRIM(D1068)</f>
        <v>First ReviewBid Pre ApprovalDK</v>
      </c>
      <c r="K1068" s="4" t="n">
        <f aca="false">IFERROR(I1068*60,"")</f>
        <v>73.374</v>
      </c>
    </row>
    <row r="1069" customFormat="false" ht="15" hidden="false" customHeight="false" outlineLevel="0" collapsed="false">
      <c r="A1069" s="4" t="s">
        <v>15</v>
      </c>
      <c r="B1069" s="4" t="s">
        <v>56</v>
      </c>
      <c r="C1069" s="4" t="s">
        <v>93</v>
      </c>
      <c r="D1069" s="4" t="s">
        <v>95</v>
      </c>
      <c r="E1069" s="4" t="s">
        <v>63</v>
      </c>
      <c r="F1069" s="4" t="s">
        <v>63</v>
      </c>
      <c r="G1069" s="4" t="s">
        <v>898</v>
      </c>
      <c r="H1069" s="4"/>
      <c r="I1069" s="4" t="n">
        <v>0.6567</v>
      </c>
      <c r="J1069" s="4" t="str">
        <f aca="false">TRIM(E1069) &amp; TRIM(C1069) &amp; TRIM(D1069)</f>
        <v>First ReviewBid AudioVN</v>
      </c>
      <c r="K1069" s="4" t="n">
        <f aca="false">IFERROR(I1069*60,"")</f>
        <v>39.402</v>
      </c>
    </row>
    <row r="1070" customFormat="false" ht="15" hidden="false" customHeight="false" outlineLevel="0" collapsed="false">
      <c r="A1070" s="4" t="s">
        <v>15</v>
      </c>
      <c r="B1070" s="4" t="s">
        <v>899</v>
      </c>
      <c r="C1070" s="4" t="s">
        <v>900</v>
      </c>
      <c r="D1070" s="4" t="s">
        <v>901</v>
      </c>
      <c r="E1070" s="4" t="s">
        <v>63</v>
      </c>
      <c r="F1070" s="4" t="s">
        <v>63</v>
      </c>
      <c r="G1070" s="4" t="s">
        <v>902</v>
      </c>
      <c r="H1070" s="4"/>
      <c r="I1070" s="4" t="n">
        <v>1.5489</v>
      </c>
      <c r="J1070" s="4" t="str">
        <f aca="false">TRIM(E1070) &amp; TRIM(C1070) &amp; TRIM(D1070)</f>
        <v>First ReviewSponsored Content Community VideoLU</v>
      </c>
      <c r="K1070" s="4" t="n">
        <f aca="false">IFERROR(I1070*60,"")</f>
        <v>92.934</v>
      </c>
    </row>
    <row r="1071" customFormat="false" ht="15" hidden="false" customHeight="false" outlineLevel="0" collapsed="false">
      <c r="A1071" s="4" t="s">
        <v>15</v>
      </c>
      <c r="B1071" s="4" t="s">
        <v>899</v>
      </c>
      <c r="C1071" s="4" t="s">
        <v>900</v>
      </c>
      <c r="D1071" s="4" t="s">
        <v>73</v>
      </c>
      <c r="E1071" s="4" t="s">
        <v>66</v>
      </c>
      <c r="F1071" s="4" t="s">
        <v>67</v>
      </c>
      <c r="G1071" s="4" t="s">
        <v>903</v>
      </c>
      <c r="H1071" s="4"/>
      <c r="I1071" s="4" t="n">
        <v>0.8846</v>
      </c>
      <c r="J1071" s="4" t="str">
        <f aca="false">TRIM(E1071) &amp; TRIM(C1071) &amp; TRIM(D1071)</f>
        <v>Posted RecallSponsored Content Community VideoIQ</v>
      </c>
      <c r="K1071" s="4" t="n">
        <f aca="false">IFERROR(I1071*60,"")</f>
        <v>53.076</v>
      </c>
    </row>
    <row r="1072" customFormat="false" ht="15" hidden="false" customHeight="false" outlineLevel="0" collapsed="false">
      <c r="A1072" s="4" t="s">
        <v>15</v>
      </c>
      <c r="B1072" s="4" t="s">
        <v>899</v>
      </c>
      <c r="C1072" s="4" t="s">
        <v>900</v>
      </c>
      <c r="D1072" s="4" t="s">
        <v>150</v>
      </c>
      <c r="E1072" s="4" t="s">
        <v>66</v>
      </c>
      <c r="F1072" s="4" t="s">
        <v>67</v>
      </c>
      <c r="G1072" s="4" t="s">
        <v>904</v>
      </c>
      <c r="H1072" s="4"/>
      <c r="I1072" s="4" t="n">
        <v>1.4543</v>
      </c>
      <c r="J1072" s="4" t="str">
        <f aca="false">TRIM(E1072) &amp; TRIM(C1072) &amp; TRIM(D1072)</f>
        <v>Posted RecallSponsored Content Community VideoDE</v>
      </c>
      <c r="K1072" s="4" t="n">
        <f aca="false">IFERROR(I1072*60,"")</f>
        <v>87.258</v>
      </c>
    </row>
    <row r="1073" customFormat="false" ht="15" hidden="false" customHeight="false" outlineLevel="0" collapsed="false">
      <c r="A1073" s="4" t="s">
        <v>15</v>
      </c>
      <c r="B1073" s="4" t="s">
        <v>899</v>
      </c>
      <c r="C1073" s="4" t="s">
        <v>900</v>
      </c>
      <c r="D1073" s="4" t="s">
        <v>157</v>
      </c>
      <c r="E1073" s="4" t="s">
        <v>66</v>
      </c>
      <c r="F1073" s="4" t="s">
        <v>67</v>
      </c>
      <c r="G1073" s="4" t="s">
        <v>905</v>
      </c>
      <c r="H1073" s="4"/>
      <c r="I1073" s="4" t="n">
        <v>0.8951</v>
      </c>
      <c r="J1073" s="4" t="str">
        <f aca="false">TRIM(E1073) &amp; TRIM(C1073) &amp; TRIM(D1073)</f>
        <v>Posted RecallSponsored Content Community VideoSA</v>
      </c>
      <c r="K1073" s="4" t="n">
        <f aca="false">IFERROR(I1073*60,"")</f>
        <v>53.706</v>
      </c>
    </row>
    <row r="1074" customFormat="false" ht="15" hidden="false" customHeight="false" outlineLevel="0" collapsed="false">
      <c r="A1074" s="4" t="s">
        <v>15</v>
      </c>
      <c r="B1074" s="4" t="s">
        <v>899</v>
      </c>
      <c r="C1074" s="4" t="s">
        <v>900</v>
      </c>
      <c r="D1074" s="4" t="s">
        <v>190</v>
      </c>
      <c r="E1074" s="4" t="s">
        <v>63</v>
      </c>
      <c r="F1074" s="4" t="s">
        <v>63</v>
      </c>
      <c r="G1074" s="4" t="s">
        <v>906</v>
      </c>
      <c r="H1074" s="4"/>
      <c r="I1074" s="4" t="n">
        <v>1.1029</v>
      </c>
      <c r="J1074" s="4" t="str">
        <f aca="false">TRIM(E1074) &amp; TRIM(C1074) &amp; TRIM(D1074)</f>
        <v>First ReviewSponsored Content Community VideoPH</v>
      </c>
      <c r="K1074" s="4" t="n">
        <f aca="false">IFERROR(I1074*60,"")</f>
        <v>66.174</v>
      </c>
    </row>
    <row r="1075" customFormat="false" ht="15" hidden="false" customHeight="false" outlineLevel="0" collapsed="false">
      <c r="A1075" s="4" t="s">
        <v>15</v>
      </c>
      <c r="B1075" s="4" t="s">
        <v>899</v>
      </c>
      <c r="C1075" s="4" t="s">
        <v>900</v>
      </c>
      <c r="D1075" s="4" t="s">
        <v>221</v>
      </c>
      <c r="E1075" s="4" t="s">
        <v>63</v>
      </c>
      <c r="F1075" s="4" t="s">
        <v>63</v>
      </c>
      <c r="G1075" s="4" t="s">
        <v>907</v>
      </c>
      <c r="H1075" s="4"/>
      <c r="I1075" s="4" t="n">
        <v>1.2992</v>
      </c>
      <c r="J1075" s="4" t="str">
        <f aca="false">TRIM(E1075) &amp; TRIM(C1075) &amp; TRIM(D1075)</f>
        <v>First ReviewSponsored Content Community VideoOM</v>
      </c>
      <c r="K1075" s="4" t="n">
        <f aca="false">IFERROR(I1075*60,"")</f>
        <v>77.952</v>
      </c>
    </row>
    <row r="1076" customFormat="false" ht="15" hidden="false" customHeight="false" outlineLevel="0" collapsed="false">
      <c r="A1076" s="4" t="s">
        <v>15</v>
      </c>
      <c r="B1076" s="4" t="s">
        <v>899</v>
      </c>
      <c r="C1076" s="4" t="s">
        <v>900</v>
      </c>
      <c r="D1076" s="4" t="s">
        <v>102</v>
      </c>
      <c r="E1076" s="4" t="s">
        <v>63</v>
      </c>
      <c r="F1076" s="4" t="s">
        <v>63</v>
      </c>
      <c r="G1076" s="4" t="s">
        <v>908</v>
      </c>
      <c r="H1076" s="4"/>
      <c r="I1076" s="4" t="n">
        <v>2.2946</v>
      </c>
      <c r="J1076" s="4" t="str">
        <f aca="false">TRIM(E1076) &amp; TRIM(C1076) &amp; TRIM(D1076)</f>
        <v>First ReviewSponsored Content Community VideoSE</v>
      </c>
      <c r="K1076" s="4" t="n">
        <f aca="false">IFERROR(I1076*60,"")</f>
        <v>137.676</v>
      </c>
    </row>
    <row r="1077" customFormat="false" ht="15" hidden="false" customHeight="false" outlineLevel="0" collapsed="false">
      <c r="A1077" s="4" t="s">
        <v>15</v>
      </c>
      <c r="B1077" s="4" t="s">
        <v>899</v>
      </c>
      <c r="C1077" s="4" t="s">
        <v>900</v>
      </c>
      <c r="D1077" s="4" t="s">
        <v>70</v>
      </c>
      <c r="E1077" s="4" t="s">
        <v>66</v>
      </c>
      <c r="F1077" s="4" t="s">
        <v>67</v>
      </c>
      <c r="G1077" s="4" t="s">
        <v>909</v>
      </c>
      <c r="H1077" s="4"/>
      <c r="I1077" s="4" t="n">
        <v>0.9293</v>
      </c>
      <c r="J1077" s="4" t="str">
        <f aca="false">TRIM(E1077) &amp; TRIM(C1077) &amp; TRIM(D1077)</f>
        <v>Posted RecallSponsored Content Community VideoBE</v>
      </c>
      <c r="K1077" s="4" t="n">
        <f aca="false">IFERROR(I1077*60,"")</f>
        <v>55.758</v>
      </c>
    </row>
    <row r="1078" customFormat="false" ht="15" hidden="false" customHeight="false" outlineLevel="0" collapsed="false">
      <c r="A1078" s="4" t="s">
        <v>15</v>
      </c>
      <c r="B1078" s="4" t="s">
        <v>899</v>
      </c>
      <c r="C1078" s="4" t="s">
        <v>900</v>
      </c>
      <c r="D1078" s="4" t="s">
        <v>308</v>
      </c>
      <c r="E1078" s="4" t="s">
        <v>66</v>
      </c>
      <c r="F1078" s="4" t="s">
        <v>67</v>
      </c>
      <c r="G1078" s="4" t="s">
        <v>910</v>
      </c>
      <c r="H1078" s="4"/>
      <c r="I1078" s="4" t="n">
        <v>2.9316</v>
      </c>
      <c r="J1078" s="4" t="str">
        <f aca="false">TRIM(E1078) &amp; TRIM(C1078) &amp; TRIM(D1078)</f>
        <v>Posted RecallSponsored Content Community VideoPL</v>
      </c>
      <c r="K1078" s="4" t="n">
        <f aca="false">IFERROR(I1078*60,"")</f>
        <v>175.896</v>
      </c>
    </row>
    <row r="1079" customFormat="false" ht="15" hidden="false" customHeight="false" outlineLevel="0" collapsed="false">
      <c r="A1079" s="4" t="s">
        <v>15</v>
      </c>
      <c r="B1079" s="4" t="s">
        <v>899</v>
      </c>
      <c r="C1079" s="4" t="s">
        <v>900</v>
      </c>
      <c r="D1079" s="4" t="s">
        <v>58</v>
      </c>
      <c r="E1079" s="4" t="s">
        <v>59</v>
      </c>
      <c r="F1079" s="4" t="s">
        <v>59</v>
      </c>
      <c r="G1079" s="4" t="s">
        <v>911</v>
      </c>
      <c r="H1079" s="4"/>
      <c r="I1079" s="4" t="n">
        <v>0.6804</v>
      </c>
      <c r="J1079" s="4" t="str">
        <f aca="false">TRIM(E1079) &amp; TRIM(C1079) &amp; TRIM(D1079)</f>
        <v>Re-reviewSponsored Content Community VideoSG</v>
      </c>
      <c r="K1079" s="4" t="n">
        <f aca="false">IFERROR(I1079*60,"")</f>
        <v>40.824</v>
      </c>
    </row>
    <row r="1080" customFormat="false" ht="15" hidden="false" customHeight="false" outlineLevel="0" collapsed="false">
      <c r="A1080" s="4" t="s">
        <v>15</v>
      </c>
      <c r="B1080" s="4" t="s">
        <v>899</v>
      </c>
      <c r="C1080" s="4" t="s">
        <v>900</v>
      </c>
      <c r="D1080" s="4" t="s">
        <v>208</v>
      </c>
      <c r="E1080" s="4" t="s">
        <v>63</v>
      </c>
      <c r="F1080" s="4" t="s">
        <v>63</v>
      </c>
      <c r="G1080" s="4" t="s">
        <v>912</v>
      </c>
      <c r="H1080" s="4"/>
      <c r="I1080" s="4" t="n">
        <v>1.378</v>
      </c>
      <c r="J1080" s="4" t="str">
        <f aca="false">TRIM(E1080) &amp; TRIM(C1080) &amp; TRIM(D1080)</f>
        <v>First ReviewSponsored Content Community VideoCO</v>
      </c>
      <c r="K1080" s="4" t="n">
        <f aca="false">IFERROR(I1080*60,"")</f>
        <v>82.68</v>
      </c>
    </row>
    <row r="1081" customFormat="false" ht="15" hidden="false" customHeight="false" outlineLevel="0" collapsed="false">
      <c r="A1081" s="4" t="s">
        <v>15</v>
      </c>
      <c r="B1081" s="4" t="s">
        <v>899</v>
      </c>
      <c r="C1081" s="4" t="s">
        <v>900</v>
      </c>
      <c r="D1081" s="4" t="s">
        <v>162</v>
      </c>
      <c r="E1081" s="4" t="s">
        <v>59</v>
      </c>
      <c r="F1081" s="4" t="s">
        <v>59</v>
      </c>
      <c r="G1081" s="4" t="s">
        <v>913</v>
      </c>
      <c r="H1081" s="4"/>
      <c r="I1081" s="4" t="n">
        <v>0.8158</v>
      </c>
      <c r="J1081" s="4" t="str">
        <f aca="false">TRIM(E1081) &amp; TRIM(C1081) &amp; TRIM(D1081)</f>
        <v>Re-reviewSponsored Content Community VideoJO</v>
      </c>
      <c r="K1081" s="4" t="n">
        <f aca="false">IFERROR(I1081*60,"")</f>
        <v>48.948</v>
      </c>
    </row>
    <row r="1082" customFormat="false" ht="15" hidden="false" customHeight="false" outlineLevel="0" collapsed="false">
      <c r="A1082" s="4" t="s">
        <v>15</v>
      </c>
      <c r="B1082" s="4" t="s">
        <v>899</v>
      </c>
      <c r="C1082" s="4" t="s">
        <v>900</v>
      </c>
      <c r="D1082" s="4" t="s">
        <v>255</v>
      </c>
      <c r="E1082" s="4" t="s">
        <v>66</v>
      </c>
      <c r="F1082" s="4" t="s">
        <v>67</v>
      </c>
      <c r="G1082" s="4" t="s">
        <v>914</v>
      </c>
      <c r="H1082" s="4"/>
      <c r="I1082" s="4" t="n">
        <v>0.6359</v>
      </c>
      <c r="J1082" s="4" t="str">
        <f aca="false">TRIM(E1082) &amp; TRIM(C1082) &amp; TRIM(D1082)</f>
        <v>Posted RecallSponsored Content Community VideoNZ</v>
      </c>
      <c r="K1082" s="4" t="n">
        <f aca="false">IFERROR(I1082*60,"")</f>
        <v>38.154</v>
      </c>
    </row>
    <row r="1083" customFormat="false" ht="15" hidden="false" customHeight="false" outlineLevel="0" collapsed="false">
      <c r="A1083" s="4" t="s">
        <v>15</v>
      </c>
      <c r="B1083" s="4" t="s">
        <v>899</v>
      </c>
      <c r="C1083" s="4" t="s">
        <v>900</v>
      </c>
      <c r="D1083" s="4" t="s">
        <v>136</v>
      </c>
      <c r="E1083" s="4" t="s">
        <v>63</v>
      </c>
      <c r="F1083" s="4" t="s">
        <v>63</v>
      </c>
      <c r="G1083" s="4" t="s">
        <v>915</v>
      </c>
      <c r="H1083" s="4"/>
      <c r="I1083" s="4" t="n">
        <v>2.2289</v>
      </c>
      <c r="J1083" s="4" t="str">
        <f aca="false">TRIM(E1083) &amp; TRIM(C1083) &amp; TRIM(D1083)</f>
        <v>First ReviewSponsored Content Community VideoPE</v>
      </c>
      <c r="K1083" s="4" t="n">
        <f aca="false">IFERROR(I1083*60,"")</f>
        <v>133.734</v>
      </c>
    </row>
    <row r="1084" customFormat="false" ht="15" hidden="false" customHeight="false" outlineLevel="0" collapsed="false">
      <c r="A1084" s="4" t="s">
        <v>15</v>
      </c>
      <c r="B1084" s="4" t="s">
        <v>899</v>
      </c>
      <c r="C1084" s="4" t="s">
        <v>900</v>
      </c>
      <c r="D1084" s="4" t="s">
        <v>284</v>
      </c>
      <c r="E1084" s="4" t="s">
        <v>66</v>
      </c>
      <c r="F1084" s="4" t="s">
        <v>67</v>
      </c>
      <c r="G1084" s="4" t="s">
        <v>916</v>
      </c>
      <c r="H1084" s="4"/>
      <c r="I1084" s="4" t="n">
        <v>0.991</v>
      </c>
      <c r="J1084" s="4" t="str">
        <f aca="false">TRIM(E1084) &amp; TRIM(C1084) &amp; TRIM(D1084)</f>
        <v>Posted RecallSponsored Content Community VideoTR</v>
      </c>
      <c r="K1084" s="4" t="n">
        <f aca="false">IFERROR(I1084*60,"")</f>
        <v>59.46</v>
      </c>
    </row>
    <row r="1085" customFormat="false" ht="15" hidden="false" customHeight="false" outlineLevel="0" collapsed="false">
      <c r="A1085" s="4" t="s">
        <v>15</v>
      </c>
      <c r="B1085" s="4" t="s">
        <v>899</v>
      </c>
      <c r="C1085" s="4" t="s">
        <v>900</v>
      </c>
      <c r="D1085" s="4" t="s">
        <v>210</v>
      </c>
      <c r="E1085" s="4" t="s">
        <v>66</v>
      </c>
      <c r="F1085" s="4" t="s">
        <v>67</v>
      </c>
      <c r="G1085" s="4" t="s">
        <v>917</v>
      </c>
      <c r="H1085" s="4"/>
      <c r="I1085" s="4" t="n">
        <v>0.882</v>
      </c>
      <c r="J1085" s="4" t="str">
        <f aca="false">TRIM(E1085) &amp; TRIM(C1085) &amp; TRIM(D1085)</f>
        <v>Posted RecallSponsored Content Community VideoPK</v>
      </c>
      <c r="K1085" s="4" t="n">
        <f aca="false">IFERROR(I1085*60,"")</f>
        <v>52.92</v>
      </c>
    </row>
    <row r="1086" customFormat="false" ht="15" hidden="false" customHeight="false" outlineLevel="0" collapsed="false">
      <c r="A1086" s="4" t="s">
        <v>15</v>
      </c>
      <c r="B1086" s="4" t="s">
        <v>899</v>
      </c>
      <c r="C1086" s="4" t="s">
        <v>900</v>
      </c>
      <c r="D1086" s="4" t="s">
        <v>238</v>
      </c>
      <c r="E1086" s="4" t="s">
        <v>63</v>
      </c>
      <c r="F1086" s="4" t="s">
        <v>63</v>
      </c>
      <c r="G1086" s="4" t="s">
        <v>918</v>
      </c>
      <c r="H1086" s="4"/>
      <c r="I1086" s="4" t="n">
        <v>1.8852</v>
      </c>
      <c r="J1086" s="4" t="str">
        <f aca="false">TRIM(E1086) &amp; TRIM(C1086) &amp; TRIM(D1086)</f>
        <v>First ReviewSponsored Content Community VideoCH</v>
      </c>
      <c r="K1086" s="4" t="n">
        <f aca="false">IFERROR(I1086*60,"")</f>
        <v>113.112</v>
      </c>
    </row>
    <row r="1087" customFormat="false" ht="15" hidden="false" customHeight="false" outlineLevel="0" collapsed="false">
      <c r="A1087" s="4" t="s">
        <v>15</v>
      </c>
      <c r="B1087" s="4" t="s">
        <v>899</v>
      </c>
      <c r="C1087" s="4" t="s">
        <v>900</v>
      </c>
      <c r="D1087" s="4" t="s">
        <v>299</v>
      </c>
      <c r="E1087" s="4" t="s">
        <v>59</v>
      </c>
      <c r="F1087" s="4" t="s">
        <v>59</v>
      </c>
      <c r="G1087" s="4" t="s">
        <v>919</v>
      </c>
      <c r="H1087" s="4"/>
      <c r="I1087" s="4" t="n">
        <v>1.1951</v>
      </c>
      <c r="J1087" s="4" t="str">
        <f aca="false">TRIM(E1087) &amp; TRIM(C1087) &amp; TRIM(D1087)</f>
        <v>Re-reviewSponsored Content Community VideoQA</v>
      </c>
      <c r="K1087" s="4" t="n">
        <f aca="false">IFERROR(I1087*60,"")</f>
        <v>71.706</v>
      </c>
    </row>
    <row r="1088" customFormat="false" ht="15" hidden="false" customHeight="false" outlineLevel="0" collapsed="false">
      <c r="A1088" s="4" t="s">
        <v>15</v>
      </c>
      <c r="B1088" s="4" t="s">
        <v>899</v>
      </c>
      <c r="C1088" s="4" t="s">
        <v>900</v>
      </c>
      <c r="D1088" s="4" t="s">
        <v>166</v>
      </c>
      <c r="E1088" s="4" t="s">
        <v>63</v>
      </c>
      <c r="F1088" s="4" t="s">
        <v>63</v>
      </c>
      <c r="G1088" s="4" t="s">
        <v>920</v>
      </c>
      <c r="H1088" s="4"/>
      <c r="I1088" s="4" t="n">
        <v>2.3777</v>
      </c>
      <c r="J1088" s="4" t="str">
        <f aca="false">TRIM(E1088) &amp; TRIM(C1088) &amp; TRIM(D1088)</f>
        <v>First ReviewSponsored Content Community VideoCZ</v>
      </c>
      <c r="K1088" s="4" t="n">
        <f aca="false">IFERROR(I1088*60,"")</f>
        <v>142.662</v>
      </c>
    </row>
    <row r="1089" customFormat="false" ht="15" hidden="false" customHeight="false" outlineLevel="0" collapsed="false">
      <c r="A1089" s="4" t="s">
        <v>15</v>
      </c>
      <c r="B1089" s="4" t="s">
        <v>899</v>
      </c>
      <c r="C1089" s="4" t="s">
        <v>900</v>
      </c>
      <c r="D1089" s="4" t="s">
        <v>76</v>
      </c>
      <c r="E1089" s="4" t="s">
        <v>66</v>
      </c>
      <c r="F1089" s="4" t="s">
        <v>67</v>
      </c>
      <c r="G1089" s="4" t="s">
        <v>921</v>
      </c>
      <c r="H1089" s="4"/>
      <c r="I1089" s="4" t="n">
        <v>1.7436</v>
      </c>
      <c r="J1089" s="4" t="str">
        <f aca="false">TRIM(E1089) &amp; TRIM(C1089) &amp; TRIM(D1089)</f>
        <v>Posted RecallSponsored Content Community VideoLT</v>
      </c>
      <c r="K1089" s="4" t="n">
        <f aca="false">IFERROR(I1089*60,"")</f>
        <v>104.616</v>
      </c>
    </row>
    <row r="1090" customFormat="false" ht="15" hidden="false" customHeight="false" outlineLevel="0" collapsed="false">
      <c r="A1090" s="4" t="s">
        <v>15</v>
      </c>
      <c r="B1090" s="4" t="s">
        <v>899</v>
      </c>
      <c r="C1090" s="4" t="s">
        <v>900</v>
      </c>
      <c r="D1090" s="4" t="s">
        <v>152</v>
      </c>
      <c r="E1090" s="4" t="s">
        <v>66</v>
      </c>
      <c r="F1090" s="4" t="s">
        <v>67</v>
      </c>
      <c r="G1090" s="4" t="s">
        <v>922</v>
      </c>
      <c r="H1090" s="4"/>
      <c r="I1090" s="4" t="n">
        <v>0.7574</v>
      </c>
      <c r="J1090" s="4" t="str">
        <f aca="false">TRIM(E1090) &amp; TRIM(C1090) &amp; TRIM(D1090)</f>
        <v>Posted RecallSponsored Content Community VideoCY</v>
      </c>
      <c r="K1090" s="4" t="n">
        <f aca="false">IFERROR(I1090*60,"")</f>
        <v>45.444</v>
      </c>
    </row>
    <row r="1091" customFormat="false" ht="15" hidden="false" customHeight="false" outlineLevel="0" collapsed="false">
      <c r="A1091" s="4" t="s">
        <v>15</v>
      </c>
      <c r="B1091" s="4" t="s">
        <v>899</v>
      </c>
      <c r="C1091" s="4" t="s">
        <v>900</v>
      </c>
      <c r="D1091" s="4" t="s">
        <v>139</v>
      </c>
      <c r="E1091" s="4" t="s">
        <v>59</v>
      </c>
      <c r="F1091" s="4" t="s">
        <v>59</v>
      </c>
      <c r="G1091" s="4" t="s">
        <v>923</v>
      </c>
      <c r="H1091" s="4"/>
      <c r="I1091" s="4" t="n">
        <v>1.0627</v>
      </c>
      <c r="J1091" s="4" t="str">
        <f aca="false">TRIM(E1091) &amp; TRIM(C1091) &amp; TRIM(D1091)</f>
        <v>Re-reviewSponsored Content Community VideoEG</v>
      </c>
      <c r="K1091" s="4" t="n">
        <f aca="false">IFERROR(I1091*60,"")</f>
        <v>63.762</v>
      </c>
    </row>
    <row r="1092" customFormat="false" ht="15" hidden="false" customHeight="false" outlineLevel="0" collapsed="false">
      <c r="A1092" s="4" t="s">
        <v>15</v>
      </c>
      <c r="B1092" s="4" t="s">
        <v>899</v>
      </c>
      <c r="C1092" s="4" t="s">
        <v>900</v>
      </c>
      <c r="D1092" s="4" t="s">
        <v>203</v>
      </c>
      <c r="E1092" s="4" t="s">
        <v>66</v>
      </c>
      <c r="F1092" s="4" t="s">
        <v>67</v>
      </c>
      <c r="G1092" s="4" t="s">
        <v>924</v>
      </c>
      <c r="H1092" s="4"/>
      <c r="I1092" s="4" t="n">
        <v>1.5736</v>
      </c>
      <c r="J1092" s="4" t="str">
        <f aca="false">TRIM(E1092) &amp; TRIM(C1092) &amp; TRIM(D1092)</f>
        <v>Posted RecallSponsored Content Community VideoCA</v>
      </c>
      <c r="K1092" s="4" t="n">
        <f aca="false">IFERROR(I1092*60,"")</f>
        <v>94.416</v>
      </c>
    </row>
    <row r="1093" customFormat="false" ht="15" hidden="false" customHeight="false" outlineLevel="0" collapsed="false">
      <c r="A1093" s="4" t="s">
        <v>15</v>
      </c>
      <c r="B1093" s="4" t="s">
        <v>899</v>
      </c>
      <c r="C1093" s="4" t="s">
        <v>900</v>
      </c>
      <c r="D1093" s="4" t="s">
        <v>168</v>
      </c>
      <c r="E1093" s="4" t="s">
        <v>66</v>
      </c>
      <c r="F1093" s="4" t="s">
        <v>67</v>
      </c>
      <c r="G1093" s="4" t="s">
        <v>925</v>
      </c>
      <c r="H1093" s="4"/>
      <c r="I1093" s="4" t="n">
        <v>2.1073</v>
      </c>
      <c r="J1093" s="4" t="str">
        <f aca="false">TRIM(E1093) &amp; TRIM(C1093) &amp; TRIM(D1093)</f>
        <v>Posted RecallSponsored Content Community VideoKZ</v>
      </c>
      <c r="K1093" s="4" t="n">
        <f aca="false">IFERROR(I1093*60,"")</f>
        <v>126.438</v>
      </c>
    </row>
    <row r="1094" customFormat="false" ht="15" hidden="false" customHeight="false" outlineLevel="0" collapsed="false">
      <c r="A1094" s="4" t="s">
        <v>15</v>
      </c>
      <c r="B1094" s="4" t="s">
        <v>899</v>
      </c>
      <c r="C1094" s="4" t="s">
        <v>900</v>
      </c>
      <c r="D1094" s="4" t="s">
        <v>235</v>
      </c>
      <c r="E1094" s="4" t="s">
        <v>63</v>
      </c>
      <c r="F1094" s="4" t="s">
        <v>63</v>
      </c>
      <c r="G1094" s="4" t="s">
        <v>926</v>
      </c>
      <c r="H1094" s="4"/>
      <c r="I1094" s="4" t="n">
        <v>1.6609</v>
      </c>
      <c r="J1094" s="4" t="str">
        <f aca="false">TRIM(E1094) &amp; TRIM(C1094) &amp; TRIM(D1094)</f>
        <v>First ReviewSponsored Content Community VideoJP</v>
      </c>
      <c r="K1094" s="4" t="n">
        <f aca="false">IFERROR(I1094*60,"")</f>
        <v>99.654</v>
      </c>
    </row>
    <row r="1095" customFormat="false" ht="15" hidden="false" customHeight="false" outlineLevel="0" collapsed="false">
      <c r="A1095" s="4" t="s">
        <v>15</v>
      </c>
      <c r="B1095" s="4" t="s">
        <v>899</v>
      </c>
      <c r="C1095" s="4" t="s">
        <v>900</v>
      </c>
      <c r="D1095" s="4" t="s">
        <v>208</v>
      </c>
      <c r="E1095" s="4" t="s">
        <v>59</v>
      </c>
      <c r="F1095" s="4" t="s">
        <v>59</v>
      </c>
      <c r="G1095" s="4" t="s">
        <v>912</v>
      </c>
      <c r="H1095" s="4"/>
      <c r="I1095" s="4" t="n">
        <v>1.6308</v>
      </c>
      <c r="J1095" s="4" t="str">
        <f aca="false">TRIM(E1095) &amp; TRIM(C1095) &amp; TRIM(D1095)</f>
        <v>Re-reviewSponsored Content Community VideoCO</v>
      </c>
      <c r="K1095" s="4" t="n">
        <f aca="false">IFERROR(I1095*60,"")</f>
        <v>97.848</v>
      </c>
    </row>
    <row r="1096" customFormat="false" ht="15" hidden="false" customHeight="false" outlineLevel="0" collapsed="false">
      <c r="A1096" s="4" t="s">
        <v>15</v>
      </c>
      <c r="B1096" s="4" t="s">
        <v>899</v>
      </c>
      <c r="C1096" s="4" t="s">
        <v>900</v>
      </c>
      <c r="D1096" s="4" t="s">
        <v>265</v>
      </c>
      <c r="E1096" s="4" t="s">
        <v>66</v>
      </c>
      <c r="F1096" s="4" t="s">
        <v>67</v>
      </c>
      <c r="G1096" s="4" t="s">
        <v>927</v>
      </c>
      <c r="H1096" s="4"/>
      <c r="I1096" s="4" t="n">
        <v>1.6689</v>
      </c>
      <c r="J1096" s="4" t="str">
        <f aca="false">TRIM(E1096) &amp; TRIM(C1096) &amp; TRIM(D1096)</f>
        <v>Posted RecallSponsored Content Community VideoNO</v>
      </c>
      <c r="K1096" s="4" t="n">
        <f aca="false">IFERROR(I1096*60,"")</f>
        <v>100.134</v>
      </c>
    </row>
    <row r="1097" customFormat="false" ht="15" hidden="false" customHeight="false" outlineLevel="0" collapsed="false">
      <c r="A1097" s="4" t="s">
        <v>15</v>
      </c>
      <c r="B1097" s="4" t="s">
        <v>899</v>
      </c>
      <c r="C1097" s="4" t="s">
        <v>900</v>
      </c>
      <c r="D1097" s="4" t="s">
        <v>243</v>
      </c>
      <c r="E1097" s="4" t="s">
        <v>63</v>
      </c>
      <c r="F1097" s="4" t="s">
        <v>63</v>
      </c>
      <c r="G1097" s="4" t="s">
        <v>928</v>
      </c>
      <c r="H1097" s="4"/>
      <c r="I1097" s="4" t="n">
        <v>2.1081</v>
      </c>
      <c r="J1097" s="4" t="str">
        <f aca="false">TRIM(E1097) &amp; TRIM(C1097) &amp; TRIM(D1097)</f>
        <v>First ReviewSponsored Content Community VideoBY</v>
      </c>
      <c r="K1097" s="4" t="n">
        <f aca="false">IFERROR(I1097*60,"")</f>
        <v>126.486</v>
      </c>
    </row>
    <row r="1098" customFormat="false" ht="15" hidden="false" customHeight="false" outlineLevel="0" collapsed="false">
      <c r="A1098" s="4" t="s">
        <v>15</v>
      </c>
      <c r="B1098" s="4" t="s">
        <v>899</v>
      </c>
      <c r="C1098" s="4" t="s">
        <v>900</v>
      </c>
      <c r="D1098" s="4" t="s">
        <v>458</v>
      </c>
      <c r="E1098" s="4" t="s">
        <v>66</v>
      </c>
      <c r="F1098" s="4" t="s">
        <v>67</v>
      </c>
      <c r="G1098" s="4" t="s">
        <v>929</v>
      </c>
      <c r="H1098" s="4"/>
      <c r="I1098" s="4" t="n">
        <v>3.5508</v>
      </c>
      <c r="J1098" s="4" t="str">
        <f aca="false">TRIM(E1098) &amp; TRIM(C1098) &amp; TRIM(D1098)</f>
        <v>Posted RecallSponsored Content Community VideoTW</v>
      </c>
      <c r="K1098" s="4" t="n">
        <f aca="false">IFERROR(I1098*60,"")</f>
        <v>213.048</v>
      </c>
    </row>
    <row r="1099" customFormat="false" ht="15" hidden="false" customHeight="false" outlineLevel="0" collapsed="false">
      <c r="A1099" s="4" t="s">
        <v>15</v>
      </c>
      <c r="B1099" s="4" t="s">
        <v>899</v>
      </c>
      <c r="C1099" s="4" t="s">
        <v>900</v>
      </c>
      <c r="D1099" s="4" t="s">
        <v>104</v>
      </c>
      <c r="E1099" s="4" t="s">
        <v>63</v>
      </c>
      <c r="F1099" s="4" t="s">
        <v>63</v>
      </c>
      <c r="G1099" s="4" t="s">
        <v>930</v>
      </c>
      <c r="H1099" s="4"/>
      <c r="I1099" s="4" t="n">
        <v>3.1886</v>
      </c>
      <c r="J1099" s="4" t="str">
        <f aca="false">TRIM(E1099) &amp; TRIM(C1099) &amp; TRIM(D1099)</f>
        <v>First ReviewSponsored Content Community VideoIE</v>
      </c>
      <c r="K1099" s="4" t="n">
        <f aca="false">IFERROR(I1099*60,"")</f>
        <v>191.316</v>
      </c>
    </row>
    <row r="1100" customFormat="false" ht="15" hidden="false" customHeight="false" outlineLevel="0" collapsed="false">
      <c r="A1100" s="4" t="s">
        <v>15</v>
      </c>
      <c r="B1100" s="4" t="s">
        <v>899</v>
      </c>
      <c r="C1100" s="4" t="s">
        <v>900</v>
      </c>
      <c r="D1100" s="4" t="s">
        <v>115</v>
      </c>
      <c r="E1100" s="4" t="s">
        <v>63</v>
      </c>
      <c r="F1100" s="4" t="s">
        <v>63</v>
      </c>
      <c r="G1100" s="4" t="s">
        <v>931</v>
      </c>
      <c r="H1100" s="4"/>
      <c r="I1100" s="4" t="n">
        <v>1.0065</v>
      </c>
      <c r="J1100" s="4" t="str">
        <f aca="false">TRIM(E1100) &amp; TRIM(C1100) &amp; TRIM(D1100)</f>
        <v>First ReviewSponsored Content Community VideoAT</v>
      </c>
      <c r="K1100" s="4" t="n">
        <f aca="false">IFERROR(I1100*60,"")</f>
        <v>60.39</v>
      </c>
    </row>
    <row r="1101" customFormat="false" ht="15" hidden="false" customHeight="false" outlineLevel="0" collapsed="false">
      <c r="A1101" s="4" t="s">
        <v>15</v>
      </c>
      <c r="B1101" s="4" t="s">
        <v>899</v>
      </c>
      <c r="C1101" s="4" t="s">
        <v>900</v>
      </c>
      <c r="D1101" s="4" t="s">
        <v>275</v>
      </c>
      <c r="E1101" s="4" t="s">
        <v>66</v>
      </c>
      <c r="F1101" s="4" t="s">
        <v>67</v>
      </c>
      <c r="G1101" s="4" t="s">
        <v>932</v>
      </c>
      <c r="H1101" s="4"/>
      <c r="I1101" s="4" t="n">
        <v>1.668</v>
      </c>
      <c r="J1101" s="4" t="str">
        <f aca="false">TRIM(E1101) &amp; TRIM(C1101) &amp; TRIM(D1101)</f>
        <v>Posted RecallSponsored Content Community VideoGB</v>
      </c>
      <c r="K1101" s="4" t="n">
        <f aca="false">IFERROR(I1101*60,"")</f>
        <v>100.08</v>
      </c>
    </row>
    <row r="1102" customFormat="false" ht="15" hidden="false" customHeight="false" outlineLevel="0" collapsed="false">
      <c r="A1102" s="4" t="s">
        <v>15</v>
      </c>
      <c r="B1102" s="4" t="s">
        <v>899</v>
      </c>
      <c r="C1102" s="4" t="s">
        <v>900</v>
      </c>
      <c r="D1102" s="4" t="s">
        <v>154</v>
      </c>
      <c r="E1102" s="4" t="s">
        <v>66</v>
      </c>
      <c r="F1102" s="4" t="s">
        <v>67</v>
      </c>
      <c r="G1102" s="4" t="s">
        <v>933</v>
      </c>
      <c r="H1102" s="4"/>
      <c r="I1102" s="4" t="n">
        <v>1.6638</v>
      </c>
      <c r="J1102" s="4" t="str">
        <f aca="false">TRIM(E1102) &amp; TRIM(C1102) &amp; TRIM(D1102)</f>
        <v>Posted RecallSponsored Content Community VideoES</v>
      </c>
      <c r="K1102" s="4" t="n">
        <f aca="false">IFERROR(I1102*60,"")</f>
        <v>99.828</v>
      </c>
    </row>
    <row r="1103" customFormat="false" ht="15" hidden="false" customHeight="false" outlineLevel="0" collapsed="false">
      <c r="A1103" s="4" t="s">
        <v>15</v>
      </c>
      <c r="B1103" s="4" t="s">
        <v>899</v>
      </c>
      <c r="C1103" s="4" t="s">
        <v>900</v>
      </c>
      <c r="D1103" s="4" t="s">
        <v>136</v>
      </c>
      <c r="E1103" s="4" t="s">
        <v>59</v>
      </c>
      <c r="F1103" s="4" t="s">
        <v>59</v>
      </c>
      <c r="G1103" s="4" t="s">
        <v>915</v>
      </c>
      <c r="H1103" s="4"/>
      <c r="I1103" s="4" t="n">
        <v>2.5186</v>
      </c>
      <c r="J1103" s="4" t="str">
        <f aca="false">TRIM(E1103) &amp; TRIM(C1103) &amp; TRIM(D1103)</f>
        <v>Re-reviewSponsored Content Community VideoPE</v>
      </c>
      <c r="K1103" s="4" t="n">
        <f aca="false">IFERROR(I1103*60,"")</f>
        <v>151.116</v>
      </c>
    </row>
    <row r="1104" customFormat="false" ht="15" hidden="false" customHeight="false" outlineLevel="0" collapsed="false">
      <c r="A1104" s="4" t="s">
        <v>15</v>
      </c>
      <c r="B1104" s="4" t="s">
        <v>899</v>
      </c>
      <c r="C1104" s="4" t="s">
        <v>900</v>
      </c>
      <c r="D1104" s="4" t="s">
        <v>130</v>
      </c>
      <c r="E1104" s="4" t="s">
        <v>63</v>
      </c>
      <c r="F1104" s="4" t="s">
        <v>63</v>
      </c>
      <c r="G1104" s="4" t="s">
        <v>934</v>
      </c>
      <c r="H1104" s="4"/>
      <c r="I1104" s="4" t="n">
        <v>1.6576</v>
      </c>
      <c r="J1104" s="4" t="str">
        <f aca="false">TRIM(E1104) &amp; TRIM(C1104) &amp; TRIM(D1104)</f>
        <v>First ReviewSponsored Content Community VideoMA</v>
      </c>
      <c r="K1104" s="4" t="n">
        <f aca="false">IFERROR(I1104*60,"")</f>
        <v>99.456</v>
      </c>
    </row>
    <row r="1105" customFormat="false" ht="15" hidden="false" customHeight="false" outlineLevel="0" collapsed="false">
      <c r="A1105" s="4" t="s">
        <v>15</v>
      </c>
      <c r="B1105" s="4" t="s">
        <v>899</v>
      </c>
      <c r="C1105" s="4" t="s">
        <v>900</v>
      </c>
      <c r="D1105" s="4" t="s">
        <v>124</v>
      </c>
      <c r="E1105" s="4" t="s">
        <v>66</v>
      </c>
      <c r="F1105" s="4" t="s">
        <v>67</v>
      </c>
      <c r="G1105" s="4" t="s">
        <v>935</v>
      </c>
      <c r="H1105" s="4"/>
      <c r="I1105" s="4" t="n">
        <v>1.8794</v>
      </c>
      <c r="J1105" s="4" t="str">
        <f aca="false">TRIM(E1105) &amp; TRIM(C1105) &amp; TRIM(D1105)</f>
        <v>Posted RecallSponsored Content Community VideoPT</v>
      </c>
      <c r="K1105" s="4" t="n">
        <f aca="false">IFERROR(I1105*60,"")</f>
        <v>112.764</v>
      </c>
    </row>
    <row r="1106" customFormat="false" ht="15" hidden="false" customHeight="false" outlineLevel="0" collapsed="false">
      <c r="A1106" s="4" t="s">
        <v>15</v>
      </c>
      <c r="B1106" s="4" t="s">
        <v>899</v>
      </c>
      <c r="C1106" s="4" t="s">
        <v>900</v>
      </c>
      <c r="D1106" s="4" t="s">
        <v>181</v>
      </c>
      <c r="E1106" s="4" t="s">
        <v>59</v>
      </c>
      <c r="F1106" s="4" t="s">
        <v>59</v>
      </c>
      <c r="G1106" s="4" t="s">
        <v>936</v>
      </c>
      <c r="H1106" s="4"/>
      <c r="I1106" s="4" t="n">
        <v>1.4294</v>
      </c>
      <c r="J1106" s="4" t="str">
        <f aca="false">TRIM(E1106) &amp; TRIM(C1106) &amp; TRIM(D1106)</f>
        <v>Re-reviewSponsored Content Community VideoLB</v>
      </c>
      <c r="K1106" s="4" t="n">
        <f aca="false">IFERROR(I1106*60,"")</f>
        <v>85.764</v>
      </c>
    </row>
    <row r="1107" customFormat="false" ht="15" hidden="false" customHeight="false" outlineLevel="0" collapsed="false">
      <c r="A1107" s="4" t="s">
        <v>15</v>
      </c>
      <c r="B1107" s="4" t="s">
        <v>899</v>
      </c>
      <c r="C1107" s="4" t="s">
        <v>900</v>
      </c>
      <c r="D1107" s="4" t="s">
        <v>937</v>
      </c>
      <c r="E1107" s="4" t="s">
        <v>66</v>
      </c>
      <c r="F1107" s="4" t="s">
        <v>67</v>
      </c>
      <c r="G1107" s="4" t="s">
        <v>938</v>
      </c>
      <c r="H1107" s="4"/>
      <c r="I1107" s="4" t="n">
        <v>1.0736</v>
      </c>
      <c r="J1107" s="4" t="str">
        <f aca="false">TRIM(E1107) &amp; TRIM(C1107) &amp; TRIM(D1107)</f>
        <v>Posted RecallSponsored Content Community VideoUA</v>
      </c>
      <c r="K1107" s="4" t="n">
        <f aca="false">IFERROR(I1107*60,"")</f>
        <v>64.416</v>
      </c>
    </row>
    <row r="1108" customFormat="false" ht="15" hidden="false" customHeight="false" outlineLevel="0" collapsed="false">
      <c r="A1108" s="4" t="s">
        <v>15</v>
      </c>
      <c r="B1108" s="4" t="s">
        <v>899</v>
      </c>
      <c r="C1108" s="4" t="s">
        <v>900</v>
      </c>
      <c r="D1108" s="4" t="s">
        <v>100</v>
      </c>
      <c r="E1108" s="4" t="s">
        <v>66</v>
      </c>
      <c r="F1108" s="4" t="s">
        <v>67</v>
      </c>
      <c r="G1108" s="4" t="s">
        <v>939</v>
      </c>
      <c r="H1108" s="4"/>
      <c r="I1108" s="4" t="n">
        <v>0.8024</v>
      </c>
      <c r="J1108" s="4" t="str">
        <f aca="false">TRIM(E1108) &amp; TRIM(C1108) &amp; TRIM(D1108)</f>
        <v>Posted RecallSponsored Content Community VideoAU</v>
      </c>
      <c r="K1108" s="4" t="n">
        <f aca="false">IFERROR(I1108*60,"")</f>
        <v>48.144</v>
      </c>
    </row>
    <row r="1109" customFormat="false" ht="15" hidden="false" customHeight="false" outlineLevel="0" collapsed="false">
      <c r="A1109" s="4" t="s">
        <v>15</v>
      </c>
      <c r="B1109" s="4" t="s">
        <v>899</v>
      </c>
      <c r="C1109" s="4" t="s">
        <v>900</v>
      </c>
      <c r="D1109" s="4" t="s">
        <v>231</v>
      </c>
      <c r="E1109" s="4" t="s">
        <v>66</v>
      </c>
      <c r="F1109" s="4" t="s">
        <v>67</v>
      </c>
      <c r="G1109" s="4" t="s">
        <v>940</v>
      </c>
      <c r="H1109" s="4"/>
      <c r="I1109" s="4" t="n">
        <v>2.751</v>
      </c>
      <c r="J1109" s="4" t="str">
        <f aca="false">TRIM(E1109) &amp; TRIM(C1109) &amp; TRIM(D1109)</f>
        <v>Posted RecallSponsored Content Community VideoIL</v>
      </c>
      <c r="K1109" s="4" t="n">
        <f aca="false">IFERROR(I1109*60,"")</f>
        <v>165.06</v>
      </c>
    </row>
    <row r="1110" customFormat="false" ht="15" hidden="false" customHeight="false" outlineLevel="0" collapsed="false">
      <c r="A1110" s="4" t="s">
        <v>15</v>
      </c>
      <c r="B1110" s="4" t="s">
        <v>899</v>
      </c>
      <c r="C1110" s="4" t="s">
        <v>900</v>
      </c>
      <c r="D1110" s="4" t="s">
        <v>231</v>
      </c>
      <c r="E1110" s="4" t="s">
        <v>63</v>
      </c>
      <c r="F1110" s="4" t="s">
        <v>63</v>
      </c>
      <c r="G1110" s="4" t="s">
        <v>940</v>
      </c>
      <c r="H1110" s="4"/>
      <c r="I1110" s="4" t="n">
        <v>1.1231</v>
      </c>
      <c r="J1110" s="4" t="str">
        <f aca="false">TRIM(E1110) &amp; TRIM(C1110) &amp; TRIM(D1110)</f>
        <v>First ReviewSponsored Content Community VideoIL</v>
      </c>
      <c r="K1110" s="4" t="n">
        <f aca="false">IFERROR(I1110*60,"")</f>
        <v>67.386</v>
      </c>
    </row>
    <row r="1111" customFormat="false" ht="15" hidden="false" customHeight="false" outlineLevel="0" collapsed="false">
      <c r="A1111" s="4" t="s">
        <v>15</v>
      </c>
      <c r="B1111" s="4" t="s">
        <v>899</v>
      </c>
      <c r="C1111" s="4" t="s">
        <v>900</v>
      </c>
      <c r="D1111" s="4" t="s">
        <v>195</v>
      </c>
      <c r="E1111" s="4" t="s">
        <v>66</v>
      </c>
      <c r="F1111" s="4" t="s">
        <v>67</v>
      </c>
      <c r="G1111" s="4" t="s">
        <v>941</v>
      </c>
      <c r="H1111" s="4"/>
      <c r="I1111" s="4" t="n">
        <v>1.5796</v>
      </c>
      <c r="J1111" s="4" t="str">
        <f aca="false">TRIM(E1111) &amp; TRIM(C1111) &amp; TRIM(D1111)</f>
        <v>Posted RecallSponsored Content Community VideoIT</v>
      </c>
      <c r="K1111" s="4" t="n">
        <f aca="false">IFERROR(I1111*60,"")</f>
        <v>94.776</v>
      </c>
    </row>
    <row r="1112" customFormat="false" ht="15" hidden="false" customHeight="false" outlineLevel="0" collapsed="false">
      <c r="A1112" s="4" t="s">
        <v>15</v>
      </c>
      <c r="B1112" s="4" t="s">
        <v>899</v>
      </c>
      <c r="C1112" s="4" t="s">
        <v>900</v>
      </c>
      <c r="D1112" s="4" t="s">
        <v>106</v>
      </c>
      <c r="E1112" s="4" t="s">
        <v>59</v>
      </c>
      <c r="F1112" s="4" t="s">
        <v>59</v>
      </c>
      <c r="G1112" s="4" t="s">
        <v>942</v>
      </c>
      <c r="H1112" s="4"/>
      <c r="I1112" s="4" t="n">
        <v>1.1498</v>
      </c>
      <c r="J1112" s="4" t="str">
        <f aca="false">TRIM(E1112) &amp; TRIM(C1112) &amp; TRIM(D1112)</f>
        <v>Re-reviewSponsored Content Community VideoMY</v>
      </c>
      <c r="K1112" s="4" t="n">
        <f aca="false">IFERROR(I1112*60,"")</f>
        <v>68.988</v>
      </c>
    </row>
    <row r="1113" customFormat="false" ht="15" hidden="false" customHeight="false" outlineLevel="0" collapsed="false">
      <c r="A1113" s="4" t="s">
        <v>15</v>
      </c>
      <c r="B1113" s="4" t="s">
        <v>899</v>
      </c>
      <c r="C1113" s="4" t="s">
        <v>900</v>
      </c>
      <c r="D1113" s="4" t="s">
        <v>271</v>
      </c>
      <c r="E1113" s="4" t="s">
        <v>66</v>
      </c>
      <c r="F1113" s="4" t="s">
        <v>67</v>
      </c>
      <c r="G1113" s="4" t="s">
        <v>943</v>
      </c>
      <c r="H1113" s="4"/>
      <c r="I1113" s="4" t="n">
        <v>0.9704</v>
      </c>
      <c r="J1113" s="4" t="str">
        <f aca="false">TRIM(E1113) &amp; TRIM(C1113) &amp; TRIM(D1113)</f>
        <v>Posted RecallSponsored Content Community VideoKW</v>
      </c>
      <c r="K1113" s="4" t="n">
        <f aca="false">IFERROR(I1113*60,"")</f>
        <v>58.224</v>
      </c>
    </row>
    <row r="1114" customFormat="false" ht="15" hidden="false" customHeight="false" outlineLevel="0" collapsed="false">
      <c r="A1114" s="4" t="s">
        <v>15</v>
      </c>
      <c r="B1114" s="4" t="s">
        <v>899</v>
      </c>
      <c r="C1114" s="4" t="s">
        <v>900</v>
      </c>
      <c r="D1114" s="4" t="s">
        <v>251</v>
      </c>
      <c r="E1114" s="4" t="s">
        <v>63</v>
      </c>
      <c r="F1114" s="4" t="s">
        <v>63</v>
      </c>
      <c r="G1114" s="4" t="s">
        <v>944</v>
      </c>
      <c r="H1114" s="4"/>
      <c r="I1114" s="4" t="n">
        <v>2.454</v>
      </c>
      <c r="J1114" s="4" t="str">
        <f aca="false">TRIM(E1114) &amp; TRIM(C1114) &amp; TRIM(D1114)</f>
        <v>First ReviewSponsored Content Community VideoRO</v>
      </c>
      <c r="K1114" s="4" t="n">
        <f aca="false">IFERROR(I1114*60,"")</f>
        <v>147.24</v>
      </c>
    </row>
    <row r="1115" customFormat="false" ht="15" hidden="false" customHeight="false" outlineLevel="0" collapsed="false">
      <c r="A1115" s="4" t="s">
        <v>15</v>
      </c>
      <c r="B1115" s="4" t="s">
        <v>899</v>
      </c>
      <c r="C1115" s="4" t="s">
        <v>900</v>
      </c>
      <c r="D1115" s="4" t="s">
        <v>70</v>
      </c>
      <c r="E1115" s="4" t="s">
        <v>63</v>
      </c>
      <c r="F1115" s="4" t="s">
        <v>63</v>
      </c>
      <c r="G1115" s="4" t="s">
        <v>909</v>
      </c>
      <c r="H1115" s="4"/>
      <c r="I1115" s="4" t="n">
        <v>1.6337</v>
      </c>
      <c r="J1115" s="4" t="str">
        <f aca="false">TRIM(E1115) &amp; TRIM(C1115) &amp; TRIM(D1115)</f>
        <v>First ReviewSponsored Content Community VideoBE</v>
      </c>
      <c r="K1115" s="4" t="n">
        <f aca="false">IFERROR(I1115*60,"")</f>
        <v>98.022</v>
      </c>
    </row>
    <row r="1116" customFormat="false" ht="15" hidden="false" customHeight="false" outlineLevel="0" collapsed="false">
      <c r="A1116" s="4" t="s">
        <v>15</v>
      </c>
      <c r="B1116" s="4" t="s">
        <v>899</v>
      </c>
      <c r="C1116" s="4" t="s">
        <v>900</v>
      </c>
      <c r="D1116" s="4" t="s">
        <v>79</v>
      </c>
      <c r="E1116" s="4" t="s">
        <v>66</v>
      </c>
      <c r="F1116" s="4" t="s">
        <v>67</v>
      </c>
      <c r="G1116" s="4" t="s">
        <v>945</v>
      </c>
      <c r="H1116" s="4"/>
      <c r="I1116" s="4" t="n">
        <v>1.1922</v>
      </c>
      <c r="J1116" s="4" t="str">
        <f aca="false">TRIM(E1116) &amp; TRIM(C1116) &amp; TRIM(D1116)</f>
        <v>Posted RecallSponsored Content Community VideoZA</v>
      </c>
      <c r="K1116" s="4" t="n">
        <f aca="false">IFERROR(I1116*60,"")</f>
        <v>71.532</v>
      </c>
    </row>
    <row r="1117" customFormat="false" ht="15" hidden="false" customHeight="false" outlineLevel="0" collapsed="false">
      <c r="A1117" s="4" t="s">
        <v>15</v>
      </c>
      <c r="B1117" s="4" t="s">
        <v>899</v>
      </c>
      <c r="C1117" s="4" t="s">
        <v>900</v>
      </c>
      <c r="D1117" s="4" t="s">
        <v>299</v>
      </c>
      <c r="E1117" s="4" t="s">
        <v>63</v>
      </c>
      <c r="F1117" s="4" t="s">
        <v>63</v>
      </c>
      <c r="G1117" s="4" t="s">
        <v>919</v>
      </c>
      <c r="H1117" s="4"/>
      <c r="I1117" s="4" t="n">
        <v>1.2365</v>
      </c>
      <c r="J1117" s="4" t="str">
        <f aca="false">TRIM(E1117) &amp; TRIM(C1117) &amp; TRIM(D1117)</f>
        <v>First ReviewSponsored Content Community VideoQA</v>
      </c>
      <c r="K1117" s="4" t="n">
        <f aca="false">IFERROR(I1117*60,"")</f>
        <v>74.19</v>
      </c>
    </row>
    <row r="1118" customFormat="false" ht="15" hidden="false" customHeight="false" outlineLevel="0" collapsed="false">
      <c r="A1118" s="4" t="s">
        <v>15</v>
      </c>
      <c r="B1118" s="4" t="s">
        <v>899</v>
      </c>
      <c r="C1118" s="4" t="s">
        <v>900</v>
      </c>
      <c r="D1118" s="4" t="s">
        <v>235</v>
      </c>
      <c r="E1118" s="4" t="s">
        <v>59</v>
      </c>
      <c r="F1118" s="4" t="s">
        <v>59</v>
      </c>
      <c r="G1118" s="4" t="s">
        <v>926</v>
      </c>
      <c r="H1118" s="4"/>
      <c r="I1118" s="4" t="n">
        <v>2.0676</v>
      </c>
      <c r="J1118" s="4" t="str">
        <f aca="false">TRIM(E1118) &amp; TRIM(C1118) &amp; TRIM(D1118)</f>
        <v>Re-reviewSponsored Content Community VideoJP</v>
      </c>
      <c r="K1118" s="4" t="n">
        <f aca="false">IFERROR(I1118*60,"")</f>
        <v>124.056</v>
      </c>
    </row>
    <row r="1119" customFormat="false" ht="15" hidden="false" customHeight="false" outlineLevel="0" collapsed="false">
      <c r="A1119" s="4" t="s">
        <v>15</v>
      </c>
      <c r="B1119" s="4" t="s">
        <v>899</v>
      </c>
      <c r="C1119" s="4" t="s">
        <v>900</v>
      </c>
      <c r="D1119" s="4" t="s">
        <v>126</v>
      </c>
      <c r="E1119" s="4" t="s">
        <v>59</v>
      </c>
      <c r="F1119" s="4" t="s">
        <v>59</v>
      </c>
      <c r="G1119" s="4" t="s">
        <v>946</v>
      </c>
      <c r="H1119" s="4"/>
      <c r="I1119" s="4" t="n">
        <v>1.512</v>
      </c>
      <c r="J1119" s="4" t="str">
        <f aca="false">TRIM(E1119) &amp; TRIM(C1119) &amp; TRIM(D1119)</f>
        <v>Re-reviewSponsored Content Community VideoMX</v>
      </c>
      <c r="K1119" s="4" t="n">
        <f aca="false">IFERROR(I1119*60,"")</f>
        <v>90.72</v>
      </c>
    </row>
    <row r="1120" customFormat="false" ht="15" hidden="false" customHeight="false" outlineLevel="0" collapsed="false">
      <c r="A1120" s="4" t="s">
        <v>15</v>
      </c>
      <c r="B1120" s="4" t="s">
        <v>899</v>
      </c>
      <c r="C1120" s="4" t="s">
        <v>900</v>
      </c>
      <c r="D1120" s="4" t="s">
        <v>113</v>
      </c>
      <c r="E1120" s="4" t="s">
        <v>63</v>
      </c>
      <c r="F1120" s="4" t="s">
        <v>63</v>
      </c>
      <c r="G1120" s="4" t="s">
        <v>947</v>
      </c>
      <c r="H1120" s="4"/>
      <c r="I1120" s="4" t="n">
        <v>2.2867</v>
      </c>
      <c r="J1120" s="4" t="str">
        <f aca="false">TRIM(E1120) &amp; TRIM(C1120) &amp; TRIM(D1120)</f>
        <v>First ReviewSponsored Content Community VideoNL</v>
      </c>
      <c r="K1120" s="4" t="n">
        <f aca="false">IFERROR(I1120*60,"")</f>
        <v>137.202</v>
      </c>
    </row>
    <row r="1121" customFormat="false" ht="15" hidden="false" customHeight="false" outlineLevel="0" collapsed="false">
      <c r="A1121" s="4" t="s">
        <v>15</v>
      </c>
      <c r="B1121" s="4" t="s">
        <v>899</v>
      </c>
      <c r="C1121" s="4" t="s">
        <v>900</v>
      </c>
      <c r="D1121" s="4" t="s">
        <v>97</v>
      </c>
      <c r="E1121" s="4" t="s">
        <v>66</v>
      </c>
      <c r="F1121" s="4" t="s">
        <v>67</v>
      </c>
      <c r="G1121" s="4" t="s">
        <v>948</v>
      </c>
      <c r="H1121" s="4"/>
      <c r="I1121" s="4" t="n">
        <v>1.6963</v>
      </c>
      <c r="J1121" s="4" t="str">
        <f aca="false">TRIM(E1121) &amp; TRIM(C1121) &amp; TRIM(D1121)</f>
        <v>Posted RecallSponsored Content Community VideoBR</v>
      </c>
      <c r="K1121" s="4" t="n">
        <f aca="false">IFERROR(I1121*60,"")</f>
        <v>101.778</v>
      </c>
    </row>
    <row r="1122" customFormat="false" ht="15" hidden="false" customHeight="false" outlineLevel="0" collapsed="false">
      <c r="A1122" s="4" t="s">
        <v>15</v>
      </c>
      <c r="B1122" s="4" t="s">
        <v>899</v>
      </c>
      <c r="C1122" s="4" t="s">
        <v>900</v>
      </c>
      <c r="D1122" s="4" t="s">
        <v>221</v>
      </c>
      <c r="E1122" s="4" t="s">
        <v>59</v>
      </c>
      <c r="F1122" s="4" t="s">
        <v>59</v>
      </c>
      <c r="G1122" s="4" t="s">
        <v>907</v>
      </c>
      <c r="H1122" s="4"/>
      <c r="I1122" s="4" t="n">
        <v>2.231</v>
      </c>
      <c r="J1122" s="4" t="str">
        <f aca="false">TRIM(E1122) &amp; TRIM(C1122) &amp; TRIM(D1122)</f>
        <v>Re-reviewSponsored Content Community VideoOM</v>
      </c>
      <c r="K1122" s="4" t="n">
        <f aca="false">IFERROR(I1122*60,"")</f>
        <v>133.86</v>
      </c>
    </row>
    <row r="1123" customFormat="false" ht="15" hidden="false" customHeight="false" outlineLevel="0" collapsed="false">
      <c r="A1123" s="4" t="s">
        <v>15</v>
      </c>
      <c r="B1123" s="4" t="s">
        <v>899</v>
      </c>
      <c r="C1123" s="4" t="s">
        <v>900</v>
      </c>
      <c r="D1123" s="4" t="s">
        <v>95</v>
      </c>
      <c r="E1123" s="4" t="s">
        <v>66</v>
      </c>
      <c r="F1123" s="4" t="s">
        <v>67</v>
      </c>
      <c r="G1123" s="4" t="s">
        <v>949</v>
      </c>
      <c r="H1123" s="4"/>
      <c r="I1123" s="4" t="n">
        <v>2.3189</v>
      </c>
      <c r="J1123" s="4" t="str">
        <f aca="false">TRIM(E1123) &amp; TRIM(C1123) &amp; TRIM(D1123)</f>
        <v>Posted RecallSponsored Content Community VideoVN</v>
      </c>
      <c r="K1123" s="4" t="n">
        <f aca="false">IFERROR(I1123*60,"")</f>
        <v>139.134</v>
      </c>
    </row>
    <row r="1124" customFormat="false" ht="15" hidden="false" customHeight="false" outlineLevel="0" collapsed="false">
      <c r="A1124" s="4" t="s">
        <v>15</v>
      </c>
      <c r="B1124" s="4" t="s">
        <v>899</v>
      </c>
      <c r="C1124" s="4" t="s">
        <v>900</v>
      </c>
      <c r="D1124" s="4" t="s">
        <v>73</v>
      </c>
      <c r="E1124" s="4" t="s">
        <v>63</v>
      </c>
      <c r="F1124" s="4" t="s">
        <v>63</v>
      </c>
      <c r="G1124" s="4" t="s">
        <v>903</v>
      </c>
      <c r="H1124" s="4"/>
      <c r="I1124" s="4" t="n">
        <v>1.1893</v>
      </c>
      <c r="J1124" s="4" t="str">
        <f aca="false">TRIM(E1124) &amp; TRIM(C1124) &amp; TRIM(D1124)</f>
        <v>First ReviewSponsored Content Community VideoIQ</v>
      </c>
      <c r="K1124" s="4" t="n">
        <f aca="false">IFERROR(I1124*60,"")</f>
        <v>71.358</v>
      </c>
    </row>
    <row r="1125" customFormat="false" ht="15" hidden="false" customHeight="false" outlineLevel="0" collapsed="false">
      <c r="A1125" s="4" t="s">
        <v>15</v>
      </c>
      <c r="B1125" s="4" t="s">
        <v>899</v>
      </c>
      <c r="C1125" s="4" t="s">
        <v>900</v>
      </c>
      <c r="D1125" s="4" t="s">
        <v>190</v>
      </c>
      <c r="E1125" s="4" t="s">
        <v>66</v>
      </c>
      <c r="F1125" s="4" t="s">
        <v>67</v>
      </c>
      <c r="G1125" s="4" t="s">
        <v>906</v>
      </c>
      <c r="H1125" s="4"/>
      <c r="I1125" s="4" t="n">
        <v>0.6765</v>
      </c>
      <c r="J1125" s="4" t="str">
        <f aca="false">TRIM(E1125) &amp; TRIM(C1125) &amp; TRIM(D1125)</f>
        <v>Posted RecallSponsored Content Community VideoPH</v>
      </c>
      <c r="K1125" s="4" t="n">
        <f aca="false">IFERROR(I1125*60,"")</f>
        <v>40.59</v>
      </c>
    </row>
    <row r="1126" customFormat="false" ht="15" hidden="false" customHeight="false" outlineLevel="0" collapsed="false">
      <c r="A1126" s="4" t="s">
        <v>15</v>
      </c>
      <c r="B1126" s="4" t="s">
        <v>899</v>
      </c>
      <c r="C1126" s="4" t="s">
        <v>900</v>
      </c>
      <c r="D1126" s="4" t="s">
        <v>95</v>
      </c>
      <c r="E1126" s="4" t="s">
        <v>59</v>
      </c>
      <c r="F1126" s="4" t="s">
        <v>59</v>
      </c>
      <c r="G1126" s="4" t="s">
        <v>949</v>
      </c>
      <c r="H1126" s="4"/>
      <c r="I1126" s="4" t="n">
        <v>1.5967</v>
      </c>
      <c r="J1126" s="4" t="str">
        <f aca="false">TRIM(E1126) &amp; TRIM(C1126) &amp; TRIM(D1126)</f>
        <v>Re-reviewSponsored Content Community VideoVN</v>
      </c>
      <c r="K1126" s="4" t="n">
        <f aca="false">IFERROR(I1126*60,"")</f>
        <v>95.802</v>
      </c>
    </row>
    <row r="1127" customFormat="false" ht="15" hidden="false" customHeight="false" outlineLevel="0" collapsed="false">
      <c r="A1127" s="4" t="s">
        <v>15</v>
      </c>
      <c r="B1127" s="4" t="s">
        <v>899</v>
      </c>
      <c r="C1127" s="4" t="s">
        <v>900</v>
      </c>
      <c r="D1127" s="4" t="s">
        <v>168</v>
      </c>
      <c r="E1127" s="4" t="s">
        <v>63</v>
      </c>
      <c r="F1127" s="4" t="s">
        <v>63</v>
      </c>
      <c r="G1127" s="4" t="s">
        <v>925</v>
      </c>
      <c r="H1127" s="4"/>
      <c r="I1127" s="4" t="n">
        <v>1.917</v>
      </c>
      <c r="J1127" s="4" t="str">
        <f aca="false">TRIM(E1127) &amp; TRIM(C1127) &amp; TRIM(D1127)</f>
        <v>First ReviewSponsored Content Community VideoKZ</v>
      </c>
      <c r="K1127" s="4" t="n">
        <f aca="false">IFERROR(I1127*60,"")</f>
        <v>115.02</v>
      </c>
    </row>
    <row r="1128" customFormat="false" ht="15" hidden="false" customHeight="false" outlineLevel="0" collapsed="false">
      <c r="A1128" s="4" t="s">
        <v>15</v>
      </c>
      <c r="B1128" s="4" t="s">
        <v>899</v>
      </c>
      <c r="C1128" s="4" t="s">
        <v>900</v>
      </c>
      <c r="D1128" s="4" t="s">
        <v>243</v>
      </c>
      <c r="E1128" s="4" t="s">
        <v>66</v>
      </c>
      <c r="F1128" s="4" t="s">
        <v>67</v>
      </c>
      <c r="G1128" s="4" t="s">
        <v>928</v>
      </c>
      <c r="H1128" s="4"/>
      <c r="I1128" s="4" t="n">
        <v>1.8327</v>
      </c>
      <c r="J1128" s="4" t="str">
        <f aca="false">TRIM(E1128) &amp; TRIM(C1128) &amp; TRIM(D1128)</f>
        <v>Posted RecallSponsored Content Community VideoBY</v>
      </c>
      <c r="K1128" s="4" t="n">
        <f aca="false">IFERROR(I1128*60,"")</f>
        <v>109.962</v>
      </c>
    </row>
    <row r="1129" customFormat="false" ht="15" hidden="false" customHeight="false" outlineLevel="0" collapsed="false">
      <c r="A1129" s="4" t="s">
        <v>15</v>
      </c>
      <c r="B1129" s="4" t="s">
        <v>899</v>
      </c>
      <c r="C1129" s="4" t="s">
        <v>900</v>
      </c>
      <c r="D1129" s="4" t="s">
        <v>91</v>
      </c>
      <c r="E1129" s="4" t="s">
        <v>63</v>
      </c>
      <c r="F1129" s="4" t="s">
        <v>63</v>
      </c>
      <c r="G1129" s="4" t="s">
        <v>950</v>
      </c>
      <c r="H1129" s="4"/>
      <c r="I1129" s="4" t="n">
        <v>3.6366</v>
      </c>
      <c r="J1129" s="4" t="str">
        <f aca="false">TRIM(E1129) &amp; TRIM(C1129) &amp; TRIM(D1129)</f>
        <v>First ReviewSponsored Content Community VideoHR</v>
      </c>
      <c r="K1129" s="4" t="n">
        <f aca="false">IFERROR(I1129*60,"")</f>
        <v>218.196</v>
      </c>
    </row>
    <row r="1130" customFormat="false" ht="15" hidden="false" customHeight="false" outlineLevel="0" collapsed="false">
      <c r="A1130" s="4" t="s">
        <v>15</v>
      </c>
      <c r="B1130" s="4" t="s">
        <v>899</v>
      </c>
      <c r="C1130" s="4" t="s">
        <v>900</v>
      </c>
      <c r="D1130" s="4" t="s">
        <v>181</v>
      </c>
      <c r="E1130" s="4" t="s">
        <v>63</v>
      </c>
      <c r="F1130" s="4" t="s">
        <v>63</v>
      </c>
      <c r="G1130" s="4" t="s">
        <v>936</v>
      </c>
      <c r="H1130" s="4"/>
      <c r="I1130" s="4" t="n">
        <v>1.3828</v>
      </c>
      <c r="J1130" s="4" t="str">
        <f aca="false">TRIM(E1130) &amp; TRIM(C1130) &amp; TRIM(D1130)</f>
        <v>First ReviewSponsored Content Community VideoLB</v>
      </c>
      <c r="K1130" s="4" t="n">
        <f aca="false">IFERROR(I1130*60,"")</f>
        <v>82.968</v>
      </c>
    </row>
    <row r="1131" customFormat="false" ht="15" hidden="false" customHeight="false" outlineLevel="0" collapsed="false">
      <c r="A1131" s="4" t="s">
        <v>15</v>
      </c>
      <c r="B1131" s="4" t="s">
        <v>899</v>
      </c>
      <c r="C1131" s="4" t="s">
        <v>900</v>
      </c>
      <c r="D1131" s="4" t="s">
        <v>213</v>
      </c>
      <c r="E1131" s="4" t="s">
        <v>59</v>
      </c>
      <c r="F1131" s="4" t="s">
        <v>59</v>
      </c>
      <c r="G1131" s="4" t="s">
        <v>951</v>
      </c>
      <c r="H1131" s="4"/>
      <c r="I1131" s="4" t="n">
        <v>2.1541</v>
      </c>
      <c r="J1131" s="4" t="str">
        <f aca="false">TRIM(E1131) &amp; TRIM(C1131) &amp; TRIM(D1131)</f>
        <v>Re-reviewSponsored Content Community VideoFR</v>
      </c>
      <c r="K1131" s="4" t="n">
        <f aca="false">IFERROR(I1131*60,"")</f>
        <v>129.246</v>
      </c>
    </row>
    <row r="1132" customFormat="false" ht="15" hidden="false" customHeight="false" outlineLevel="0" collapsed="false">
      <c r="A1132" s="4" t="s">
        <v>15</v>
      </c>
      <c r="B1132" s="4" t="s">
        <v>899</v>
      </c>
      <c r="C1132" s="4" t="s">
        <v>900</v>
      </c>
      <c r="D1132" s="4" t="s">
        <v>58</v>
      </c>
      <c r="E1132" s="4" t="s">
        <v>63</v>
      </c>
      <c r="F1132" s="4" t="s">
        <v>63</v>
      </c>
      <c r="G1132" s="4" t="s">
        <v>911</v>
      </c>
      <c r="H1132" s="4"/>
      <c r="I1132" s="4" t="n">
        <v>0.7868</v>
      </c>
      <c r="J1132" s="4" t="str">
        <f aca="false">TRIM(E1132) &amp; TRIM(C1132) &amp; TRIM(D1132)</f>
        <v>First ReviewSponsored Content Community VideoSG</v>
      </c>
      <c r="K1132" s="4" t="n">
        <f aca="false">IFERROR(I1132*60,"")</f>
        <v>47.208</v>
      </c>
    </row>
    <row r="1133" customFormat="false" ht="15" hidden="false" customHeight="false" outlineLevel="0" collapsed="false">
      <c r="A1133" s="4" t="s">
        <v>15</v>
      </c>
      <c r="B1133" s="4" t="s">
        <v>899</v>
      </c>
      <c r="C1133" s="4" t="s">
        <v>900</v>
      </c>
      <c r="D1133" s="4" t="s">
        <v>357</v>
      </c>
      <c r="E1133" s="4" t="s">
        <v>66</v>
      </c>
      <c r="F1133" s="4" t="s">
        <v>67</v>
      </c>
      <c r="G1133" s="4" t="s">
        <v>952</v>
      </c>
      <c r="H1133" s="4"/>
      <c r="I1133" s="4" t="n">
        <v>1.3806</v>
      </c>
      <c r="J1133" s="4" t="str">
        <f aca="false">TRIM(E1133) &amp; TRIM(C1133) &amp; TRIM(D1133)</f>
        <v>Posted RecallSponsored Content Community VideoHU</v>
      </c>
      <c r="K1133" s="4" t="n">
        <f aca="false">IFERROR(I1133*60,"")</f>
        <v>82.836</v>
      </c>
    </row>
    <row r="1134" customFormat="false" ht="15" hidden="false" customHeight="false" outlineLevel="0" collapsed="false">
      <c r="A1134" s="4" t="s">
        <v>15</v>
      </c>
      <c r="B1134" s="4" t="s">
        <v>899</v>
      </c>
      <c r="C1134" s="4" t="s">
        <v>900</v>
      </c>
      <c r="D1134" s="4" t="s">
        <v>953</v>
      </c>
      <c r="E1134" s="4" t="s">
        <v>66</v>
      </c>
      <c r="F1134" s="4" t="s">
        <v>67</v>
      </c>
      <c r="G1134" s="4" t="s">
        <v>954</v>
      </c>
      <c r="H1134" s="4"/>
      <c r="I1134" s="4" t="n">
        <v>0.6812</v>
      </c>
      <c r="J1134" s="4" t="str">
        <f aca="false">TRIM(E1134) &amp; TRIM(C1134) &amp; TRIM(D1134)</f>
        <v>Posted RecallSponsored Content Community VideoRU</v>
      </c>
      <c r="K1134" s="4" t="n">
        <f aca="false">IFERROR(I1134*60,"")</f>
        <v>40.872</v>
      </c>
    </row>
    <row r="1135" customFormat="false" ht="15" hidden="false" customHeight="false" outlineLevel="0" collapsed="false">
      <c r="A1135" s="4" t="s">
        <v>15</v>
      </c>
      <c r="B1135" s="4" t="s">
        <v>899</v>
      </c>
      <c r="C1135" s="4" t="s">
        <v>900</v>
      </c>
      <c r="D1135" s="4" t="s">
        <v>106</v>
      </c>
      <c r="E1135" s="4" t="s">
        <v>66</v>
      </c>
      <c r="F1135" s="4" t="s">
        <v>67</v>
      </c>
      <c r="G1135" s="4" t="s">
        <v>942</v>
      </c>
      <c r="H1135" s="4"/>
      <c r="I1135" s="4" t="n">
        <v>1.2314</v>
      </c>
      <c r="J1135" s="4" t="str">
        <f aca="false">TRIM(E1135) &amp; TRIM(C1135) &amp; TRIM(D1135)</f>
        <v>Posted RecallSponsored Content Community VideoMY</v>
      </c>
      <c r="K1135" s="4" t="n">
        <f aca="false">IFERROR(I1135*60,"")</f>
        <v>73.884</v>
      </c>
    </row>
    <row r="1136" customFormat="false" ht="15" hidden="false" customHeight="false" outlineLevel="0" collapsed="false">
      <c r="A1136" s="4" t="s">
        <v>15</v>
      </c>
      <c r="B1136" s="4" t="s">
        <v>899</v>
      </c>
      <c r="C1136" s="4" t="s">
        <v>900</v>
      </c>
      <c r="D1136" s="4" t="s">
        <v>284</v>
      </c>
      <c r="E1136" s="4" t="s">
        <v>59</v>
      </c>
      <c r="F1136" s="4" t="s">
        <v>59</v>
      </c>
      <c r="G1136" s="4" t="s">
        <v>916</v>
      </c>
      <c r="H1136" s="4"/>
      <c r="I1136" s="4" t="n">
        <v>0.6689</v>
      </c>
      <c r="J1136" s="4" t="str">
        <f aca="false">TRIM(E1136) &amp; TRIM(C1136) &amp; TRIM(D1136)</f>
        <v>Re-reviewSponsored Content Community VideoTR</v>
      </c>
      <c r="K1136" s="4" t="n">
        <f aca="false">IFERROR(I1136*60,"")</f>
        <v>40.134</v>
      </c>
    </row>
    <row r="1137" customFormat="false" ht="15" hidden="false" customHeight="false" outlineLevel="0" collapsed="false">
      <c r="A1137" s="4" t="s">
        <v>15</v>
      </c>
      <c r="B1137" s="4" t="s">
        <v>899</v>
      </c>
      <c r="C1137" s="4" t="s">
        <v>900</v>
      </c>
      <c r="D1137" s="4" t="s">
        <v>306</v>
      </c>
      <c r="E1137" s="4" t="s">
        <v>66</v>
      </c>
      <c r="F1137" s="4" t="s">
        <v>67</v>
      </c>
      <c r="G1137" s="4" t="s">
        <v>955</v>
      </c>
      <c r="H1137" s="4"/>
      <c r="I1137" s="4" t="n">
        <v>1.0839</v>
      </c>
      <c r="J1137" s="4" t="str">
        <f aca="false">TRIM(E1137) &amp; TRIM(C1137) &amp; TRIM(D1137)</f>
        <v>Posted RecallSponsored Content Community VideoTH</v>
      </c>
      <c r="K1137" s="4" t="n">
        <f aca="false">IFERROR(I1137*60,"")</f>
        <v>65.034</v>
      </c>
    </row>
    <row r="1138" customFormat="false" ht="15" hidden="false" customHeight="false" outlineLevel="0" collapsed="false">
      <c r="A1138" s="4" t="s">
        <v>15</v>
      </c>
      <c r="B1138" s="4" t="s">
        <v>899</v>
      </c>
      <c r="C1138" s="4" t="s">
        <v>900</v>
      </c>
      <c r="D1138" s="4" t="s">
        <v>267</v>
      </c>
      <c r="E1138" s="4" t="s">
        <v>59</v>
      </c>
      <c r="F1138" s="4" t="s">
        <v>59</v>
      </c>
      <c r="G1138" s="4" t="s">
        <v>956</v>
      </c>
      <c r="H1138" s="4"/>
      <c r="I1138" s="4" t="n">
        <v>1.1361</v>
      </c>
      <c r="J1138" s="4" t="str">
        <f aca="false">TRIM(E1138) &amp; TRIM(C1138) &amp; TRIM(D1138)</f>
        <v>Re-reviewSponsored Content Community VideoID</v>
      </c>
      <c r="K1138" s="4" t="n">
        <f aca="false">IFERROR(I1138*60,"")</f>
        <v>68.166</v>
      </c>
    </row>
    <row r="1139" customFormat="false" ht="15" hidden="false" customHeight="false" outlineLevel="0" collapsed="false">
      <c r="A1139" s="4" t="s">
        <v>15</v>
      </c>
      <c r="B1139" s="4" t="s">
        <v>899</v>
      </c>
      <c r="C1139" s="4" t="s">
        <v>900</v>
      </c>
      <c r="D1139" s="4" t="s">
        <v>62</v>
      </c>
      <c r="E1139" s="4" t="s">
        <v>66</v>
      </c>
      <c r="F1139" s="4" t="s">
        <v>67</v>
      </c>
      <c r="G1139" s="4" t="s">
        <v>957</v>
      </c>
      <c r="H1139" s="4"/>
      <c r="I1139" s="4" t="n">
        <v>1.288</v>
      </c>
      <c r="J1139" s="4" t="str">
        <f aca="false">TRIM(E1139) &amp; TRIM(C1139) &amp; TRIM(D1139)</f>
        <v>Posted RecallSponsored Content Community VideoCL</v>
      </c>
      <c r="K1139" s="4" t="n">
        <f aca="false">IFERROR(I1139*60,"")</f>
        <v>77.28</v>
      </c>
    </row>
    <row r="1140" customFormat="false" ht="15" hidden="false" customHeight="false" outlineLevel="0" collapsed="false">
      <c r="A1140" s="4" t="s">
        <v>15</v>
      </c>
      <c r="B1140" s="4" t="s">
        <v>899</v>
      </c>
      <c r="C1140" s="4" t="s">
        <v>900</v>
      </c>
      <c r="D1140" s="4" t="s">
        <v>306</v>
      </c>
      <c r="E1140" s="4" t="s">
        <v>59</v>
      </c>
      <c r="F1140" s="4" t="s">
        <v>59</v>
      </c>
      <c r="G1140" s="4" t="s">
        <v>955</v>
      </c>
      <c r="H1140" s="4"/>
      <c r="I1140" s="4" t="n">
        <v>1.1307</v>
      </c>
      <c r="J1140" s="4" t="str">
        <f aca="false">TRIM(E1140) &amp; TRIM(C1140) &amp; TRIM(D1140)</f>
        <v>Re-reviewSponsored Content Community VideoTH</v>
      </c>
      <c r="K1140" s="4" t="n">
        <f aca="false">IFERROR(I1140*60,"")</f>
        <v>67.842</v>
      </c>
    </row>
    <row r="1141" customFormat="false" ht="15" hidden="false" customHeight="false" outlineLevel="0" collapsed="false">
      <c r="A1141" s="4" t="s">
        <v>15</v>
      </c>
      <c r="B1141" s="4" t="s">
        <v>899</v>
      </c>
      <c r="C1141" s="4" t="s">
        <v>900</v>
      </c>
      <c r="D1141" s="4" t="s">
        <v>100</v>
      </c>
      <c r="E1141" s="4" t="s">
        <v>63</v>
      </c>
      <c r="F1141" s="4" t="s">
        <v>63</v>
      </c>
      <c r="G1141" s="4" t="s">
        <v>939</v>
      </c>
      <c r="H1141" s="4"/>
      <c r="I1141" s="4" t="n">
        <v>0.6703</v>
      </c>
      <c r="J1141" s="4" t="str">
        <f aca="false">TRIM(E1141) &amp; TRIM(C1141) &amp; TRIM(D1141)</f>
        <v>First ReviewSponsored Content Community VideoAU</v>
      </c>
      <c r="K1141" s="4" t="n">
        <f aca="false">IFERROR(I1141*60,"")</f>
        <v>40.218</v>
      </c>
    </row>
    <row r="1142" customFormat="false" ht="15" hidden="false" customHeight="false" outlineLevel="0" collapsed="false">
      <c r="A1142" s="4" t="s">
        <v>15</v>
      </c>
      <c r="B1142" s="4" t="s">
        <v>899</v>
      </c>
      <c r="C1142" s="4" t="s">
        <v>900</v>
      </c>
      <c r="D1142" s="4" t="s">
        <v>62</v>
      </c>
      <c r="E1142" s="4" t="s">
        <v>59</v>
      </c>
      <c r="F1142" s="4" t="s">
        <v>59</v>
      </c>
      <c r="G1142" s="4" t="s">
        <v>957</v>
      </c>
      <c r="H1142" s="4"/>
      <c r="I1142" s="4" t="n">
        <v>1.8069</v>
      </c>
      <c r="J1142" s="4" t="str">
        <f aca="false">TRIM(E1142) &amp; TRIM(C1142) &amp; TRIM(D1142)</f>
        <v>Re-reviewSponsored Content Community VideoCL</v>
      </c>
      <c r="K1142" s="4" t="n">
        <f aca="false">IFERROR(I1142*60,"")</f>
        <v>108.414</v>
      </c>
    </row>
    <row r="1143" customFormat="false" ht="15" hidden="false" customHeight="false" outlineLevel="0" collapsed="false">
      <c r="A1143" s="4" t="s">
        <v>15</v>
      </c>
      <c r="B1143" s="4" t="s">
        <v>899</v>
      </c>
      <c r="C1143" s="4" t="s">
        <v>900</v>
      </c>
      <c r="D1143" s="4" t="s">
        <v>126</v>
      </c>
      <c r="E1143" s="4" t="s">
        <v>63</v>
      </c>
      <c r="F1143" s="4" t="s">
        <v>63</v>
      </c>
      <c r="G1143" s="4" t="s">
        <v>946</v>
      </c>
      <c r="H1143" s="4"/>
      <c r="I1143" s="4" t="n">
        <v>2.2178</v>
      </c>
      <c r="J1143" s="4" t="str">
        <f aca="false">TRIM(E1143) &amp; TRIM(C1143) &amp; TRIM(D1143)</f>
        <v>First ReviewSponsored Content Community VideoMX</v>
      </c>
      <c r="K1143" s="4" t="n">
        <f aca="false">IFERROR(I1143*60,"")</f>
        <v>133.068</v>
      </c>
    </row>
    <row r="1144" customFormat="false" ht="15" hidden="false" customHeight="false" outlineLevel="0" collapsed="false">
      <c r="A1144" s="4" t="s">
        <v>15</v>
      </c>
      <c r="B1144" s="4" t="s">
        <v>899</v>
      </c>
      <c r="C1144" s="4" t="s">
        <v>900</v>
      </c>
      <c r="D1144" s="4" t="s">
        <v>195</v>
      </c>
      <c r="E1144" s="4" t="s">
        <v>63</v>
      </c>
      <c r="F1144" s="4" t="s">
        <v>63</v>
      </c>
      <c r="G1144" s="4" t="s">
        <v>941</v>
      </c>
      <c r="H1144" s="4"/>
      <c r="I1144" s="4" t="n">
        <v>2.8043</v>
      </c>
      <c r="J1144" s="4" t="str">
        <f aca="false">TRIM(E1144) &amp; TRIM(C1144) &amp; TRIM(D1144)</f>
        <v>First ReviewSponsored Content Community VideoIT</v>
      </c>
      <c r="K1144" s="4" t="n">
        <f aca="false">IFERROR(I1144*60,"")</f>
        <v>168.258</v>
      </c>
    </row>
    <row r="1145" customFormat="false" ht="15" hidden="false" customHeight="false" outlineLevel="0" collapsed="false">
      <c r="A1145" s="4" t="s">
        <v>15</v>
      </c>
      <c r="B1145" s="4" t="s">
        <v>899</v>
      </c>
      <c r="C1145" s="4" t="s">
        <v>900</v>
      </c>
      <c r="D1145" s="4" t="s">
        <v>275</v>
      </c>
      <c r="E1145" s="4" t="s">
        <v>63</v>
      </c>
      <c r="F1145" s="4" t="s">
        <v>63</v>
      </c>
      <c r="G1145" s="4" t="s">
        <v>932</v>
      </c>
      <c r="H1145" s="4"/>
      <c r="I1145" s="4" t="n">
        <v>2.6323</v>
      </c>
      <c r="J1145" s="4" t="str">
        <f aca="false">TRIM(E1145) &amp; TRIM(C1145) &amp; TRIM(D1145)</f>
        <v>First ReviewSponsored Content Community VideoGB</v>
      </c>
      <c r="K1145" s="4" t="n">
        <f aca="false">IFERROR(I1145*60,"")</f>
        <v>157.938</v>
      </c>
    </row>
    <row r="1146" customFormat="false" ht="15" hidden="false" customHeight="false" outlineLevel="0" collapsed="false">
      <c r="A1146" s="4" t="s">
        <v>15</v>
      </c>
      <c r="B1146" s="4" t="s">
        <v>899</v>
      </c>
      <c r="C1146" s="4" t="s">
        <v>900</v>
      </c>
      <c r="D1146" s="4" t="s">
        <v>117</v>
      </c>
      <c r="E1146" s="4" t="s">
        <v>63</v>
      </c>
      <c r="F1146" s="4" t="s">
        <v>63</v>
      </c>
      <c r="G1146" s="4" t="s">
        <v>958</v>
      </c>
      <c r="H1146" s="4"/>
      <c r="I1146" s="4" t="n">
        <v>2.1621</v>
      </c>
      <c r="J1146" s="4" t="str">
        <f aca="false">TRIM(E1146) &amp; TRIM(C1146) &amp; TRIM(D1146)</f>
        <v>First ReviewSponsored Content Community VideoAR</v>
      </c>
      <c r="K1146" s="4" t="n">
        <f aca="false">IFERROR(I1146*60,"")</f>
        <v>129.726</v>
      </c>
    </row>
    <row r="1147" customFormat="false" ht="15" hidden="false" customHeight="false" outlineLevel="0" collapsed="false">
      <c r="A1147" s="4" t="s">
        <v>15</v>
      </c>
      <c r="B1147" s="4" t="s">
        <v>899</v>
      </c>
      <c r="C1147" s="4" t="s">
        <v>900</v>
      </c>
      <c r="D1147" s="4" t="s">
        <v>284</v>
      </c>
      <c r="E1147" s="4" t="s">
        <v>63</v>
      </c>
      <c r="F1147" s="4" t="s">
        <v>63</v>
      </c>
      <c r="G1147" s="4" t="s">
        <v>916</v>
      </c>
      <c r="H1147" s="4"/>
      <c r="I1147" s="4" t="n">
        <v>0.9933</v>
      </c>
      <c r="J1147" s="4" t="str">
        <f aca="false">TRIM(E1147) &amp; TRIM(C1147) &amp; TRIM(D1147)</f>
        <v>First ReviewSponsored Content Community VideoTR</v>
      </c>
      <c r="K1147" s="4" t="n">
        <f aca="false">IFERROR(I1147*60,"")</f>
        <v>59.598</v>
      </c>
    </row>
    <row r="1148" customFormat="false" ht="15" hidden="false" customHeight="false" outlineLevel="0" collapsed="false">
      <c r="A1148" s="4" t="s">
        <v>15</v>
      </c>
      <c r="B1148" s="4" t="s">
        <v>899</v>
      </c>
      <c r="C1148" s="4" t="s">
        <v>900</v>
      </c>
      <c r="D1148" s="4" t="s">
        <v>65</v>
      </c>
      <c r="E1148" s="4" t="s">
        <v>66</v>
      </c>
      <c r="F1148" s="4" t="s">
        <v>67</v>
      </c>
      <c r="G1148" s="4" t="s">
        <v>959</v>
      </c>
      <c r="H1148" s="4"/>
      <c r="I1148" s="4" t="n">
        <v>2.9902</v>
      </c>
      <c r="J1148" s="4" t="str">
        <f aca="false">TRIM(E1148) &amp; TRIM(C1148) &amp; TRIM(D1148)</f>
        <v>Posted RecallSponsored Content Community VideoEE</v>
      </c>
      <c r="K1148" s="4" t="n">
        <f aca="false">IFERROR(I1148*60,"")</f>
        <v>179.412</v>
      </c>
    </row>
    <row r="1149" customFormat="false" ht="15" hidden="false" customHeight="false" outlineLevel="0" collapsed="false">
      <c r="A1149" s="4" t="s">
        <v>15</v>
      </c>
      <c r="B1149" s="4" t="s">
        <v>899</v>
      </c>
      <c r="C1149" s="4" t="s">
        <v>900</v>
      </c>
      <c r="D1149" s="4" t="s">
        <v>458</v>
      </c>
      <c r="E1149" s="4" t="s">
        <v>59</v>
      </c>
      <c r="F1149" s="4" t="s">
        <v>59</v>
      </c>
      <c r="G1149" s="4" t="s">
        <v>929</v>
      </c>
      <c r="H1149" s="4"/>
      <c r="I1149" s="4" t="n">
        <v>2.0024</v>
      </c>
      <c r="J1149" s="4" t="str">
        <f aca="false">TRIM(E1149) &amp; TRIM(C1149) &amp; TRIM(D1149)</f>
        <v>Re-reviewSponsored Content Community VideoTW</v>
      </c>
      <c r="K1149" s="4" t="n">
        <f aca="false">IFERROR(I1149*60,"")</f>
        <v>120.144</v>
      </c>
    </row>
    <row r="1150" customFormat="false" ht="15" hidden="false" customHeight="false" outlineLevel="0" collapsed="false">
      <c r="A1150" s="4" t="s">
        <v>15</v>
      </c>
      <c r="B1150" s="4" t="s">
        <v>899</v>
      </c>
      <c r="C1150" s="4" t="s">
        <v>900</v>
      </c>
      <c r="D1150" s="4" t="s">
        <v>308</v>
      </c>
      <c r="E1150" s="4" t="s">
        <v>63</v>
      </c>
      <c r="F1150" s="4" t="s">
        <v>63</v>
      </c>
      <c r="G1150" s="4" t="s">
        <v>910</v>
      </c>
      <c r="H1150" s="4"/>
      <c r="I1150" s="4" t="n">
        <v>3.8108</v>
      </c>
      <c r="J1150" s="4" t="str">
        <f aca="false">TRIM(E1150) &amp; TRIM(C1150) &amp; TRIM(D1150)</f>
        <v>First ReviewSponsored Content Community VideoPL</v>
      </c>
      <c r="K1150" s="4" t="n">
        <f aca="false">IFERROR(I1150*60,"")</f>
        <v>228.648</v>
      </c>
    </row>
    <row r="1151" customFormat="false" ht="15" hidden="false" customHeight="false" outlineLevel="0" collapsed="false">
      <c r="A1151" s="4" t="s">
        <v>15</v>
      </c>
      <c r="B1151" s="4" t="s">
        <v>899</v>
      </c>
      <c r="C1151" s="4" t="s">
        <v>900</v>
      </c>
      <c r="D1151" s="4" t="s">
        <v>203</v>
      </c>
      <c r="E1151" s="4" t="s">
        <v>63</v>
      </c>
      <c r="F1151" s="4" t="s">
        <v>63</v>
      </c>
      <c r="G1151" s="4" t="s">
        <v>924</v>
      </c>
      <c r="H1151" s="4"/>
      <c r="I1151" s="4" t="n">
        <v>2.5576</v>
      </c>
      <c r="J1151" s="4" t="str">
        <f aca="false">TRIM(E1151) &amp; TRIM(C1151) &amp; TRIM(D1151)</f>
        <v>First ReviewSponsored Content Community VideoCA</v>
      </c>
      <c r="K1151" s="4" t="n">
        <f aca="false">IFERROR(I1151*60,"")</f>
        <v>153.456</v>
      </c>
    </row>
    <row r="1152" customFormat="false" ht="15" hidden="false" customHeight="false" outlineLevel="0" collapsed="false">
      <c r="A1152" s="4" t="s">
        <v>15</v>
      </c>
      <c r="B1152" s="4" t="s">
        <v>899</v>
      </c>
      <c r="C1152" s="4" t="s">
        <v>900</v>
      </c>
      <c r="D1152" s="4" t="s">
        <v>208</v>
      </c>
      <c r="E1152" s="4" t="s">
        <v>66</v>
      </c>
      <c r="F1152" s="4" t="s">
        <v>67</v>
      </c>
      <c r="G1152" s="4" t="s">
        <v>912</v>
      </c>
      <c r="H1152" s="4"/>
      <c r="I1152" s="4" t="n">
        <v>1.6733</v>
      </c>
      <c r="J1152" s="4" t="str">
        <f aca="false">TRIM(E1152) &amp; TRIM(C1152) &amp; TRIM(D1152)</f>
        <v>Posted RecallSponsored Content Community VideoCO</v>
      </c>
      <c r="K1152" s="4" t="n">
        <f aca="false">IFERROR(I1152*60,"")</f>
        <v>100.398</v>
      </c>
    </row>
    <row r="1153" customFormat="false" ht="15" hidden="false" customHeight="false" outlineLevel="0" collapsed="false">
      <c r="A1153" s="4" t="s">
        <v>15</v>
      </c>
      <c r="B1153" s="4" t="s">
        <v>899</v>
      </c>
      <c r="C1153" s="4" t="s">
        <v>900</v>
      </c>
      <c r="D1153" s="4" t="s">
        <v>213</v>
      </c>
      <c r="E1153" s="4" t="s">
        <v>66</v>
      </c>
      <c r="F1153" s="4" t="s">
        <v>67</v>
      </c>
      <c r="G1153" s="4" t="s">
        <v>951</v>
      </c>
      <c r="H1153" s="4"/>
      <c r="I1153" s="4" t="n">
        <v>1.3285</v>
      </c>
      <c r="J1153" s="4" t="str">
        <f aca="false">TRIM(E1153) &amp; TRIM(C1153) &amp; TRIM(D1153)</f>
        <v>Posted RecallSponsored Content Community VideoFR</v>
      </c>
      <c r="K1153" s="4" t="n">
        <f aca="false">IFERROR(I1153*60,"")</f>
        <v>79.71</v>
      </c>
    </row>
    <row r="1154" customFormat="false" ht="15" hidden="false" customHeight="false" outlineLevel="0" collapsed="false">
      <c r="A1154" s="4" t="s">
        <v>15</v>
      </c>
      <c r="B1154" s="4" t="s">
        <v>899</v>
      </c>
      <c r="C1154" s="4" t="s">
        <v>900</v>
      </c>
      <c r="D1154" s="4" t="s">
        <v>82</v>
      </c>
      <c r="E1154" s="4" t="s">
        <v>59</v>
      </c>
      <c r="F1154" s="4" t="s">
        <v>59</v>
      </c>
      <c r="G1154" s="4" t="s">
        <v>960</v>
      </c>
      <c r="H1154" s="4"/>
      <c r="I1154" s="4" t="n">
        <v>1.4195</v>
      </c>
      <c r="J1154" s="4" t="str">
        <f aca="false">TRIM(E1154) &amp; TRIM(C1154) &amp; TRIM(D1154)</f>
        <v>Re-reviewSponsored Content Community VideoKH</v>
      </c>
      <c r="K1154" s="4" t="n">
        <f aca="false">IFERROR(I1154*60,"")</f>
        <v>85.17</v>
      </c>
    </row>
    <row r="1155" customFormat="false" ht="15" hidden="false" customHeight="false" outlineLevel="0" collapsed="false">
      <c r="A1155" s="4" t="s">
        <v>15</v>
      </c>
      <c r="B1155" s="4" t="s">
        <v>899</v>
      </c>
      <c r="C1155" s="4" t="s">
        <v>900</v>
      </c>
      <c r="D1155" s="4" t="s">
        <v>150</v>
      </c>
      <c r="E1155" s="4" t="s">
        <v>63</v>
      </c>
      <c r="F1155" s="4" t="s">
        <v>63</v>
      </c>
      <c r="G1155" s="4" t="s">
        <v>904</v>
      </c>
      <c r="H1155" s="4"/>
      <c r="I1155" s="4" t="n">
        <v>1.2298</v>
      </c>
      <c r="J1155" s="4" t="str">
        <f aca="false">TRIM(E1155) &amp; TRIM(C1155) &amp; TRIM(D1155)</f>
        <v>First ReviewSponsored Content Community VideoDE</v>
      </c>
      <c r="K1155" s="4" t="n">
        <f aca="false">IFERROR(I1155*60,"")</f>
        <v>73.788</v>
      </c>
    </row>
    <row r="1156" customFormat="false" ht="15" hidden="false" customHeight="false" outlineLevel="0" collapsed="false">
      <c r="A1156" s="4" t="s">
        <v>15</v>
      </c>
      <c r="B1156" s="4" t="s">
        <v>899</v>
      </c>
      <c r="C1156" s="4" t="s">
        <v>900</v>
      </c>
      <c r="D1156" s="4" t="s">
        <v>157</v>
      </c>
      <c r="E1156" s="4" t="s">
        <v>63</v>
      </c>
      <c r="F1156" s="4" t="s">
        <v>63</v>
      </c>
      <c r="G1156" s="4" t="s">
        <v>905</v>
      </c>
      <c r="H1156" s="4"/>
      <c r="I1156" s="4" t="n">
        <v>1.196</v>
      </c>
      <c r="J1156" s="4" t="str">
        <f aca="false">TRIM(E1156) &amp; TRIM(C1156) &amp; TRIM(D1156)</f>
        <v>First ReviewSponsored Content Community VideoSA</v>
      </c>
      <c r="K1156" s="4" t="n">
        <f aca="false">IFERROR(I1156*60,"")</f>
        <v>71.76</v>
      </c>
    </row>
    <row r="1157" customFormat="false" ht="15" hidden="false" customHeight="false" outlineLevel="0" collapsed="false">
      <c r="A1157" s="4" t="s">
        <v>15</v>
      </c>
      <c r="B1157" s="4" t="s">
        <v>899</v>
      </c>
      <c r="C1157" s="4" t="s">
        <v>900</v>
      </c>
      <c r="D1157" s="4" t="s">
        <v>221</v>
      </c>
      <c r="E1157" s="4" t="s">
        <v>66</v>
      </c>
      <c r="F1157" s="4" t="s">
        <v>67</v>
      </c>
      <c r="G1157" s="4" t="s">
        <v>907</v>
      </c>
      <c r="H1157" s="4"/>
      <c r="I1157" s="4" t="n">
        <v>0.9682</v>
      </c>
      <c r="J1157" s="4" t="str">
        <f aca="false">TRIM(E1157) &amp; TRIM(C1157) &amp; TRIM(D1157)</f>
        <v>Posted RecallSponsored Content Community VideoOM</v>
      </c>
      <c r="K1157" s="4" t="n">
        <f aca="false">IFERROR(I1157*60,"")</f>
        <v>58.092</v>
      </c>
    </row>
    <row r="1158" customFormat="false" ht="15" hidden="false" customHeight="false" outlineLevel="0" collapsed="false">
      <c r="A1158" s="4" t="s">
        <v>15</v>
      </c>
      <c r="B1158" s="4" t="s">
        <v>899</v>
      </c>
      <c r="C1158" s="4" t="s">
        <v>900</v>
      </c>
      <c r="D1158" s="4" t="s">
        <v>238</v>
      </c>
      <c r="E1158" s="4" t="s">
        <v>66</v>
      </c>
      <c r="F1158" s="4" t="s">
        <v>67</v>
      </c>
      <c r="G1158" s="4" t="s">
        <v>918</v>
      </c>
      <c r="H1158" s="4"/>
      <c r="I1158" s="4" t="n">
        <v>1.174</v>
      </c>
      <c r="J1158" s="4" t="str">
        <f aca="false">TRIM(E1158) &amp; TRIM(C1158) &amp; TRIM(D1158)</f>
        <v>Posted RecallSponsored Content Community VideoCH</v>
      </c>
      <c r="K1158" s="4" t="n">
        <f aca="false">IFERROR(I1158*60,"")</f>
        <v>70.44</v>
      </c>
    </row>
    <row r="1159" customFormat="false" ht="15" hidden="false" customHeight="false" outlineLevel="0" collapsed="false">
      <c r="A1159" s="4" t="s">
        <v>15</v>
      </c>
      <c r="B1159" s="4" t="s">
        <v>899</v>
      </c>
      <c r="C1159" s="4" t="s">
        <v>900</v>
      </c>
      <c r="D1159" s="4" t="s">
        <v>97</v>
      </c>
      <c r="E1159" s="4" t="s">
        <v>63</v>
      </c>
      <c r="F1159" s="4" t="s">
        <v>63</v>
      </c>
      <c r="G1159" s="4" t="s">
        <v>948</v>
      </c>
      <c r="H1159" s="4"/>
      <c r="I1159" s="4" t="n">
        <v>1.6584</v>
      </c>
      <c r="J1159" s="4" t="str">
        <f aca="false">TRIM(E1159) &amp; TRIM(C1159) &amp; TRIM(D1159)</f>
        <v>First ReviewSponsored Content Community VideoBR</v>
      </c>
      <c r="K1159" s="4" t="n">
        <f aca="false">IFERROR(I1159*60,"")</f>
        <v>99.504</v>
      </c>
    </row>
    <row r="1160" customFormat="false" ht="15" hidden="false" customHeight="false" outlineLevel="0" collapsed="false">
      <c r="A1160" s="4" t="s">
        <v>15</v>
      </c>
      <c r="B1160" s="4" t="s">
        <v>899</v>
      </c>
      <c r="C1160" s="4" t="s">
        <v>900</v>
      </c>
      <c r="D1160" s="4" t="s">
        <v>265</v>
      </c>
      <c r="E1160" s="4" t="s">
        <v>63</v>
      </c>
      <c r="F1160" s="4" t="s">
        <v>63</v>
      </c>
      <c r="G1160" s="4" t="s">
        <v>927</v>
      </c>
      <c r="H1160" s="4"/>
      <c r="I1160" s="4" t="n">
        <v>2.3489</v>
      </c>
      <c r="J1160" s="4" t="str">
        <f aca="false">TRIM(E1160) &amp; TRIM(C1160) &amp; TRIM(D1160)</f>
        <v>First ReviewSponsored Content Community VideoNO</v>
      </c>
      <c r="K1160" s="4" t="n">
        <f aca="false">IFERROR(I1160*60,"")</f>
        <v>140.934</v>
      </c>
    </row>
    <row r="1161" customFormat="false" ht="15" hidden="false" customHeight="false" outlineLevel="0" collapsed="false">
      <c r="A1161" s="4" t="s">
        <v>15</v>
      </c>
      <c r="B1161" s="4" t="s">
        <v>899</v>
      </c>
      <c r="C1161" s="4" t="s">
        <v>900</v>
      </c>
      <c r="D1161" s="4" t="s">
        <v>210</v>
      </c>
      <c r="E1161" s="4" t="s">
        <v>59</v>
      </c>
      <c r="F1161" s="4" t="s">
        <v>59</v>
      </c>
      <c r="G1161" s="4" t="s">
        <v>917</v>
      </c>
      <c r="H1161" s="4"/>
      <c r="I1161" s="4" t="n">
        <v>0.7473</v>
      </c>
      <c r="J1161" s="4" t="str">
        <f aca="false">TRIM(E1161) &amp; TRIM(C1161) &amp; TRIM(D1161)</f>
        <v>Re-reviewSponsored Content Community VideoPK</v>
      </c>
      <c r="K1161" s="4" t="n">
        <f aca="false">IFERROR(I1161*60,"")</f>
        <v>44.838</v>
      </c>
    </row>
    <row r="1162" customFormat="false" ht="15" hidden="false" customHeight="false" outlineLevel="0" collapsed="false">
      <c r="A1162" s="4" t="s">
        <v>15</v>
      </c>
      <c r="B1162" s="4" t="s">
        <v>899</v>
      </c>
      <c r="C1162" s="4" t="s">
        <v>900</v>
      </c>
      <c r="D1162" s="4" t="s">
        <v>199</v>
      </c>
      <c r="E1162" s="4" t="s">
        <v>63</v>
      </c>
      <c r="F1162" s="4" t="s">
        <v>63</v>
      </c>
      <c r="G1162" s="4" t="s">
        <v>961</v>
      </c>
      <c r="H1162" s="4"/>
      <c r="I1162" s="4" t="n">
        <v>1.079</v>
      </c>
      <c r="J1162" s="4" t="str">
        <f aca="false">TRIM(E1162) &amp; TRIM(C1162) &amp; TRIM(D1162)</f>
        <v>First ReviewSponsored Content Community VideoBH</v>
      </c>
      <c r="K1162" s="4" t="n">
        <f aca="false">IFERROR(I1162*60,"")</f>
        <v>64.74</v>
      </c>
    </row>
    <row r="1163" customFormat="false" ht="15" hidden="false" customHeight="false" outlineLevel="0" collapsed="false">
      <c r="A1163" s="4" t="s">
        <v>15</v>
      </c>
      <c r="B1163" s="4" t="s">
        <v>899</v>
      </c>
      <c r="C1163" s="4" t="s">
        <v>900</v>
      </c>
      <c r="D1163" s="4" t="s">
        <v>271</v>
      </c>
      <c r="E1163" s="4" t="s">
        <v>59</v>
      </c>
      <c r="F1163" s="4" t="s">
        <v>59</v>
      </c>
      <c r="G1163" s="4" t="s">
        <v>943</v>
      </c>
      <c r="H1163" s="4"/>
      <c r="I1163" s="4" t="n">
        <v>1.6953</v>
      </c>
      <c r="J1163" s="4" t="str">
        <f aca="false">TRIM(E1163) &amp; TRIM(C1163) &amp; TRIM(D1163)</f>
        <v>Re-reviewSponsored Content Community VideoKW</v>
      </c>
      <c r="K1163" s="4" t="n">
        <f aca="false">IFERROR(I1163*60,"")</f>
        <v>101.718</v>
      </c>
    </row>
    <row r="1164" customFormat="false" ht="15" hidden="false" customHeight="false" outlineLevel="0" collapsed="false">
      <c r="A1164" s="4" t="s">
        <v>15</v>
      </c>
      <c r="B1164" s="4" t="s">
        <v>899</v>
      </c>
      <c r="C1164" s="4" t="s">
        <v>900</v>
      </c>
      <c r="D1164" s="4" t="s">
        <v>306</v>
      </c>
      <c r="E1164" s="4" t="s">
        <v>63</v>
      </c>
      <c r="F1164" s="4" t="s">
        <v>63</v>
      </c>
      <c r="G1164" s="4" t="s">
        <v>955</v>
      </c>
      <c r="H1164" s="4"/>
      <c r="I1164" s="4" t="n">
        <v>1.4114</v>
      </c>
      <c r="J1164" s="4" t="str">
        <f aca="false">TRIM(E1164) &amp; TRIM(C1164) &amp; TRIM(D1164)</f>
        <v>First ReviewSponsored Content Community VideoTH</v>
      </c>
      <c r="K1164" s="4" t="n">
        <f aca="false">IFERROR(I1164*60,"")</f>
        <v>84.684</v>
      </c>
    </row>
    <row r="1165" customFormat="false" ht="15" hidden="false" customHeight="false" outlineLevel="0" collapsed="false">
      <c r="A1165" s="4" t="s">
        <v>15</v>
      </c>
      <c r="B1165" s="4" t="s">
        <v>899</v>
      </c>
      <c r="C1165" s="4" t="s">
        <v>900</v>
      </c>
      <c r="D1165" s="4" t="s">
        <v>62</v>
      </c>
      <c r="E1165" s="4" t="s">
        <v>63</v>
      </c>
      <c r="F1165" s="4" t="s">
        <v>63</v>
      </c>
      <c r="G1165" s="4" t="s">
        <v>957</v>
      </c>
      <c r="H1165" s="4"/>
      <c r="I1165" s="4" t="n">
        <v>1.7251</v>
      </c>
      <c r="J1165" s="4" t="str">
        <f aca="false">TRIM(E1165) &amp; TRIM(C1165) &amp; TRIM(D1165)</f>
        <v>First ReviewSponsored Content Community VideoCL</v>
      </c>
      <c r="K1165" s="4" t="n">
        <f aca="false">IFERROR(I1165*60,"")</f>
        <v>103.506</v>
      </c>
    </row>
    <row r="1166" customFormat="false" ht="15" hidden="false" customHeight="false" outlineLevel="0" collapsed="false">
      <c r="A1166" s="4" t="s">
        <v>15</v>
      </c>
      <c r="B1166" s="4" t="s">
        <v>899</v>
      </c>
      <c r="C1166" s="4" t="s">
        <v>900</v>
      </c>
      <c r="D1166" s="4" t="s">
        <v>87</v>
      </c>
      <c r="E1166" s="4" t="s">
        <v>59</v>
      </c>
      <c r="F1166" s="4" t="s">
        <v>59</v>
      </c>
      <c r="G1166" s="4" t="s">
        <v>962</v>
      </c>
      <c r="H1166" s="4"/>
      <c r="I1166" s="4" t="n">
        <v>0.8169</v>
      </c>
      <c r="J1166" s="4" t="str">
        <f aca="false">TRIM(E1166) &amp; TRIM(C1166) &amp; TRIM(D1166)</f>
        <v>Re-reviewSponsored Content Community VideoAE</v>
      </c>
      <c r="K1166" s="4" t="n">
        <f aca="false">IFERROR(I1166*60,"")</f>
        <v>49.014</v>
      </c>
    </row>
    <row r="1167" customFormat="false" ht="15" hidden="false" customHeight="false" outlineLevel="0" collapsed="false">
      <c r="A1167" s="4" t="s">
        <v>15</v>
      </c>
      <c r="B1167" s="4" t="s">
        <v>899</v>
      </c>
      <c r="C1167" s="4" t="s">
        <v>900</v>
      </c>
      <c r="D1167" s="4" t="s">
        <v>70</v>
      </c>
      <c r="E1167" s="4" t="s">
        <v>59</v>
      </c>
      <c r="F1167" s="4" t="s">
        <v>59</v>
      </c>
      <c r="G1167" s="4" t="s">
        <v>909</v>
      </c>
      <c r="H1167" s="4"/>
      <c r="I1167" s="4" t="n">
        <v>1.6918</v>
      </c>
      <c r="J1167" s="4" t="str">
        <f aca="false">TRIM(E1167) &amp; TRIM(C1167) &amp; TRIM(D1167)</f>
        <v>Re-reviewSponsored Content Community VideoBE</v>
      </c>
      <c r="K1167" s="4" t="n">
        <f aca="false">IFERROR(I1167*60,"")</f>
        <v>101.508</v>
      </c>
    </row>
    <row r="1168" customFormat="false" ht="15" hidden="false" customHeight="false" outlineLevel="0" collapsed="false">
      <c r="A1168" s="4" t="s">
        <v>15</v>
      </c>
      <c r="B1168" s="4" t="s">
        <v>899</v>
      </c>
      <c r="C1168" s="4" t="s">
        <v>900</v>
      </c>
      <c r="D1168" s="4" t="s">
        <v>197</v>
      </c>
      <c r="E1168" s="4" t="s">
        <v>63</v>
      </c>
      <c r="F1168" s="4" t="s">
        <v>63</v>
      </c>
      <c r="G1168" s="4" t="s">
        <v>963</v>
      </c>
      <c r="H1168" s="4"/>
      <c r="I1168" s="4" t="n">
        <v>1.4957</v>
      </c>
      <c r="J1168" s="4" t="str">
        <f aca="false">TRIM(E1168) &amp; TRIM(C1168) &amp; TRIM(D1168)</f>
        <v>First ReviewSponsored Content Community VideoGR</v>
      </c>
      <c r="K1168" s="4" t="n">
        <f aca="false">IFERROR(I1168*60,"")</f>
        <v>89.742</v>
      </c>
    </row>
    <row r="1169" customFormat="false" ht="15" hidden="false" customHeight="false" outlineLevel="0" collapsed="false">
      <c r="A1169" s="4" t="s">
        <v>15</v>
      </c>
      <c r="B1169" s="4" t="s">
        <v>899</v>
      </c>
      <c r="C1169" s="4" t="s">
        <v>900</v>
      </c>
      <c r="D1169" s="4" t="s">
        <v>341</v>
      </c>
      <c r="E1169" s="4" t="s">
        <v>63</v>
      </c>
      <c r="F1169" s="4" t="s">
        <v>63</v>
      </c>
      <c r="G1169" s="4" t="s">
        <v>964</v>
      </c>
      <c r="H1169" s="4"/>
      <c r="I1169" s="4" t="n">
        <v>2.0901</v>
      </c>
      <c r="J1169" s="4" t="str">
        <f aca="false">TRIM(E1169) &amp; TRIM(C1169) &amp; TRIM(D1169)</f>
        <v>First ReviewSponsored Content Community VideoBG</v>
      </c>
      <c r="K1169" s="4" t="n">
        <f aca="false">IFERROR(I1169*60,"")</f>
        <v>125.406</v>
      </c>
    </row>
    <row r="1170" customFormat="false" ht="15" hidden="false" customHeight="false" outlineLevel="0" collapsed="false">
      <c r="A1170" s="4" t="s">
        <v>15</v>
      </c>
      <c r="B1170" s="4" t="s">
        <v>899</v>
      </c>
      <c r="C1170" s="4" t="s">
        <v>900</v>
      </c>
      <c r="D1170" s="4" t="s">
        <v>58</v>
      </c>
      <c r="E1170" s="4" t="s">
        <v>66</v>
      </c>
      <c r="F1170" s="4" t="s">
        <v>67</v>
      </c>
      <c r="G1170" s="4" t="s">
        <v>911</v>
      </c>
      <c r="H1170" s="4"/>
      <c r="I1170" s="4" t="n">
        <v>1.0444</v>
      </c>
      <c r="J1170" s="4" t="str">
        <f aca="false">TRIM(E1170) &amp; TRIM(C1170) &amp; TRIM(D1170)</f>
        <v>Posted RecallSponsored Content Community VideoSG</v>
      </c>
      <c r="K1170" s="4" t="n">
        <f aca="false">IFERROR(I1170*60,"")</f>
        <v>62.664</v>
      </c>
    </row>
    <row r="1171" customFormat="false" ht="15" hidden="false" customHeight="false" outlineLevel="0" collapsed="false">
      <c r="A1171" s="4" t="s">
        <v>15</v>
      </c>
      <c r="B1171" s="4" t="s">
        <v>899</v>
      </c>
      <c r="C1171" s="4" t="s">
        <v>900</v>
      </c>
      <c r="D1171" s="4" t="s">
        <v>111</v>
      </c>
      <c r="E1171" s="4" t="s">
        <v>63</v>
      </c>
      <c r="F1171" s="4" t="s">
        <v>63</v>
      </c>
      <c r="G1171" s="4" t="s">
        <v>965</v>
      </c>
      <c r="H1171" s="4"/>
      <c r="I1171" s="4" t="n">
        <v>2.2702</v>
      </c>
      <c r="J1171" s="4" t="str">
        <f aca="false">TRIM(E1171) &amp; TRIM(C1171) &amp; TRIM(D1171)</f>
        <v>First ReviewSponsored Content Community VideoUS</v>
      </c>
      <c r="K1171" s="4" t="n">
        <f aca="false">IFERROR(I1171*60,"")</f>
        <v>136.212</v>
      </c>
    </row>
    <row r="1172" customFormat="false" ht="15" hidden="false" customHeight="false" outlineLevel="0" collapsed="false">
      <c r="A1172" s="4" t="s">
        <v>15</v>
      </c>
      <c r="B1172" s="4" t="s">
        <v>899</v>
      </c>
      <c r="C1172" s="4" t="s">
        <v>900</v>
      </c>
      <c r="D1172" s="4" t="s">
        <v>95</v>
      </c>
      <c r="E1172" s="4" t="s">
        <v>63</v>
      </c>
      <c r="F1172" s="4" t="s">
        <v>63</v>
      </c>
      <c r="G1172" s="4" t="s">
        <v>949</v>
      </c>
      <c r="H1172" s="4"/>
      <c r="I1172" s="4" t="n">
        <v>1.8911</v>
      </c>
      <c r="J1172" s="4" t="str">
        <f aca="false">TRIM(E1172) &amp; TRIM(C1172) &amp; TRIM(D1172)</f>
        <v>First ReviewSponsored Content Community VideoVN</v>
      </c>
      <c r="K1172" s="4" t="n">
        <f aca="false">IFERROR(I1172*60,"")</f>
        <v>113.466</v>
      </c>
    </row>
    <row r="1173" customFormat="false" ht="15" hidden="false" customHeight="false" outlineLevel="0" collapsed="false">
      <c r="A1173" s="4" t="s">
        <v>15</v>
      </c>
      <c r="B1173" s="4" t="s">
        <v>899</v>
      </c>
      <c r="C1173" s="4" t="s">
        <v>900</v>
      </c>
      <c r="D1173" s="4" t="s">
        <v>168</v>
      </c>
      <c r="E1173" s="4" t="s">
        <v>59</v>
      </c>
      <c r="F1173" s="4" t="s">
        <v>59</v>
      </c>
      <c r="G1173" s="4" t="s">
        <v>925</v>
      </c>
      <c r="H1173" s="4"/>
      <c r="I1173" s="4" t="n">
        <v>3.4512</v>
      </c>
      <c r="J1173" s="4" t="str">
        <f aca="false">TRIM(E1173) &amp; TRIM(C1173) &amp; TRIM(D1173)</f>
        <v>Re-reviewSponsored Content Community VideoKZ</v>
      </c>
      <c r="K1173" s="4" t="n">
        <f aca="false">IFERROR(I1173*60,"")</f>
        <v>207.072</v>
      </c>
    </row>
    <row r="1174" customFormat="false" ht="15" hidden="false" customHeight="false" outlineLevel="0" collapsed="false">
      <c r="A1174" s="4" t="s">
        <v>15</v>
      </c>
      <c r="B1174" s="4" t="s">
        <v>899</v>
      </c>
      <c r="C1174" s="4" t="s">
        <v>900</v>
      </c>
      <c r="D1174" s="4" t="s">
        <v>966</v>
      </c>
      <c r="E1174" s="4" t="s">
        <v>63</v>
      </c>
      <c r="F1174" s="4" t="s">
        <v>63</v>
      </c>
      <c r="G1174" s="4" t="s">
        <v>967</v>
      </c>
      <c r="H1174" s="4"/>
      <c r="I1174" s="4" t="n">
        <v>1.7489</v>
      </c>
      <c r="J1174" s="4" t="str">
        <f aca="false">TRIM(E1174) &amp; TRIM(C1174) &amp; TRIM(D1174)</f>
        <v>First ReviewSponsored Content Community VideoIS</v>
      </c>
      <c r="K1174" s="4" t="n">
        <f aca="false">IFERROR(I1174*60,"")</f>
        <v>104.934</v>
      </c>
    </row>
    <row r="1175" customFormat="false" ht="15" hidden="false" customHeight="false" outlineLevel="0" collapsed="false">
      <c r="A1175" s="4" t="s">
        <v>15</v>
      </c>
      <c r="B1175" s="4" t="s">
        <v>899</v>
      </c>
      <c r="C1175" s="4" t="s">
        <v>900</v>
      </c>
      <c r="D1175" s="4" t="s">
        <v>82</v>
      </c>
      <c r="E1175" s="4" t="s">
        <v>63</v>
      </c>
      <c r="F1175" s="4" t="s">
        <v>63</v>
      </c>
      <c r="G1175" s="4" t="s">
        <v>960</v>
      </c>
      <c r="H1175" s="4"/>
      <c r="I1175" s="4" t="n">
        <v>1.3401</v>
      </c>
      <c r="J1175" s="4" t="str">
        <f aca="false">TRIM(E1175) &amp; TRIM(C1175) &amp; TRIM(D1175)</f>
        <v>First ReviewSponsored Content Community VideoKH</v>
      </c>
      <c r="K1175" s="4" t="n">
        <f aca="false">IFERROR(I1175*60,"")</f>
        <v>80.406</v>
      </c>
    </row>
    <row r="1176" customFormat="false" ht="15" hidden="false" customHeight="false" outlineLevel="0" collapsed="false">
      <c r="A1176" s="4" t="s">
        <v>15</v>
      </c>
      <c r="B1176" s="4" t="s">
        <v>899</v>
      </c>
      <c r="C1176" s="4" t="s">
        <v>900</v>
      </c>
      <c r="D1176" s="4" t="s">
        <v>121</v>
      </c>
      <c r="E1176" s="4" t="s">
        <v>59</v>
      </c>
      <c r="F1176" s="4" t="s">
        <v>59</v>
      </c>
      <c r="G1176" s="4" t="s">
        <v>968</v>
      </c>
      <c r="H1176" s="4"/>
      <c r="I1176" s="4" t="n">
        <v>0.6678</v>
      </c>
      <c r="J1176" s="4" t="str">
        <f aca="false">TRIM(E1176) &amp; TRIM(C1176) &amp; TRIM(D1176)</f>
        <v>Re-reviewSponsored Content Community VideoKR</v>
      </c>
      <c r="K1176" s="4" t="n">
        <f aca="false">IFERROR(I1176*60,"")</f>
        <v>40.068</v>
      </c>
    </row>
    <row r="1177" customFormat="false" ht="15" hidden="false" customHeight="false" outlineLevel="0" collapsed="false">
      <c r="A1177" s="4" t="s">
        <v>15</v>
      </c>
      <c r="B1177" s="4" t="s">
        <v>899</v>
      </c>
      <c r="C1177" s="4" t="s">
        <v>900</v>
      </c>
      <c r="D1177" s="4" t="s">
        <v>152</v>
      </c>
      <c r="E1177" s="4" t="s">
        <v>63</v>
      </c>
      <c r="F1177" s="4" t="s">
        <v>63</v>
      </c>
      <c r="G1177" s="4" t="s">
        <v>922</v>
      </c>
      <c r="H1177" s="4"/>
      <c r="I1177" s="4" t="n">
        <v>0.9234</v>
      </c>
      <c r="J1177" s="4" t="str">
        <f aca="false">TRIM(E1177) &amp; TRIM(C1177) &amp; TRIM(D1177)</f>
        <v>First ReviewSponsored Content Community VideoCY</v>
      </c>
      <c r="K1177" s="4" t="n">
        <f aca="false">IFERROR(I1177*60,"")</f>
        <v>55.404</v>
      </c>
    </row>
    <row r="1178" customFormat="false" ht="15" hidden="false" customHeight="false" outlineLevel="0" collapsed="false">
      <c r="A1178" s="4" t="s">
        <v>15</v>
      </c>
      <c r="B1178" s="4" t="s">
        <v>899</v>
      </c>
      <c r="C1178" s="4" t="s">
        <v>900</v>
      </c>
      <c r="D1178" s="4" t="s">
        <v>157</v>
      </c>
      <c r="E1178" s="4" t="s">
        <v>59</v>
      </c>
      <c r="F1178" s="4" t="s">
        <v>59</v>
      </c>
      <c r="G1178" s="4" t="s">
        <v>905</v>
      </c>
      <c r="H1178" s="4"/>
      <c r="I1178" s="4" t="n">
        <v>0.9827</v>
      </c>
      <c r="J1178" s="4" t="str">
        <f aca="false">TRIM(E1178) &amp; TRIM(C1178) &amp; TRIM(D1178)</f>
        <v>Re-reviewSponsored Content Community VideoSA</v>
      </c>
      <c r="K1178" s="4" t="n">
        <f aca="false">IFERROR(I1178*60,"")</f>
        <v>58.962</v>
      </c>
    </row>
    <row r="1179" customFormat="false" ht="15" hidden="false" customHeight="false" outlineLevel="0" collapsed="false">
      <c r="A1179" s="4" t="s">
        <v>15</v>
      </c>
      <c r="B1179" s="4" t="s">
        <v>899</v>
      </c>
      <c r="C1179" s="4" t="s">
        <v>900</v>
      </c>
      <c r="D1179" s="4" t="s">
        <v>79</v>
      </c>
      <c r="E1179" s="4" t="s">
        <v>63</v>
      </c>
      <c r="F1179" s="4" t="s">
        <v>63</v>
      </c>
      <c r="G1179" s="4" t="s">
        <v>945</v>
      </c>
      <c r="H1179" s="4"/>
      <c r="I1179" s="4" t="n">
        <v>1.6142</v>
      </c>
      <c r="J1179" s="4" t="str">
        <f aca="false">TRIM(E1179) &amp; TRIM(C1179) &amp; TRIM(D1179)</f>
        <v>First ReviewSponsored Content Community VideoZA</v>
      </c>
      <c r="K1179" s="4" t="n">
        <f aca="false">IFERROR(I1179*60,"")</f>
        <v>96.852</v>
      </c>
    </row>
    <row r="1180" customFormat="false" ht="15" hidden="false" customHeight="false" outlineLevel="0" collapsed="false">
      <c r="A1180" s="4" t="s">
        <v>15</v>
      </c>
      <c r="B1180" s="4" t="s">
        <v>899</v>
      </c>
      <c r="C1180" s="4" t="s">
        <v>900</v>
      </c>
      <c r="D1180" s="4" t="s">
        <v>113</v>
      </c>
      <c r="E1180" s="4" t="s">
        <v>66</v>
      </c>
      <c r="F1180" s="4" t="s">
        <v>67</v>
      </c>
      <c r="G1180" s="4" t="s">
        <v>947</v>
      </c>
      <c r="H1180" s="4"/>
      <c r="I1180" s="4" t="n">
        <v>1.2356</v>
      </c>
      <c r="J1180" s="4" t="str">
        <f aca="false">TRIM(E1180) &amp; TRIM(C1180) &amp; TRIM(D1180)</f>
        <v>Posted RecallSponsored Content Community VideoNL</v>
      </c>
      <c r="K1180" s="4" t="n">
        <f aca="false">IFERROR(I1180*60,"")</f>
        <v>74.136</v>
      </c>
    </row>
    <row r="1181" customFormat="false" ht="15" hidden="false" customHeight="false" outlineLevel="0" collapsed="false">
      <c r="A1181" s="4" t="s">
        <v>15</v>
      </c>
      <c r="B1181" s="4" t="s">
        <v>899</v>
      </c>
      <c r="C1181" s="4" t="s">
        <v>900</v>
      </c>
      <c r="D1181" s="4" t="s">
        <v>91</v>
      </c>
      <c r="E1181" s="4" t="s">
        <v>66</v>
      </c>
      <c r="F1181" s="4" t="s">
        <v>67</v>
      </c>
      <c r="G1181" s="4" t="s">
        <v>950</v>
      </c>
      <c r="H1181" s="4"/>
      <c r="I1181" s="4" t="n">
        <v>2.5924</v>
      </c>
      <c r="J1181" s="4" t="str">
        <f aca="false">TRIM(E1181) &amp; TRIM(C1181) &amp; TRIM(D1181)</f>
        <v>Posted RecallSponsored Content Community VideoHR</v>
      </c>
      <c r="K1181" s="4" t="n">
        <f aca="false">IFERROR(I1181*60,"")</f>
        <v>155.544</v>
      </c>
    </row>
    <row r="1182" customFormat="false" ht="15" hidden="false" customHeight="false" outlineLevel="0" collapsed="false">
      <c r="A1182" s="4" t="s">
        <v>15</v>
      </c>
      <c r="B1182" s="4" t="s">
        <v>899</v>
      </c>
      <c r="C1182" s="4" t="s">
        <v>900</v>
      </c>
      <c r="D1182" s="4" t="s">
        <v>199</v>
      </c>
      <c r="E1182" s="4" t="s">
        <v>66</v>
      </c>
      <c r="F1182" s="4" t="s">
        <v>67</v>
      </c>
      <c r="G1182" s="4" t="s">
        <v>961</v>
      </c>
      <c r="H1182" s="4"/>
      <c r="I1182" s="4" t="n">
        <v>0.7766</v>
      </c>
      <c r="J1182" s="4" t="str">
        <f aca="false">TRIM(E1182) &amp; TRIM(C1182) &amp; TRIM(D1182)</f>
        <v>Posted RecallSponsored Content Community VideoBH</v>
      </c>
      <c r="K1182" s="4" t="n">
        <f aca="false">IFERROR(I1182*60,"")</f>
        <v>46.596</v>
      </c>
    </row>
    <row r="1183" customFormat="false" ht="15" hidden="false" customHeight="false" outlineLevel="0" collapsed="false">
      <c r="A1183" s="4" t="s">
        <v>15</v>
      </c>
      <c r="B1183" s="4" t="s">
        <v>899</v>
      </c>
      <c r="C1183" s="4" t="s">
        <v>900</v>
      </c>
      <c r="D1183" s="4" t="s">
        <v>139</v>
      </c>
      <c r="E1183" s="4" t="s">
        <v>63</v>
      </c>
      <c r="F1183" s="4" t="s">
        <v>63</v>
      </c>
      <c r="G1183" s="4" t="s">
        <v>923</v>
      </c>
      <c r="H1183" s="4"/>
      <c r="I1183" s="4" t="n">
        <v>1.3308</v>
      </c>
      <c r="J1183" s="4" t="str">
        <f aca="false">TRIM(E1183) &amp; TRIM(C1183) &amp; TRIM(D1183)</f>
        <v>First ReviewSponsored Content Community VideoEG</v>
      </c>
      <c r="K1183" s="4" t="n">
        <f aca="false">IFERROR(I1183*60,"")</f>
        <v>79.848</v>
      </c>
    </row>
    <row r="1184" customFormat="false" ht="15" hidden="false" customHeight="false" outlineLevel="0" collapsed="false">
      <c r="A1184" s="4" t="s">
        <v>15</v>
      </c>
      <c r="B1184" s="4" t="s">
        <v>899</v>
      </c>
      <c r="C1184" s="4" t="s">
        <v>900</v>
      </c>
      <c r="D1184" s="4" t="s">
        <v>121</v>
      </c>
      <c r="E1184" s="4" t="s">
        <v>66</v>
      </c>
      <c r="F1184" s="4" t="s">
        <v>67</v>
      </c>
      <c r="G1184" s="4" t="s">
        <v>968</v>
      </c>
      <c r="H1184" s="4"/>
      <c r="I1184" s="4" t="n">
        <v>1.4274</v>
      </c>
      <c r="J1184" s="4" t="str">
        <f aca="false">TRIM(E1184) &amp; TRIM(C1184) &amp; TRIM(D1184)</f>
        <v>Posted RecallSponsored Content Community VideoKR</v>
      </c>
      <c r="K1184" s="4" t="n">
        <f aca="false">IFERROR(I1184*60,"")</f>
        <v>85.644</v>
      </c>
    </row>
    <row r="1185" customFormat="false" ht="15" hidden="false" customHeight="false" outlineLevel="0" collapsed="false">
      <c r="A1185" s="4" t="s">
        <v>15</v>
      </c>
      <c r="B1185" s="4" t="s">
        <v>899</v>
      </c>
      <c r="C1185" s="4" t="s">
        <v>900</v>
      </c>
      <c r="D1185" s="4" t="s">
        <v>251</v>
      </c>
      <c r="E1185" s="4" t="s">
        <v>66</v>
      </c>
      <c r="F1185" s="4" t="s">
        <v>67</v>
      </c>
      <c r="G1185" s="4" t="s">
        <v>944</v>
      </c>
      <c r="H1185" s="4"/>
      <c r="I1185" s="4" t="n">
        <v>0.869</v>
      </c>
      <c r="J1185" s="4" t="str">
        <f aca="false">TRIM(E1185) &amp; TRIM(C1185) &amp; TRIM(D1185)</f>
        <v>Posted RecallSponsored Content Community VideoRO</v>
      </c>
      <c r="K1185" s="4" t="n">
        <f aca="false">IFERROR(I1185*60,"")</f>
        <v>52.14</v>
      </c>
    </row>
    <row r="1186" customFormat="false" ht="15" hidden="false" customHeight="false" outlineLevel="0" collapsed="false">
      <c r="A1186" s="4" t="s">
        <v>15</v>
      </c>
      <c r="B1186" s="4" t="s">
        <v>899</v>
      </c>
      <c r="C1186" s="4" t="s">
        <v>900</v>
      </c>
      <c r="D1186" s="4" t="s">
        <v>213</v>
      </c>
      <c r="E1186" s="4" t="s">
        <v>63</v>
      </c>
      <c r="F1186" s="4" t="s">
        <v>63</v>
      </c>
      <c r="G1186" s="4" t="s">
        <v>951</v>
      </c>
      <c r="H1186" s="4"/>
      <c r="I1186" s="4" t="n">
        <v>1.272</v>
      </c>
      <c r="J1186" s="4" t="str">
        <f aca="false">TRIM(E1186) &amp; TRIM(C1186) &amp; TRIM(D1186)</f>
        <v>First ReviewSponsored Content Community VideoFR</v>
      </c>
      <c r="K1186" s="4" t="n">
        <f aca="false">IFERROR(I1186*60,"")</f>
        <v>76.32</v>
      </c>
    </row>
    <row r="1187" customFormat="false" ht="15" hidden="false" customHeight="false" outlineLevel="0" collapsed="false">
      <c r="A1187" s="4" t="s">
        <v>15</v>
      </c>
      <c r="B1187" s="4" t="s">
        <v>899</v>
      </c>
      <c r="C1187" s="4" t="s">
        <v>900</v>
      </c>
      <c r="D1187" s="4" t="s">
        <v>267</v>
      </c>
      <c r="E1187" s="4" t="s">
        <v>66</v>
      </c>
      <c r="F1187" s="4" t="s">
        <v>67</v>
      </c>
      <c r="G1187" s="4" t="s">
        <v>956</v>
      </c>
      <c r="H1187" s="4"/>
      <c r="I1187" s="4" t="n">
        <v>1.4251</v>
      </c>
      <c r="J1187" s="4" t="str">
        <f aca="false">TRIM(E1187) &amp; TRIM(C1187) &amp; TRIM(D1187)</f>
        <v>Posted RecallSponsored Content Community VideoID</v>
      </c>
      <c r="K1187" s="4" t="n">
        <f aca="false">IFERROR(I1187*60,"")</f>
        <v>85.506</v>
      </c>
    </row>
    <row r="1188" customFormat="false" ht="15" hidden="false" customHeight="false" outlineLevel="0" collapsed="false">
      <c r="A1188" s="4" t="s">
        <v>15</v>
      </c>
      <c r="B1188" s="4" t="s">
        <v>899</v>
      </c>
      <c r="C1188" s="4" t="s">
        <v>900</v>
      </c>
      <c r="D1188" s="4" t="s">
        <v>87</v>
      </c>
      <c r="E1188" s="4" t="s">
        <v>66</v>
      </c>
      <c r="F1188" s="4" t="s">
        <v>67</v>
      </c>
      <c r="G1188" s="4" t="s">
        <v>962</v>
      </c>
      <c r="H1188" s="4"/>
      <c r="I1188" s="4" t="n">
        <v>0.7928</v>
      </c>
      <c r="J1188" s="4" t="str">
        <f aca="false">TRIM(E1188) &amp; TRIM(C1188) &amp; TRIM(D1188)</f>
        <v>Posted RecallSponsored Content Community VideoAE</v>
      </c>
      <c r="K1188" s="4" t="n">
        <f aca="false">IFERROR(I1188*60,"")</f>
        <v>47.568</v>
      </c>
    </row>
    <row r="1189" customFormat="false" ht="15" hidden="false" customHeight="false" outlineLevel="0" collapsed="false">
      <c r="A1189" s="4" t="s">
        <v>15</v>
      </c>
      <c r="B1189" s="4" t="s">
        <v>899</v>
      </c>
      <c r="C1189" s="4" t="s">
        <v>900</v>
      </c>
      <c r="D1189" s="4" t="s">
        <v>130</v>
      </c>
      <c r="E1189" s="4" t="s">
        <v>59</v>
      </c>
      <c r="F1189" s="4" t="s">
        <v>59</v>
      </c>
      <c r="G1189" s="4" t="s">
        <v>934</v>
      </c>
      <c r="H1189" s="4"/>
      <c r="I1189" s="4" t="n">
        <v>0.8206</v>
      </c>
      <c r="J1189" s="4" t="str">
        <f aca="false">TRIM(E1189) &amp; TRIM(C1189) &amp; TRIM(D1189)</f>
        <v>Re-reviewSponsored Content Community VideoMA</v>
      </c>
      <c r="K1189" s="4" t="n">
        <f aca="false">IFERROR(I1189*60,"")</f>
        <v>49.236</v>
      </c>
    </row>
    <row r="1190" customFormat="false" ht="15" hidden="false" customHeight="false" outlineLevel="0" collapsed="false">
      <c r="A1190" s="4" t="s">
        <v>15</v>
      </c>
      <c r="B1190" s="4" t="s">
        <v>899</v>
      </c>
      <c r="C1190" s="4" t="s">
        <v>900</v>
      </c>
      <c r="D1190" s="4" t="s">
        <v>117</v>
      </c>
      <c r="E1190" s="4" t="s">
        <v>66</v>
      </c>
      <c r="F1190" s="4" t="s">
        <v>67</v>
      </c>
      <c r="G1190" s="4" t="s">
        <v>958</v>
      </c>
      <c r="H1190" s="4"/>
      <c r="I1190" s="4" t="n">
        <v>1.2438</v>
      </c>
      <c r="J1190" s="4" t="str">
        <f aca="false">TRIM(E1190) &amp; TRIM(C1190) &amp; TRIM(D1190)</f>
        <v>Posted RecallSponsored Content Community VideoAR</v>
      </c>
      <c r="K1190" s="4" t="n">
        <f aca="false">IFERROR(I1190*60,"")</f>
        <v>74.628</v>
      </c>
    </row>
    <row r="1191" customFormat="false" ht="15" hidden="false" customHeight="false" outlineLevel="0" collapsed="false">
      <c r="A1191" s="4" t="s">
        <v>15</v>
      </c>
      <c r="B1191" s="4" t="s">
        <v>899</v>
      </c>
      <c r="C1191" s="4" t="s">
        <v>900</v>
      </c>
      <c r="D1191" s="4" t="s">
        <v>82</v>
      </c>
      <c r="E1191" s="4" t="s">
        <v>66</v>
      </c>
      <c r="F1191" s="4" t="s">
        <v>67</v>
      </c>
      <c r="G1191" s="4" t="s">
        <v>960</v>
      </c>
      <c r="H1191" s="4"/>
      <c r="I1191" s="4" t="n">
        <v>0.9989</v>
      </c>
      <c r="J1191" s="4" t="str">
        <f aca="false">TRIM(E1191) &amp; TRIM(C1191) &amp; TRIM(D1191)</f>
        <v>Posted RecallSponsored Content Community VideoKH</v>
      </c>
      <c r="K1191" s="4" t="n">
        <f aca="false">IFERROR(I1191*60,"")</f>
        <v>59.934</v>
      </c>
    </row>
    <row r="1192" customFormat="false" ht="15" hidden="false" customHeight="false" outlineLevel="0" collapsed="false">
      <c r="A1192" s="4" t="s">
        <v>15</v>
      </c>
      <c r="B1192" s="4" t="s">
        <v>899</v>
      </c>
      <c r="C1192" s="4" t="s">
        <v>900</v>
      </c>
      <c r="D1192" s="4" t="s">
        <v>185</v>
      </c>
      <c r="E1192" s="4" t="s">
        <v>63</v>
      </c>
      <c r="F1192" s="4" t="s">
        <v>63</v>
      </c>
      <c r="G1192" s="4" t="s">
        <v>969</v>
      </c>
      <c r="H1192" s="4"/>
      <c r="I1192" s="4" t="n">
        <v>1.6342</v>
      </c>
      <c r="J1192" s="4" t="str">
        <f aca="false">TRIM(E1192) &amp; TRIM(C1192) &amp; TRIM(D1192)</f>
        <v>First ReviewSponsored Content Community VideoDK</v>
      </c>
      <c r="K1192" s="4" t="n">
        <f aca="false">IFERROR(I1192*60,"")</f>
        <v>98.052</v>
      </c>
    </row>
    <row r="1193" customFormat="false" ht="15" hidden="false" customHeight="false" outlineLevel="0" collapsed="false">
      <c r="A1193" s="4" t="s">
        <v>15</v>
      </c>
      <c r="B1193" s="4" t="s">
        <v>899</v>
      </c>
      <c r="C1193" s="4" t="s">
        <v>900</v>
      </c>
      <c r="D1193" s="4" t="s">
        <v>126</v>
      </c>
      <c r="E1193" s="4" t="s">
        <v>66</v>
      </c>
      <c r="F1193" s="4" t="s">
        <v>67</v>
      </c>
      <c r="G1193" s="4" t="s">
        <v>946</v>
      </c>
      <c r="H1193" s="4"/>
      <c r="I1193" s="4" t="n">
        <v>1.8124</v>
      </c>
      <c r="J1193" s="4" t="str">
        <f aca="false">TRIM(E1193) &amp; TRIM(C1193) &amp; TRIM(D1193)</f>
        <v>Posted RecallSponsored Content Community VideoMX</v>
      </c>
      <c r="K1193" s="4" t="n">
        <f aca="false">IFERROR(I1193*60,"")</f>
        <v>108.744</v>
      </c>
    </row>
    <row r="1194" customFormat="false" ht="15" hidden="false" customHeight="false" outlineLevel="0" collapsed="false">
      <c r="A1194" s="4" t="s">
        <v>15</v>
      </c>
      <c r="B1194" s="4" t="s">
        <v>899</v>
      </c>
      <c r="C1194" s="4" t="s">
        <v>900</v>
      </c>
      <c r="D1194" s="4" t="s">
        <v>115</v>
      </c>
      <c r="E1194" s="4" t="s">
        <v>59</v>
      </c>
      <c r="F1194" s="4" t="s">
        <v>59</v>
      </c>
      <c r="G1194" s="4" t="s">
        <v>931</v>
      </c>
      <c r="H1194" s="4"/>
      <c r="I1194" s="4" t="n">
        <v>1.0023</v>
      </c>
      <c r="J1194" s="4" t="str">
        <f aca="false">TRIM(E1194) &amp; TRIM(C1194) &amp; TRIM(D1194)</f>
        <v>Re-reviewSponsored Content Community VideoAT</v>
      </c>
      <c r="K1194" s="4" t="n">
        <f aca="false">IFERROR(I1194*60,"")</f>
        <v>60.138</v>
      </c>
    </row>
    <row r="1195" customFormat="false" ht="15" hidden="false" customHeight="false" outlineLevel="0" collapsed="false">
      <c r="A1195" s="4" t="s">
        <v>15</v>
      </c>
      <c r="B1195" s="4" t="s">
        <v>899</v>
      </c>
      <c r="C1195" s="4" t="s">
        <v>900</v>
      </c>
      <c r="D1195" s="4" t="s">
        <v>197</v>
      </c>
      <c r="E1195" s="4" t="s">
        <v>66</v>
      </c>
      <c r="F1195" s="4" t="s">
        <v>67</v>
      </c>
      <c r="G1195" s="4" t="s">
        <v>963</v>
      </c>
      <c r="H1195" s="4"/>
      <c r="I1195" s="4" t="n">
        <v>2.2405</v>
      </c>
      <c r="J1195" s="4" t="str">
        <f aca="false">TRIM(E1195) &amp; TRIM(C1195) &amp; TRIM(D1195)</f>
        <v>Posted RecallSponsored Content Community VideoGR</v>
      </c>
      <c r="K1195" s="4" t="n">
        <f aca="false">IFERROR(I1195*60,"")</f>
        <v>134.43</v>
      </c>
    </row>
    <row r="1196" customFormat="false" ht="15" hidden="false" customHeight="false" outlineLevel="0" collapsed="false">
      <c r="A1196" s="4" t="s">
        <v>15</v>
      </c>
      <c r="B1196" s="4" t="s">
        <v>899</v>
      </c>
      <c r="C1196" s="4" t="s">
        <v>900</v>
      </c>
      <c r="D1196" s="4" t="s">
        <v>111</v>
      </c>
      <c r="E1196" s="4" t="s">
        <v>66</v>
      </c>
      <c r="F1196" s="4" t="s">
        <v>67</v>
      </c>
      <c r="G1196" s="4" t="s">
        <v>965</v>
      </c>
      <c r="H1196" s="4"/>
      <c r="I1196" s="4" t="n">
        <v>1.261</v>
      </c>
      <c r="J1196" s="4" t="str">
        <f aca="false">TRIM(E1196) &amp; TRIM(C1196) &amp; TRIM(D1196)</f>
        <v>Posted RecallSponsored Content Community VideoUS</v>
      </c>
      <c r="K1196" s="4" t="n">
        <f aca="false">IFERROR(I1196*60,"")</f>
        <v>75.66</v>
      </c>
    </row>
    <row r="1197" customFormat="false" ht="15" hidden="false" customHeight="false" outlineLevel="0" collapsed="false">
      <c r="A1197" s="4" t="s">
        <v>15</v>
      </c>
      <c r="B1197" s="4" t="s">
        <v>899</v>
      </c>
      <c r="C1197" s="4" t="s">
        <v>900</v>
      </c>
      <c r="D1197" s="4" t="s">
        <v>341</v>
      </c>
      <c r="E1197" s="4" t="s">
        <v>66</v>
      </c>
      <c r="F1197" s="4" t="s">
        <v>67</v>
      </c>
      <c r="G1197" s="4" t="s">
        <v>964</v>
      </c>
      <c r="H1197" s="4"/>
      <c r="I1197" s="4" t="n">
        <v>1.8437</v>
      </c>
      <c r="J1197" s="4" t="str">
        <f aca="false">TRIM(E1197) &amp; TRIM(C1197) &amp; TRIM(D1197)</f>
        <v>Posted RecallSponsored Content Community VideoBG</v>
      </c>
      <c r="K1197" s="4" t="n">
        <f aca="false">IFERROR(I1197*60,"")</f>
        <v>110.622</v>
      </c>
    </row>
    <row r="1198" customFormat="false" ht="15" hidden="false" customHeight="false" outlineLevel="0" collapsed="false">
      <c r="A1198" s="4" t="s">
        <v>15</v>
      </c>
      <c r="B1198" s="4" t="s">
        <v>899</v>
      </c>
      <c r="C1198" s="4" t="s">
        <v>900</v>
      </c>
      <c r="D1198" s="4" t="s">
        <v>106</v>
      </c>
      <c r="E1198" s="4" t="s">
        <v>63</v>
      </c>
      <c r="F1198" s="4" t="s">
        <v>63</v>
      </c>
      <c r="G1198" s="4" t="s">
        <v>942</v>
      </c>
      <c r="H1198" s="4"/>
      <c r="I1198" s="4" t="n">
        <v>1.3779</v>
      </c>
      <c r="J1198" s="4" t="str">
        <f aca="false">TRIM(E1198) &amp; TRIM(C1198) &amp; TRIM(D1198)</f>
        <v>First ReviewSponsored Content Community VideoMY</v>
      </c>
      <c r="K1198" s="4" t="n">
        <f aca="false">IFERROR(I1198*60,"")</f>
        <v>82.674</v>
      </c>
    </row>
    <row r="1199" customFormat="false" ht="15" hidden="false" customHeight="false" outlineLevel="0" collapsed="false">
      <c r="A1199" s="4" t="s">
        <v>15</v>
      </c>
      <c r="B1199" s="4" t="s">
        <v>899</v>
      </c>
      <c r="C1199" s="4" t="s">
        <v>900</v>
      </c>
      <c r="D1199" s="4" t="s">
        <v>89</v>
      </c>
      <c r="E1199" s="4" t="s">
        <v>66</v>
      </c>
      <c r="F1199" s="4" t="s">
        <v>67</v>
      </c>
      <c r="G1199" s="4" t="s">
        <v>970</v>
      </c>
      <c r="H1199" s="4"/>
      <c r="I1199" s="4" t="n">
        <v>1.4365</v>
      </c>
      <c r="J1199" s="4" t="str">
        <f aca="false">TRIM(E1199) &amp; TRIM(C1199) &amp; TRIM(D1199)</f>
        <v>Posted RecallSponsored Content Community VideoFI</v>
      </c>
      <c r="K1199" s="4" t="n">
        <f aca="false">IFERROR(I1199*60,"")</f>
        <v>86.19</v>
      </c>
    </row>
    <row r="1200" customFormat="false" ht="15" hidden="false" customHeight="false" outlineLevel="0" collapsed="false">
      <c r="A1200" s="4" t="s">
        <v>15</v>
      </c>
      <c r="B1200" s="4" t="s">
        <v>899</v>
      </c>
      <c r="C1200" s="4" t="s">
        <v>900</v>
      </c>
      <c r="D1200" s="4" t="s">
        <v>971</v>
      </c>
      <c r="E1200" s="4" t="s">
        <v>63</v>
      </c>
      <c r="F1200" s="4" t="s">
        <v>63</v>
      </c>
      <c r="G1200" s="4" t="s">
        <v>972</v>
      </c>
      <c r="H1200" s="4"/>
      <c r="I1200" s="4" t="n">
        <v>1.7181</v>
      </c>
      <c r="J1200" s="4" t="str">
        <f aca="false">TRIM(E1200) &amp; TRIM(C1200) &amp; TRIM(D1200)</f>
        <v>First ReviewSponsored Content Community VideoUZ</v>
      </c>
      <c r="K1200" s="4" t="n">
        <f aca="false">IFERROR(I1200*60,"")</f>
        <v>103.086</v>
      </c>
    </row>
    <row r="1201" customFormat="false" ht="15" hidden="false" customHeight="false" outlineLevel="0" collapsed="false">
      <c r="A1201" s="4" t="s">
        <v>15</v>
      </c>
      <c r="B1201" s="4" t="s">
        <v>899</v>
      </c>
      <c r="C1201" s="4" t="s">
        <v>900</v>
      </c>
      <c r="D1201" s="4" t="s">
        <v>162</v>
      </c>
      <c r="E1201" s="4" t="s">
        <v>63</v>
      </c>
      <c r="F1201" s="4" t="s">
        <v>63</v>
      </c>
      <c r="G1201" s="4" t="s">
        <v>913</v>
      </c>
      <c r="H1201" s="4"/>
      <c r="I1201" s="4" t="n">
        <v>1.6815</v>
      </c>
      <c r="J1201" s="4" t="str">
        <f aca="false">TRIM(E1201) &amp; TRIM(C1201) &amp; TRIM(D1201)</f>
        <v>First ReviewSponsored Content Community VideoJO</v>
      </c>
      <c r="K1201" s="4" t="n">
        <f aca="false">IFERROR(I1201*60,"")</f>
        <v>100.89</v>
      </c>
    </row>
    <row r="1202" customFormat="false" ht="15" hidden="false" customHeight="false" outlineLevel="0" collapsed="false">
      <c r="A1202" s="4" t="s">
        <v>15</v>
      </c>
      <c r="B1202" s="4" t="s">
        <v>899</v>
      </c>
      <c r="C1202" s="4" t="s">
        <v>900</v>
      </c>
      <c r="D1202" s="4" t="s">
        <v>267</v>
      </c>
      <c r="E1202" s="4" t="s">
        <v>63</v>
      </c>
      <c r="F1202" s="4" t="s">
        <v>63</v>
      </c>
      <c r="G1202" s="4" t="s">
        <v>956</v>
      </c>
      <c r="H1202" s="4"/>
      <c r="I1202" s="4" t="n">
        <v>1.0122</v>
      </c>
      <c r="J1202" s="4" t="str">
        <f aca="false">TRIM(E1202) &amp; TRIM(C1202) &amp; TRIM(D1202)</f>
        <v>First ReviewSponsored Content Community VideoID</v>
      </c>
      <c r="K1202" s="4" t="n">
        <f aca="false">IFERROR(I1202*60,"")</f>
        <v>60.732</v>
      </c>
    </row>
    <row r="1203" customFormat="false" ht="15" hidden="false" customHeight="false" outlineLevel="0" collapsed="false">
      <c r="A1203" s="4" t="s">
        <v>15</v>
      </c>
      <c r="B1203" s="4" t="s">
        <v>899</v>
      </c>
      <c r="C1203" s="4" t="s">
        <v>900</v>
      </c>
      <c r="D1203" s="4" t="s">
        <v>87</v>
      </c>
      <c r="E1203" s="4" t="s">
        <v>63</v>
      </c>
      <c r="F1203" s="4" t="s">
        <v>63</v>
      </c>
      <c r="G1203" s="4" t="s">
        <v>962</v>
      </c>
      <c r="H1203" s="4"/>
      <c r="I1203" s="4" t="n">
        <v>1.1667</v>
      </c>
      <c r="J1203" s="4" t="str">
        <f aca="false">TRIM(E1203) &amp; TRIM(C1203) &amp; TRIM(D1203)</f>
        <v>First ReviewSponsored Content Community VideoAE</v>
      </c>
      <c r="K1203" s="4" t="n">
        <f aca="false">IFERROR(I1203*60,"")</f>
        <v>70.002</v>
      </c>
    </row>
    <row r="1204" customFormat="false" ht="15" hidden="false" customHeight="false" outlineLevel="0" collapsed="false">
      <c r="A1204" s="4" t="s">
        <v>15</v>
      </c>
      <c r="B1204" s="4" t="s">
        <v>899</v>
      </c>
      <c r="C1204" s="4" t="s">
        <v>900</v>
      </c>
      <c r="D1204" s="4" t="s">
        <v>136</v>
      </c>
      <c r="E1204" s="4" t="s">
        <v>66</v>
      </c>
      <c r="F1204" s="4" t="s">
        <v>67</v>
      </c>
      <c r="G1204" s="4" t="s">
        <v>915</v>
      </c>
      <c r="H1204" s="4"/>
      <c r="I1204" s="4" t="n">
        <v>2.2049</v>
      </c>
      <c r="J1204" s="4" t="str">
        <f aca="false">TRIM(E1204) &amp; TRIM(C1204) &amp; TRIM(D1204)</f>
        <v>Posted RecallSponsored Content Community VideoPE</v>
      </c>
      <c r="K1204" s="4" t="n">
        <f aca="false">IFERROR(I1204*60,"")</f>
        <v>132.294</v>
      </c>
    </row>
    <row r="1205" customFormat="false" ht="15" hidden="false" customHeight="false" outlineLevel="0" collapsed="false">
      <c r="A1205" s="4" t="s">
        <v>15</v>
      </c>
      <c r="B1205" s="4" t="s">
        <v>899</v>
      </c>
      <c r="C1205" s="4" t="s">
        <v>900</v>
      </c>
      <c r="D1205" s="4" t="s">
        <v>271</v>
      </c>
      <c r="E1205" s="4" t="s">
        <v>63</v>
      </c>
      <c r="F1205" s="4" t="s">
        <v>63</v>
      </c>
      <c r="G1205" s="4" t="s">
        <v>943</v>
      </c>
      <c r="H1205" s="4"/>
      <c r="I1205" s="4" t="n">
        <v>1.7517</v>
      </c>
      <c r="J1205" s="4" t="str">
        <f aca="false">TRIM(E1205) &amp; TRIM(C1205) &amp; TRIM(D1205)</f>
        <v>First ReviewSponsored Content Community VideoKW</v>
      </c>
      <c r="K1205" s="4" t="n">
        <f aca="false">IFERROR(I1205*60,"")</f>
        <v>105.102</v>
      </c>
    </row>
    <row r="1206" customFormat="false" ht="15" hidden="false" customHeight="false" outlineLevel="0" collapsed="false">
      <c r="A1206" s="4" t="s">
        <v>15</v>
      </c>
      <c r="B1206" s="4" t="s">
        <v>899</v>
      </c>
      <c r="C1206" s="4" t="s">
        <v>900</v>
      </c>
      <c r="D1206" s="4" t="s">
        <v>104</v>
      </c>
      <c r="E1206" s="4" t="s">
        <v>66</v>
      </c>
      <c r="F1206" s="4" t="s">
        <v>67</v>
      </c>
      <c r="G1206" s="4" t="s">
        <v>930</v>
      </c>
      <c r="H1206" s="4"/>
      <c r="I1206" s="4" t="n">
        <v>1.7219</v>
      </c>
      <c r="J1206" s="4" t="str">
        <f aca="false">TRIM(E1206) &amp; TRIM(C1206) &amp; TRIM(D1206)</f>
        <v>Posted RecallSponsored Content Community VideoIE</v>
      </c>
      <c r="K1206" s="4" t="n">
        <f aca="false">IFERROR(I1206*60,"")</f>
        <v>103.314</v>
      </c>
    </row>
    <row r="1207" customFormat="false" ht="15" hidden="false" customHeight="false" outlineLevel="0" collapsed="false">
      <c r="A1207" s="4" t="s">
        <v>15</v>
      </c>
      <c r="B1207" s="4" t="s">
        <v>899</v>
      </c>
      <c r="C1207" s="4" t="s">
        <v>900</v>
      </c>
      <c r="D1207" s="4" t="s">
        <v>197</v>
      </c>
      <c r="E1207" s="4" t="s">
        <v>59</v>
      </c>
      <c r="F1207" s="4" t="s">
        <v>59</v>
      </c>
      <c r="G1207" s="4" t="s">
        <v>963</v>
      </c>
      <c r="H1207" s="4"/>
      <c r="I1207" s="4" t="n">
        <v>1.0265</v>
      </c>
      <c r="J1207" s="4" t="str">
        <f aca="false">TRIM(E1207) &amp; TRIM(C1207) &amp; TRIM(D1207)</f>
        <v>Re-reviewSponsored Content Community VideoGR</v>
      </c>
      <c r="K1207" s="4" t="n">
        <f aca="false">IFERROR(I1207*60,"")</f>
        <v>61.59</v>
      </c>
    </row>
    <row r="1208" customFormat="false" ht="15" hidden="false" customHeight="false" outlineLevel="0" collapsed="false">
      <c r="A1208" s="4" t="s">
        <v>15</v>
      </c>
      <c r="B1208" s="4" t="s">
        <v>899</v>
      </c>
      <c r="C1208" s="4" t="s">
        <v>900</v>
      </c>
      <c r="D1208" s="4" t="s">
        <v>115</v>
      </c>
      <c r="E1208" s="4" t="s">
        <v>66</v>
      </c>
      <c r="F1208" s="4" t="s">
        <v>67</v>
      </c>
      <c r="G1208" s="4" t="s">
        <v>931</v>
      </c>
      <c r="H1208" s="4"/>
      <c r="I1208" s="4" t="n">
        <v>0.4082</v>
      </c>
      <c r="J1208" s="4" t="str">
        <f aca="false">TRIM(E1208) &amp; TRIM(C1208) &amp; TRIM(D1208)</f>
        <v>Posted RecallSponsored Content Community VideoAT</v>
      </c>
      <c r="K1208" s="4" t="n">
        <f aca="false">IFERROR(I1208*60,"")</f>
        <v>24.492</v>
      </c>
    </row>
    <row r="1209" customFormat="false" ht="15" hidden="false" customHeight="false" outlineLevel="0" collapsed="false">
      <c r="A1209" s="4" t="s">
        <v>15</v>
      </c>
      <c r="B1209" s="4" t="s">
        <v>899</v>
      </c>
      <c r="C1209" s="4" t="s">
        <v>900</v>
      </c>
      <c r="D1209" s="4" t="s">
        <v>154</v>
      </c>
      <c r="E1209" s="4" t="s">
        <v>63</v>
      </c>
      <c r="F1209" s="4" t="s">
        <v>63</v>
      </c>
      <c r="G1209" s="4" t="s">
        <v>933</v>
      </c>
      <c r="H1209" s="4"/>
      <c r="I1209" s="4" t="n">
        <v>2.104</v>
      </c>
      <c r="J1209" s="4" t="str">
        <f aca="false">TRIM(E1209) &amp; TRIM(C1209) &amp; TRIM(D1209)</f>
        <v>First ReviewSponsored Content Community VideoES</v>
      </c>
      <c r="K1209" s="4" t="n">
        <f aca="false">IFERROR(I1209*60,"")</f>
        <v>126.24</v>
      </c>
    </row>
    <row r="1210" customFormat="false" ht="15" hidden="false" customHeight="false" outlineLevel="0" collapsed="false">
      <c r="A1210" s="4" t="s">
        <v>15</v>
      </c>
      <c r="B1210" s="4" t="s">
        <v>899</v>
      </c>
      <c r="C1210" s="4" t="s">
        <v>900</v>
      </c>
      <c r="D1210" s="4" t="s">
        <v>124</v>
      </c>
      <c r="E1210" s="4" t="s">
        <v>63</v>
      </c>
      <c r="F1210" s="4" t="s">
        <v>63</v>
      </c>
      <c r="G1210" s="4" t="s">
        <v>935</v>
      </c>
      <c r="H1210" s="4"/>
      <c r="I1210" s="4" t="n">
        <v>2.8001</v>
      </c>
      <c r="J1210" s="4" t="str">
        <f aca="false">TRIM(E1210) &amp; TRIM(C1210) &amp; TRIM(D1210)</f>
        <v>First ReviewSponsored Content Community VideoPT</v>
      </c>
      <c r="K1210" s="4" t="n">
        <f aca="false">IFERROR(I1210*60,"")</f>
        <v>168.006</v>
      </c>
    </row>
    <row r="1211" customFormat="false" ht="15" hidden="false" customHeight="false" outlineLevel="0" collapsed="false">
      <c r="A1211" s="4" t="s">
        <v>15</v>
      </c>
      <c r="B1211" s="4" t="s">
        <v>899</v>
      </c>
      <c r="C1211" s="4" t="s">
        <v>900</v>
      </c>
      <c r="D1211" s="4" t="s">
        <v>76</v>
      </c>
      <c r="E1211" s="4" t="s">
        <v>63</v>
      </c>
      <c r="F1211" s="4" t="s">
        <v>63</v>
      </c>
      <c r="G1211" s="4" t="s">
        <v>921</v>
      </c>
      <c r="H1211" s="4"/>
      <c r="I1211" s="4" t="n">
        <v>2.4823</v>
      </c>
      <c r="J1211" s="4" t="str">
        <f aca="false">TRIM(E1211) &amp; TRIM(C1211) &amp; TRIM(D1211)</f>
        <v>First ReviewSponsored Content Community VideoLT</v>
      </c>
      <c r="K1211" s="4" t="n">
        <f aca="false">IFERROR(I1211*60,"")</f>
        <v>148.938</v>
      </c>
    </row>
    <row r="1212" customFormat="false" ht="15" hidden="false" customHeight="false" outlineLevel="0" collapsed="false">
      <c r="A1212" s="4" t="s">
        <v>15</v>
      </c>
      <c r="B1212" s="4" t="s">
        <v>899</v>
      </c>
      <c r="C1212" s="4" t="s">
        <v>900</v>
      </c>
      <c r="D1212" s="4" t="s">
        <v>139</v>
      </c>
      <c r="E1212" s="4" t="s">
        <v>66</v>
      </c>
      <c r="F1212" s="4" t="s">
        <v>67</v>
      </c>
      <c r="G1212" s="4" t="s">
        <v>923</v>
      </c>
      <c r="H1212" s="4"/>
      <c r="I1212" s="4" t="n">
        <v>1.0854</v>
      </c>
      <c r="J1212" s="4" t="str">
        <f aca="false">TRIM(E1212) &amp; TRIM(C1212) &amp; TRIM(D1212)</f>
        <v>Posted RecallSponsored Content Community VideoEG</v>
      </c>
      <c r="K1212" s="4" t="n">
        <f aca="false">IFERROR(I1212*60,"")</f>
        <v>65.124</v>
      </c>
    </row>
    <row r="1213" customFormat="false" ht="15" hidden="false" customHeight="false" outlineLevel="0" collapsed="false">
      <c r="A1213" s="4" t="s">
        <v>15</v>
      </c>
      <c r="B1213" s="4" t="s">
        <v>899</v>
      </c>
      <c r="C1213" s="4" t="s">
        <v>900</v>
      </c>
      <c r="D1213" s="4" t="s">
        <v>235</v>
      </c>
      <c r="E1213" s="4" t="s">
        <v>66</v>
      </c>
      <c r="F1213" s="4" t="s">
        <v>67</v>
      </c>
      <c r="G1213" s="4" t="s">
        <v>926</v>
      </c>
      <c r="H1213" s="4"/>
      <c r="I1213" s="4" t="n">
        <v>1.6164</v>
      </c>
      <c r="J1213" s="4" t="str">
        <f aca="false">TRIM(E1213) &amp; TRIM(C1213) &amp; TRIM(D1213)</f>
        <v>Posted RecallSponsored Content Community VideoJP</v>
      </c>
      <c r="K1213" s="4" t="n">
        <f aca="false">IFERROR(I1213*60,"")</f>
        <v>96.984</v>
      </c>
    </row>
    <row r="1214" customFormat="false" ht="15" hidden="false" customHeight="false" outlineLevel="0" collapsed="false">
      <c r="A1214" s="4" t="s">
        <v>15</v>
      </c>
      <c r="B1214" s="4" t="s">
        <v>899</v>
      </c>
      <c r="C1214" s="4" t="s">
        <v>900</v>
      </c>
      <c r="D1214" s="4" t="s">
        <v>117</v>
      </c>
      <c r="E1214" s="4" t="s">
        <v>59</v>
      </c>
      <c r="F1214" s="4" t="s">
        <v>59</v>
      </c>
      <c r="G1214" s="4" t="s">
        <v>958</v>
      </c>
      <c r="H1214" s="4"/>
      <c r="I1214" s="4" t="n">
        <v>1.6371</v>
      </c>
      <c r="J1214" s="4" t="str">
        <f aca="false">TRIM(E1214) &amp; TRIM(C1214) &amp; TRIM(D1214)</f>
        <v>Re-reviewSponsored Content Community VideoAR</v>
      </c>
      <c r="K1214" s="4" t="n">
        <f aca="false">IFERROR(I1214*60,"")</f>
        <v>98.226</v>
      </c>
    </row>
    <row r="1215" customFormat="false" ht="15" hidden="false" customHeight="false" outlineLevel="0" collapsed="false">
      <c r="A1215" s="4" t="s">
        <v>15</v>
      </c>
      <c r="B1215" s="4" t="s">
        <v>899</v>
      </c>
      <c r="C1215" s="4" t="s">
        <v>900</v>
      </c>
      <c r="D1215" s="4" t="s">
        <v>458</v>
      </c>
      <c r="E1215" s="4" t="s">
        <v>63</v>
      </c>
      <c r="F1215" s="4" t="s">
        <v>63</v>
      </c>
      <c r="G1215" s="4" t="s">
        <v>929</v>
      </c>
      <c r="H1215" s="4"/>
      <c r="I1215" s="4" t="n">
        <v>2.5742</v>
      </c>
      <c r="J1215" s="4" t="str">
        <f aca="false">TRIM(E1215) &amp; TRIM(C1215) &amp; TRIM(D1215)</f>
        <v>First ReviewSponsored Content Community VideoTW</v>
      </c>
      <c r="K1215" s="4" t="n">
        <f aca="false">IFERROR(I1215*60,"")</f>
        <v>154.452</v>
      </c>
    </row>
    <row r="1216" customFormat="false" ht="15" hidden="false" customHeight="false" outlineLevel="0" collapsed="false">
      <c r="A1216" s="4" t="s">
        <v>15</v>
      </c>
      <c r="B1216" s="4" t="s">
        <v>899</v>
      </c>
      <c r="C1216" s="4" t="s">
        <v>900</v>
      </c>
      <c r="D1216" s="4" t="s">
        <v>121</v>
      </c>
      <c r="E1216" s="4" t="s">
        <v>63</v>
      </c>
      <c r="F1216" s="4" t="s">
        <v>63</v>
      </c>
      <c r="G1216" s="4" t="s">
        <v>968</v>
      </c>
      <c r="H1216" s="4"/>
      <c r="I1216" s="4" t="n">
        <v>1.9265</v>
      </c>
      <c r="J1216" s="4" t="str">
        <f aca="false">TRIM(E1216) &amp; TRIM(C1216) &amp; TRIM(D1216)</f>
        <v>First ReviewSponsored Content Community VideoKR</v>
      </c>
      <c r="K1216" s="4" t="n">
        <f aca="false">IFERROR(I1216*60,"")</f>
        <v>115.59</v>
      </c>
    </row>
    <row r="1217" customFormat="false" ht="15" hidden="false" customHeight="false" outlineLevel="0" collapsed="false">
      <c r="A1217" s="4" t="s">
        <v>15</v>
      </c>
      <c r="B1217" s="4" t="s">
        <v>899</v>
      </c>
      <c r="C1217" s="4" t="s">
        <v>900</v>
      </c>
      <c r="D1217" s="4" t="s">
        <v>97</v>
      </c>
      <c r="E1217" s="4" t="s">
        <v>59</v>
      </c>
      <c r="F1217" s="4" t="s">
        <v>59</v>
      </c>
      <c r="G1217" s="4" t="s">
        <v>948</v>
      </c>
      <c r="H1217" s="4"/>
      <c r="I1217" s="4" t="n">
        <v>1.0297</v>
      </c>
      <c r="J1217" s="4" t="str">
        <f aca="false">TRIM(E1217) &amp; TRIM(C1217) &amp; TRIM(D1217)</f>
        <v>Re-reviewSponsored Content Community VideoBR</v>
      </c>
      <c r="K1217" s="4" t="n">
        <f aca="false">IFERROR(I1217*60,"")</f>
        <v>61.782</v>
      </c>
    </row>
    <row r="1218" customFormat="false" ht="15" hidden="false" customHeight="false" outlineLevel="0" collapsed="false">
      <c r="A1218" s="4" t="s">
        <v>15</v>
      </c>
      <c r="B1218" s="4" t="s">
        <v>899</v>
      </c>
      <c r="C1218" s="4" t="s">
        <v>900</v>
      </c>
      <c r="D1218" s="4" t="s">
        <v>166</v>
      </c>
      <c r="E1218" s="4" t="s">
        <v>66</v>
      </c>
      <c r="F1218" s="4" t="s">
        <v>67</v>
      </c>
      <c r="G1218" s="4" t="s">
        <v>920</v>
      </c>
      <c r="H1218" s="4"/>
      <c r="I1218" s="4" t="n">
        <v>3.5137</v>
      </c>
      <c r="J1218" s="4" t="str">
        <f aca="false">TRIM(E1218) &amp; TRIM(C1218) &amp; TRIM(D1218)</f>
        <v>Posted RecallSponsored Content Community VideoCZ</v>
      </c>
      <c r="K1218" s="4" t="n">
        <f aca="false">IFERROR(I1218*60,"")</f>
        <v>210.822</v>
      </c>
    </row>
    <row r="1219" customFormat="false" ht="15" hidden="false" customHeight="false" outlineLevel="0" collapsed="false">
      <c r="A1219" s="4" t="s">
        <v>15</v>
      </c>
      <c r="B1219" s="4" t="s">
        <v>899</v>
      </c>
      <c r="C1219" s="4" t="s">
        <v>900</v>
      </c>
      <c r="D1219" s="4" t="s">
        <v>130</v>
      </c>
      <c r="E1219" s="4" t="s">
        <v>66</v>
      </c>
      <c r="F1219" s="4" t="s">
        <v>67</v>
      </c>
      <c r="G1219" s="4" t="s">
        <v>934</v>
      </c>
      <c r="H1219" s="4"/>
      <c r="I1219" s="4" t="n">
        <v>1.0885</v>
      </c>
      <c r="J1219" s="4" t="str">
        <f aca="false">TRIM(E1219) &amp; TRIM(C1219) &amp; TRIM(D1219)</f>
        <v>Posted RecallSponsored Content Community VideoMA</v>
      </c>
      <c r="K1219" s="4" t="n">
        <f aca="false">IFERROR(I1219*60,"")</f>
        <v>65.31</v>
      </c>
    </row>
    <row r="1220" customFormat="false" ht="15" hidden="false" customHeight="false" outlineLevel="0" collapsed="false">
      <c r="A1220" s="4" t="s">
        <v>15</v>
      </c>
      <c r="B1220" s="4" t="s">
        <v>899</v>
      </c>
      <c r="C1220" s="4" t="s">
        <v>900</v>
      </c>
      <c r="D1220" s="4" t="s">
        <v>162</v>
      </c>
      <c r="E1220" s="4" t="s">
        <v>66</v>
      </c>
      <c r="F1220" s="4" t="s">
        <v>67</v>
      </c>
      <c r="G1220" s="4" t="s">
        <v>913</v>
      </c>
      <c r="H1220" s="4"/>
      <c r="I1220" s="4" t="n">
        <v>0.9625</v>
      </c>
      <c r="J1220" s="4" t="str">
        <f aca="false">TRIM(E1220) &amp; TRIM(C1220) &amp; TRIM(D1220)</f>
        <v>Posted RecallSponsored Content Community VideoJO</v>
      </c>
      <c r="K1220" s="4" t="n">
        <f aca="false">IFERROR(I1220*60,"")</f>
        <v>57.75</v>
      </c>
    </row>
    <row r="1221" customFormat="false" ht="15" hidden="false" customHeight="false" outlineLevel="0" collapsed="false">
      <c r="A1221" s="4" t="s">
        <v>15</v>
      </c>
      <c r="B1221" s="4" t="s">
        <v>899</v>
      </c>
      <c r="C1221" s="4" t="s">
        <v>900</v>
      </c>
      <c r="D1221" s="4" t="s">
        <v>185</v>
      </c>
      <c r="E1221" s="4" t="s">
        <v>66</v>
      </c>
      <c r="F1221" s="4" t="s">
        <v>67</v>
      </c>
      <c r="G1221" s="4" t="s">
        <v>969</v>
      </c>
      <c r="H1221" s="4"/>
      <c r="I1221" s="4" t="n">
        <v>1.3077</v>
      </c>
      <c r="J1221" s="4" t="str">
        <f aca="false">TRIM(E1221) &amp; TRIM(C1221) &amp; TRIM(D1221)</f>
        <v>Posted RecallSponsored Content Community VideoDK</v>
      </c>
      <c r="K1221" s="4" t="n">
        <f aca="false">IFERROR(I1221*60,"")</f>
        <v>78.462</v>
      </c>
    </row>
    <row r="1222" customFormat="false" ht="15" hidden="false" customHeight="false" outlineLevel="0" collapsed="false">
      <c r="A1222" s="4" t="s">
        <v>15</v>
      </c>
      <c r="B1222" s="4" t="s">
        <v>899</v>
      </c>
      <c r="C1222" s="4" t="s">
        <v>900</v>
      </c>
      <c r="D1222" s="4" t="s">
        <v>181</v>
      </c>
      <c r="E1222" s="4" t="s">
        <v>66</v>
      </c>
      <c r="F1222" s="4" t="s">
        <v>67</v>
      </c>
      <c r="G1222" s="4" t="s">
        <v>936</v>
      </c>
      <c r="H1222" s="4"/>
      <c r="I1222" s="4" t="n">
        <v>0.7528</v>
      </c>
      <c r="J1222" s="4" t="str">
        <f aca="false">TRIM(E1222) &amp; TRIM(C1222) &amp; TRIM(D1222)</f>
        <v>Posted RecallSponsored Content Community VideoLB</v>
      </c>
      <c r="K1222" s="4" t="n">
        <f aca="false">IFERROR(I1222*60,"")</f>
        <v>45.168</v>
      </c>
    </row>
    <row r="1223" customFormat="false" ht="15" hidden="false" customHeight="false" outlineLevel="0" collapsed="false">
      <c r="A1223" s="4" t="s">
        <v>15</v>
      </c>
      <c r="B1223" s="4" t="s">
        <v>899</v>
      </c>
      <c r="C1223" s="4" t="s">
        <v>900</v>
      </c>
      <c r="D1223" s="4" t="s">
        <v>150</v>
      </c>
      <c r="E1223" s="4" t="s">
        <v>59</v>
      </c>
      <c r="F1223" s="4" t="s">
        <v>59</v>
      </c>
      <c r="G1223" s="4" t="s">
        <v>904</v>
      </c>
      <c r="H1223" s="4"/>
      <c r="I1223" s="4" t="n">
        <v>2.8106</v>
      </c>
      <c r="J1223" s="4" t="str">
        <f aca="false">TRIM(E1223) &amp; TRIM(C1223) &amp; TRIM(D1223)</f>
        <v>Re-reviewSponsored Content Community VideoDE</v>
      </c>
      <c r="K1223" s="4" t="n">
        <f aca="false">IFERROR(I1223*60,"")</f>
        <v>168.636</v>
      </c>
    </row>
    <row r="1224" customFormat="false" ht="15" hidden="false" customHeight="false" outlineLevel="0" collapsed="false">
      <c r="A1224" s="4" t="s">
        <v>15</v>
      </c>
      <c r="B1224" s="4" t="s">
        <v>899</v>
      </c>
      <c r="C1224" s="4" t="s">
        <v>900</v>
      </c>
      <c r="D1224" s="4" t="s">
        <v>73</v>
      </c>
      <c r="E1224" s="4" t="s">
        <v>59</v>
      </c>
      <c r="F1224" s="4" t="s">
        <v>59</v>
      </c>
      <c r="G1224" s="4" t="s">
        <v>903</v>
      </c>
      <c r="H1224" s="4"/>
      <c r="I1224" s="4" t="n">
        <v>0.6861</v>
      </c>
      <c r="J1224" s="4" t="str">
        <f aca="false">TRIM(E1224) &amp; TRIM(C1224) &amp; TRIM(D1224)</f>
        <v>Re-reviewSponsored Content Community VideoIQ</v>
      </c>
      <c r="K1224" s="4" t="n">
        <f aca="false">IFERROR(I1224*60,"")</f>
        <v>41.166</v>
      </c>
    </row>
    <row r="1225" customFormat="false" ht="15" hidden="false" customHeight="false" outlineLevel="0" collapsed="false">
      <c r="A1225" s="4" t="s">
        <v>15</v>
      </c>
      <c r="B1225" s="4" t="s">
        <v>899</v>
      </c>
      <c r="C1225" s="4" t="s">
        <v>900</v>
      </c>
      <c r="D1225" s="4" t="s">
        <v>199</v>
      </c>
      <c r="E1225" s="4" t="s">
        <v>59</v>
      </c>
      <c r="F1225" s="4" t="s">
        <v>59</v>
      </c>
      <c r="G1225" s="4" t="s">
        <v>961</v>
      </c>
      <c r="H1225" s="4"/>
      <c r="I1225" s="4" t="n">
        <v>0.3815</v>
      </c>
      <c r="J1225" s="4" t="str">
        <f aca="false">TRIM(E1225) &amp; TRIM(C1225) &amp; TRIM(D1225)</f>
        <v>Re-reviewSponsored Content Community VideoBH</v>
      </c>
      <c r="K1225" s="4" t="n">
        <f aca="false">IFERROR(I1225*60,"")</f>
        <v>22.89</v>
      </c>
    </row>
    <row r="1226" customFormat="false" ht="15" hidden="false" customHeight="false" outlineLevel="0" collapsed="false">
      <c r="A1226" s="4" t="s">
        <v>15</v>
      </c>
      <c r="B1226" s="4" t="s">
        <v>899</v>
      </c>
      <c r="C1226" s="4" t="s">
        <v>900</v>
      </c>
      <c r="D1226" s="4" t="s">
        <v>210</v>
      </c>
      <c r="E1226" s="4" t="s">
        <v>63</v>
      </c>
      <c r="F1226" s="4" t="s">
        <v>63</v>
      </c>
      <c r="G1226" s="4" t="s">
        <v>917</v>
      </c>
      <c r="H1226" s="4"/>
      <c r="I1226" s="4" t="n">
        <v>1.0911</v>
      </c>
      <c r="J1226" s="4" t="str">
        <f aca="false">TRIM(E1226) &amp; TRIM(C1226) &amp; TRIM(D1226)</f>
        <v>First ReviewSponsored Content Community VideoPK</v>
      </c>
      <c r="K1226" s="4" t="n">
        <f aca="false">IFERROR(I1226*60,"")</f>
        <v>65.466</v>
      </c>
    </row>
    <row r="1227" customFormat="false" ht="15" hidden="false" customHeight="false" outlineLevel="0" collapsed="false">
      <c r="A1227" s="4" t="s">
        <v>15</v>
      </c>
      <c r="B1227" s="4" t="s">
        <v>899</v>
      </c>
      <c r="C1227" s="4" t="s">
        <v>900</v>
      </c>
      <c r="D1227" s="4" t="s">
        <v>299</v>
      </c>
      <c r="E1227" s="4" t="s">
        <v>66</v>
      </c>
      <c r="F1227" s="4" t="s">
        <v>67</v>
      </c>
      <c r="G1227" s="4" t="s">
        <v>919</v>
      </c>
      <c r="H1227" s="4"/>
      <c r="I1227" s="4" t="n">
        <v>0.8688</v>
      </c>
      <c r="J1227" s="4" t="str">
        <f aca="false">TRIM(E1227) &amp; TRIM(C1227) &amp; TRIM(D1227)</f>
        <v>Posted RecallSponsored Content Community VideoQA</v>
      </c>
      <c r="K1227" s="4" t="n">
        <f aca="false">IFERROR(I1227*60,"")</f>
        <v>52.128</v>
      </c>
    </row>
    <row r="1228" customFormat="false" ht="15" hidden="false" customHeight="false" outlineLevel="0" collapsed="false">
      <c r="A1228" s="4" t="s">
        <v>15</v>
      </c>
      <c r="B1228" s="4" t="s">
        <v>973</v>
      </c>
      <c r="C1228" s="4" t="s">
        <v>974</v>
      </c>
      <c r="D1228" s="4" t="s">
        <v>73</v>
      </c>
      <c r="E1228" s="4" t="s">
        <v>63</v>
      </c>
      <c r="F1228" s="4" t="s">
        <v>63</v>
      </c>
      <c r="G1228" s="4" t="s">
        <v>975</v>
      </c>
      <c r="H1228" s="4"/>
      <c r="I1228" s="4" t="n">
        <v>11.7211</v>
      </c>
      <c r="J1228" s="4" t="str">
        <f aca="false">TRIM(E1228) &amp; TRIM(C1228) &amp; TRIM(D1228)</f>
        <v>First ReviewHighlight ViewIQ</v>
      </c>
      <c r="K1228" s="4" t="n">
        <f aca="false">IFERROR(I1228*60,"")</f>
        <v>703.266</v>
      </c>
    </row>
    <row r="1229" customFormat="false" ht="15" hidden="false" customHeight="false" outlineLevel="0" collapsed="false">
      <c r="A1229" s="4" t="s">
        <v>15</v>
      </c>
      <c r="B1229" s="4" t="s">
        <v>973</v>
      </c>
      <c r="C1229" s="4" t="s">
        <v>974</v>
      </c>
      <c r="D1229" s="4" t="s">
        <v>89</v>
      </c>
      <c r="E1229" s="4" t="s">
        <v>63</v>
      </c>
      <c r="F1229" s="4" t="s">
        <v>63</v>
      </c>
      <c r="G1229" s="4" t="s">
        <v>976</v>
      </c>
      <c r="H1229" s="4"/>
      <c r="I1229" s="4" t="n">
        <v>10.2155</v>
      </c>
      <c r="J1229" s="4" t="str">
        <f aca="false">TRIM(E1229) &amp; TRIM(C1229) &amp; TRIM(D1229)</f>
        <v>First ReviewHighlight ViewFI</v>
      </c>
      <c r="K1229" s="4" t="n">
        <f aca="false">IFERROR(I1229*60,"")</f>
        <v>612.93</v>
      </c>
    </row>
    <row r="1230" customFormat="false" ht="15" hidden="false" customHeight="false" outlineLevel="0" collapsed="false">
      <c r="A1230" s="4" t="s">
        <v>15</v>
      </c>
      <c r="B1230" s="4" t="s">
        <v>973</v>
      </c>
      <c r="C1230" s="4" t="s">
        <v>977</v>
      </c>
      <c r="D1230" s="4" t="s">
        <v>306</v>
      </c>
      <c r="E1230" s="4" t="s">
        <v>63</v>
      </c>
      <c r="F1230" s="4" t="s">
        <v>63</v>
      </c>
      <c r="G1230" s="4" t="s">
        <v>978</v>
      </c>
      <c r="H1230" s="4"/>
      <c r="I1230" s="4" t="n">
        <v>1.6327</v>
      </c>
      <c r="J1230" s="4" t="str">
        <f aca="false">TRIM(E1230) &amp; TRIM(C1230) &amp; TRIM(D1230)</f>
        <v>First ReviewCommunity Interaction LivestreamTH</v>
      </c>
      <c r="K1230" s="4" t="n">
        <f aca="false">IFERROR(I1230*60,"")</f>
        <v>97.962</v>
      </c>
    </row>
    <row r="1231" customFormat="false" ht="15" hidden="false" customHeight="false" outlineLevel="0" collapsed="false">
      <c r="A1231" s="4" t="s">
        <v>15</v>
      </c>
      <c r="B1231" s="4" t="s">
        <v>973</v>
      </c>
      <c r="C1231" s="4" t="s">
        <v>979</v>
      </c>
      <c r="D1231" s="4" t="s">
        <v>58</v>
      </c>
      <c r="E1231" s="4" t="s">
        <v>63</v>
      </c>
      <c r="F1231" s="4" t="s">
        <v>63</v>
      </c>
      <c r="G1231" s="4" t="s">
        <v>980</v>
      </c>
      <c r="H1231" s="4"/>
      <c r="I1231" s="4" t="n">
        <v>0.992</v>
      </c>
      <c r="J1231" s="4" t="str">
        <f aca="false">TRIM(E1231) &amp; TRIM(C1231) &amp; TRIM(D1231)</f>
        <v>First ReviewBooking Ads Pre ApprovalSG</v>
      </c>
      <c r="K1231" s="4" t="n">
        <f aca="false">IFERROR(I1231*60,"")</f>
        <v>59.52</v>
      </c>
    </row>
    <row r="1232" customFormat="false" ht="15" hidden="false" customHeight="false" outlineLevel="0" collapsed="false">
      <c r="A1232" s="4" t="s">
        <v>15</v>
      </c>
      <c r="B1232" s="4" t="s">
        <v>973</v>
      </c>
      <c r="C1232" s="4" t="s">
        <v>977</v>
      </c>
      <c r="D1232" s="4" t="s">
        <v>190</v>
      </c>
      <c r="E1232" s="4" t="s">
        <v>66</v>
      </c>
      <c r="F1232" s="4" t="s">
        <v>67</v>
      </c>
      <c r="G1232" s="4" t="s">
        <v>981</v>
      </c>
      <c r="H1232" s="4"/>
      <c r="I1232" s="4" t="n">
        <v>0.3826</v>
      </c>
      <c r="J1232" s="4" t="str">
        <f aca="false">TRIM(E1232) &amp; TRIM(C1232) &amp; TRIM(D1232)</f>
        <v>Posted RecallCommunity Interaction LivestreamPH</v>
      </c>
      <c r="K1232" s="4" t="n">
        <f aca="false">IFERROR(I1232*60,"")</f>
        <v>22.956</v>
      </c>
    </row>
    <row r="1233" customFormat="false" ht="15" hidden="false" customHeight="false" outlineLevel="0" collapsed="false">
      <c r="A1233" s="4" t="s">
        <v>15</v>
      </c>
      <c r="B1233" s="4" t="s">
        <v>973</v>
      </c>
      <c r="C1233" s="4" t="s">
        <v>979</v>
      </c>
      <c r="D1233" s="4" t="s">
        <v>251</v>
      </c>
      <c r="E1233" s="4" t="s">
        <v>63</v>
      </c>
      <c r="F1233" s="4" t="s">
        <v>63</v>
      </c>
      <c r="G1233" s="4" t="s">
        <v>982</v>
      </c>
      <c r="H1233" s="4"/>
      <c r="I1233" s="4" t="n">
        <v>17.232</v>
      </c>
      <c r="J1233" s="4" t="str">
        <f aca="false">TRIM(E1233) &amp; TRIM(C1233) &amp; TRIM(D1233)</f>
        <v>First ReviewBooking Ads Pre ApprovalRO</v>
      </c>
      <c r="K1233" s="4" t="n">
        <f aca="false">IFERROR(I1233*60,"")</f>
        <v>1033.92</v>
      </c>
    </row>
    <row r="1234" customFormat="false" ht="15" hidden="false" customHeight="false" outlineLevel="0" collapsed="false">
      <c r="A1234" s="4" t="s">
        <v>15</v>
      </c>
      <c r="B1234" s="4" t="s">
        <v>973</v>
      </c>
      <c r="C1234" s="4" t="s">
        <v>979</v>
      </c>
      <c r="D1234" s="4" t="s">
        <v>192</v>
      </c>
      <c r="E1234" s="4" t="s">
        <v>63</v>
      </c>
      <c r="F1234" s="4" t="s">
        <v>63</v>
      </c>
      <c r="G1234" s="4" t="s">
        <v>983</v>
      </c>
      <c r="H1234" s="4"/>
      <c r="I1234" s="4" t="n">
        <v>18.1943</v>
      </c>
      <c r="J1234" s="4" t="str">
        <f aca="false">TRIM(E1234) &amp; TRIM(C1234) &amp; TRIM(D1234)</f>
        <v>First ReviewBooking Ads Pre ApprovalGT</v>
      </c>
      <c r="K1234" s="4" t="n">
        <f aca="false">IFERROR(I1234*60,"")</f>
        <v>1091.658</v>
      </c>
    </row>
    <row r="1235" customFormat="false" ht="15" hidden="false" customHeight="false" outlineLevel="0" collapsed="false">
      <c r="A1235" s="4" t="s">
        <v>15</v>
      </c>
      <c r="B1235" s="4" t="s">
        <v>973</v>
      </c>
      <c r="C1235" s="4" t="s">
        <v>979</v>
      </c>
      <c r="D1235" s="4" t="s">
        <v>168</v>
      </c>
      <c r="E1235" s="4" t="s">
        <v>63</v>
      </c>
      <c r="F1235" s="4" t="s">
        <v>63</v>
      </c>
      <c r="G1235" s="4" t="s">
        <v>984</v>
      </c>
      <c r="H1235" s="4"/>
      <c r="I1235" s="4" t="n">
        <v>15.7257</v>
      </c>
      <c r="J1235" s="4" t="str">
        <f aca="false">TRIM(E1235) &amp; TRIM(C1235) &amp; TRIM(D1235)</f>
        <v>First ReviewBooking Ads Pre ApprovalKZ</v>
      </c>
      <c r="K1235" s="4" t="n">
        <f aca="false">IFERROR(I1235*60,"")</f>
        <v>943.542</v>
      </c>
    </row>
    <row r="1236" customFormat="false" ht="15" hidden="false" customHeight="false" outlineLevel="0" collapsed="false">
      <c r="A1236" s="4" t="s">
        <v>15</v>
      </c>
      <c r="B1236" s="4" t="s">
        <v>973</v>
      </c>
      <c r="C1236" s="4" t="s">
        <v>985</v>
      </c>
      <c r="D1236" s="4" t="s">
        <v>87</v>
      </c>
      <c r="E1236" s="4" t="s">
        <v>63</v>
      </c>
      <c r="F1236" s="4" t="s">
        <v>63</v>
      </c>
      <c r="G1236" s="4" t="s">
        <v>986</v>
      </c>
      <c r="H1236" s="4"/>
      <c r="I1236" s="4" t="n">
        <v>0.2103</v>
      </c>
      <c r="J1236" s="4" t="str">
        <f aca="false">TRIM(E1236) &amp; TRIM(C1236) &amp; TRIM(D1236)</f>
        <v>First ReviewR&amp;F AdsAE</v>
      </c>
      <c r="K1236" s="4" t="n">
        <f aca="false">IFERROR(I1236*60,"")</f>
        <v>12.618</v>
      </c>
    </row>
    <row r="1237" customFormat="false" ht="15" hidden="false" customHeight="false" outlineLevel="0" collapsed="false">
      <c r="A1237" s="4" t="s">
        <v>15</v>
      </c>
      <c r="B1237" s="4" t="s">
        <v>973</v>
      </c>
      <c r="C1237" s="4" t="s">
        <v>974</v>
      </c>
      <c r="D1237" s="4" t="s">
        <v>235</v>
      </c>
      <c r="E1237" s="4" t="s">
        <v>63</v>
      </c>
      <c r="F1237" s="4" t="s">
        <v>63</v>
      </c>
      <c r="G1237" s="4" t="s">
        <v>987</v>
      </c>
      <c r="H1237" s="4"/>
      <c r="I1237" s="4" t="n">
        <v>12.6567</v>
      </c>
      <c r="J1237" s="4" t="str">
        <f aca="false">TRIM(E1237) &amp; TRIM(C1237) &amp; TRIM(D1237)</f>
        <v>First ReviewHighlight ViewJP</v>
      </c>
      <c r="K1237" s="4" t="n">
        <f aca="false">IFERROR(I1237*60,"")</f>
        <v>759.402</v>
      </c>
    </row>
    <row r="1238" customFormat="false" ht="15" hidden="false" customHeight="false" outlineLevel="0" collapsed="false">
      <c r="A1238" s="4" t="s">
        <v>15</v>
      </c>
      <c r="B1238" s="4" t="s">
        <v>973</v>
      </c>
      <c r="C1238" s="4" t="s">
        <v>979</v>
      </c>
      <c r="D1238" s="4" t="s">
        <v>102</v>
      </c>
      <c r="E1238" s="4" t="s">
        <v>63</v>
      </c>
      <c r="F1238" s="4" t="s">
        <v>63</v>
      </c>
      <c r="G1238" s="4" t="s">
        <v>988</v>
      </c>
      <c r="H1238" s="4"/>
      <c r="I1238" s="4" t="n">
        <v>10.1287</v>
      </c>
      <c r="J1238" s="4" t="str">
        <f aca="false">TRIM(E1238) &amp; TRIM(C1238) &amp; TRIM(D1238)</f>
        <v>First ReviewBooking Ads Pre ApprovalSE</v>
      </c>
      <c r="K1238" s="4" t="n">
        <f aca="false">IFERROR(I1238*60,"")</f>
        <v>607.722</v>
      </c>
    </row>
    <row r="1239" customFormat="false" ht="15" hidden="false" customHeight="false" outlineLevel="0" collapsed="false">
      <c r="A1239" s="4" t="s">
        <v>15</v>
      </c>
      <c r="B1239" s="4" t="s">
        <v>973</v>
      </c>
      <c r="C1239" s="4" t="s">
        <v>989</v>
      </c>
      <c r="D1239" s="4" t="s">
        <v>235</v>
      </c>
      <c r="E1239" s="4" t="s">
        <v>63</v>
      </c>
      <c r="F1239" s="4" t="s">
        <v>63</v>
      </c>
      <c r="G1239" s="4" t="s">
        <v>990</v>
      </c>
      <c r="H1239" s="4"/>
      <c r="I1239" s="4" t="n">
        <v>1.8667</v>
      </c>
      <c r="J1239" s="4" t="str">
        <f aca="false">TRIM(E1239) &amp; TRIM(C1239) &amp; TRIM(D1239)</f>
        <v>First ReviewMedia AdsJP</v>
      </c>
      <c r="K1239" s="4" t="n">
        <f aca="false">IFERROR(I1239*60,"")</f>
        <v>112.002</v>
      </c>
    </row>
    <row r="1240" customFormat="false" ht="15" hidden="false" customHeight="false" outlineLevel="0" collapsed="false">
      <c r="A1240" s="4" t="s">
        <v>15</v>
      </c>
      <c r="B1240" s="4" t="s">
        <v>973</v>
      </c>
      <c r="C1240" s="4" t="s">
        <v>974</v>
      </c>
      <c r="D1240" s="4" t="s">
        <v>62</v>
      </c>
      <c r="E1240" s="4" t="s">
        <v>63</v>
      </c>
      <c r="F1240" s="4" t="s">
        <v>63</v>
      </c>
      <c r="G1240" s="4" t="s">
        <v>991</v>
      </c>
      <c r="H1240" s="4"/>
      <c r="I1240" s="4" t="n">
        <v>11.2861</v>
      </c>
      <c r="J1240" s="4" t="str">
        <f aca="false">TRIM(E1240) &amp; TRIM(C1240) &amp; TRIM(D1240)</f>
        <v>First ReviewHighlight ViewCL</v>
      </c>
      <c r="K1240" s="4" t="n">
        <f aca="false">IFERROR(I1240*60,"")</f>
        <v>677.166</v>
      </c>
    </row>
    <row r="1241" customFormat="false" ht="15" hidden="false" customHeight="false" outlineLevel="0" collapsed="false">
      <c r="A1241" s="4" t="s">
        <v>15</v>
      </c>
      <c r="B1241" s="4" t="s">
        <v>973</v>
      </c>
      <c r="C1241" s="4" t="s">
        <v>974</v>
      </c>
      <c r="D1241" s="4" t="s">
        <v>100</v>
      </c>
      <c r="E1241" s="4" t="s">
        <v>63</v>
      </c>
      <c r="F1241" s="4" t="s">
        <v>63</v>
      </c>
      <c r="G1241" s="4" t="s">
        <v>992</v>
      </c>
      <c r="H1241" s="4"/>
      <c r="I1241" s="4" t="n">
        <v>2.8759</v>
      </c>
      <c r="J1241" s="4" t="str">
        <f aca="false">TRIM(E1241) &amp; TRIM(C1241) &amp; TRIM(D1241)</f>
        <v>First ReviewHighlight ViewAU</v>
      </c>
      <c r="K1241" s="4" t="n">
        <f aca="false">IFERROR(I1241*60,"")</f>
        <v>172.554</v>
      </c>
    </row>
    <row r="1242" customFormat="false" ht="15" hidden="false" customHeight="false" outlineLevel="0" collapsed="false">
      <c r="A1242" s="4" t="s">
        <v>15</v>
      </c>
      <c r="B1242" s="4" t="s">
        <v>973</v>
      </c>
      <c r="C1242" s="4" t="s">
        <v>979</v>
      </c>
      <c r="D1242" s="4" t="s">
        <v>275</v>
      </c>
      <c r="E1242" s="4" t="s">
        <v>63</v>
      </c>
      <c r="F1242" s="4" t="s">
        <v>63</v>
      </c>
      <c r="G1242" s="4" t="s">
        <v>993</v>
      </c>
      <c r="H1242" s="4"/>
      <c r="I1242" s="4" t="n">
        <v>7.3174</v>
      </c>
      <c r="J1242" s="4" t="str">
        <f aca="false">TRIM(E1242) &amp; TRIM(C1242) &amp; TRIM(D1242)</f>
        <v>First ReviewBooking Ads Pre ApprovalGB</v>
      </c>
      <c r="K1242" s="4" t="n">
        <f aca="false">IFERROR(I1242*60,"")</f>
        <v>439.044</v>
      </c>
    </row>
    <row r="1243" customFormat="false" ht="15" hidden="false" customHeight="false" outlineLevel="0" collapsed="false">
      <c r="A1243" s="4" t="s">
        <v>15</v>
      </c>
      <c r="B1243" s="4" t="s">
        <v>973</v>
      </c>
      <c r="C1243" s="4" t="s">
        <v>979</v>
      </c>
      <c r="D1243" s="4" t="s">
        <v>255</v>
      </c>
      <c r="E1243" s="4" t="s">
        <v>63</v>
      </c>
      <c r="F1243" s="4" t="s">
        <v>63</v>
      </c>
      <c r="G1243" s="4" t="s">
        <v>994</v>
      </c>
      <c r="H1243" s="4"/>
      <c r="I1243" s="4" t="n">
        <v>0.6312</v>
      </c>
      <c r="J1243" s="4" t="str">
        <f aca="false">TRIM(E1243) &amp; TRIM(C1243) &amp; TRIM(D1243)</f>
        <v>First ReviewBooking Ads Pre ApprovalNZ</v>
      </c>
      <c r="K1243" s="4" t="n">
        <f aca="false">IFERROR(I1243*60,"")</f>
        <v>37.872</v>
      </c>
    </row>
    <row r="1244" customFormat="false" ht="15" hidden="false" customHeight="false" outlineLevel="0" collapsed="false">
      <c r="A1244" s="4" t="s">
        <v>15</v>
      </c>
      <c r="B1244" s="4" t="s">
        <v>973</v>
      </c>
      <c r="C1244" s="4" t="s">
        <v>979</v>
      </c>
      <c r="D1244" s="4" t="s">
        <v>362</v>
      </c>
      <c r="E1244" s="4" t="s">
        <v>63</v>
      </c>
      <c r="F1244" s="4" t="s">
        <v>63</v>
      </c>
      <c r="G1244" s="4" t="s">
        <v>995</v>
      </c>
      <c r="H1244" s="4"/>
      <c r="I1244" s="4" t="n">
        <v>22.2162</v>
      </c>
      <c r="J1244" s="4" t="str">
        <f aca="false">TRIM(E1244) &amp; TRIM(C1244) &amp; TRIM(D1244)</f>
        <v>First ReviewBooking Ads Pre ApprovalPA</v>
      </c>
      <c r="K1244" s="4" t="n">
        <f aca="false">IFERROR(I1244*60,"")</f>
        <v>1332.972</v>
      </c>
    </row>
    <row r="1245" customFormat="false" ht="15" hidden="false" customHeight="false" outlineLevel="0" collapsed="false">
      <c r="A1245" s="4" t="s">
        <v>15</v>
      </c>
      <c r="B1245" s="4" t="s">
        <v>973</v>
      </c>
      <c r="C1245" s="4" t="s">
        <v>989</v>
      </c>
      <c r="D1245" s="4" t="s">
        <v>58</v>
      </c>
      <c r="E1245" s="4" t="s">
        <v>63</v>
      </c>
      <c r="F1245" s="4" t="s">
        <v>63</v>
      </c>
      <c r="G1245" s="4" t="s">
        <v>996</v>
      </c>
      <c r="H1245" s="4"/>
      <c r="I1245" s="4" t="n">
        <v>0.9087</v>
      </c>
      <c r="J1245" s="4" t="str">
        <f aca="false">TRIM(E1245) &amp; TRIM(C1245) &amp; TRIM(D1245)</f>
        <v>First ReviewMedia AdsSG</v>
      </c>
      <c r="K1245" s="4" t="n">
        <f aca="false">IFERROR(I1245*60,"")</f>
        <v>54.522</v>
      </c>
    </row>
    <row r="1246" customFormat="false" ht="15" hidden="false" customHeight="false" outlineLevel="0" collapsed="false">
      <c r="A1246" s="4" t="s">
        <v>15</v>
      </c>
      <c r="B1246" s="4" t="s">
        <v>973</v>
      </c>
      <c r="C1246" s="4" t="s">
        <v>974</v>
      </c>
      <c r="D1246" s="4" t="s">
        <v>130</v>
      </c>
      <c r="E1246" s="4" t="s">
        <v>63</v>
      </c>
      <c r="F1246" s="4" t="s">
        <v>63</v>
      </c>
      <c r="G1246" s="4" t="s">
        <v>997</v>
      </c>
      <c r="H1246" s="4"/>
      <c r="I1246" s="4" t="n">
        <v>8.3781</v>
      </c>
      <c r="J1246" s="4" t="str">
        <f aca="false">TRIM(E1246) &amp; TRIM(C1246) &amp; TRIM(D1246)</f>
        <v>First ReviewHighlight ViewMA</v>
      </c>
      <c r="K1246" s="4" t="n">
        <f aca="false">IFERROR(I1246*60,"")</f>
        <v>502.686</v>
      </c>
    </row>
    <row r="1247" customFormat="false" ht="15" hidden="false" customHeight="false" outlineLevel="0" collapsed="false">
      <c r="A1247" s="4" t="s">
        <v>15</v>
      </c>
      <c r="B1247" s="4" t="s">
        <v>973</v>
      </c>
      <c r="C1247" s="4" t="s">
        <v>977</v>
      </c>
      <c r="D1247" s="4" t="s">
        <v>121</v>
      </c>
      <c r="E1247" s="4" t="s">
        <v>66</v>
      </c>
      <c r="F1247" s="4" t="s">
        <v>67</v>
      </c>
      <c r="G1247" s="4" t="s">
        <v>998</v>
      </c>
      <c r="H1247" s="4"/>
      <c r="I1247" s="4" t="n">
        <v>1.5997</v>
      </c>
      <c r="J1247" s="4" t="str">
        <f aca="false">TRIM(E1247) &amp; TRIM(C1247) &amp; TRIM(D1247)</f>
        <v>Posted RecallCommunity Interaction LivestreamKR</v>
      </c>
      <c r="K1247" s="4" t="n">
        <f aca="false">IFERROR(I1247*60,"")</f>
        <v>95.982</v>
      </c>
    </row>
    <row r="1248" customFormat="false" ht="15" hidden="false" customHeight="false" outlineLevel="0" collapsed="false">
      <c r="A1248" s="4" t="s">
        <v>15</v>
      </c>
      <c r="B1248" s="4" t="s">
        <v>973</v>
      </c>
      <c r="C1248" s="4" t="s">
        <v>974</v>
      </c>
      <c r="D1248" s="4" t="s">
        <v>164</v>
      </c>
      <c r="E1248" s="4" t="s">
        <v>63</v>
      </c>
      <c r="F1248" s="4" t="s">
        <v>63</v>
      </c>
      <c r="G1248" s="4" t="s">
        <v>999</v>
      </c>
      <c r="H1248" s="4"/>
      <c r="I1248" s="4" t="n">
        <v>11.869</v>
      </c>
      <c r="J1248" s="4" t="str">
        <f aca="false">TRIM(E1248) &amp; TRIM(C1248) &amp; TRIM(D1248)</f>
        <v>First ReviewHighlight ViewCR</v>
      </c>
      <c r="K1248" s="4" t="n">
        <f aca="false">IFERROR(I1248*60,"")</f>
        <v>712.14</v>
      </c>
    </row>
    <row r="1249" customFormat="false" ht="15" hidden="false" customHeight="false" outlineLevel="0" collapsed="false">
      <c r="A1249" s="4" t="s">
        <v>15</v>
      </c>
      <c r="B1249" s="4" t="s">
        <v>973</v>
      </c>
      <c r="C1249" s="4" t="s">
        <v>979</v>
      </c>
      <c r="D1249" s="4" t="s">
        <v>159</v>
      </c>
      <c r="E1249" s="4" t="s">
        <v>63</v>
      </c>
      <c r="F1249" s="4" t="s">
        <v>63</v>
      </c>
      <c r="G1249" s="4" t="s">
        <v>1000</v>
      </c>
      <c r="H1249" s="4"/>
      <c r="I1249" s="4" t="n">
        <v>25.1542</v>
      </c>
      <c r="J1249" s="4" t="str">
        <f aca="false">TRIM(E1249) &amp; TRIM(C1249) &amp; TRIM(D1249)</f>
        <v>First ReviewBooking Ads Pre ApprovalDO</v>
      </c>
      <c r="K1249" s="4" t="n">
        <f aca="false">IFERROR(I1249*60,"")</f>
        <v>1509.252</v>
      </c>
    </row>
    <row r="1250" customFormat="false" ht="15" hidden="false" customHeight="false" outlineLevel="0" collapsed="false">
      <c r="A1250" s="4" t="s">
        <v>15</v>
      </c>
      <c r="B1250" s="4" t="s">
        <v>973</v>
      </c>
      <c r="C1250" s="4" t="s">
        <v>989</v>
      </c>
      <c r="D1250" s="4" t="s">
        <v>255</v>
      </c>
      <c r="E1250" s="4" t="s">
        <v>63</v>
      </c>
      <c r="F1250" s="4" t="s">
        <v>63</v>
      </c>
      <c r="G1250" s="4" t="s">
        <v>1001</v>
      </c>
      <c r="H1250" s="4"/>
      <c r="I1250" s="4" t="n">
        <v>0.2859</v>
      </c>
      <c r="J1250" s="4" t="str">
        <f aca="false">TRIM(E1250) &amp; TRIM(C1250) &amp; TRIM(D1250)</f>
        <v>First ReviewMedia AdsNZ</v>
      </c>
      <c r="K1250" s="4" t="n">
        <f aca="false">IFERROR(I1250*60,"")</f>
        <v>17.154</v>
      </c>
    </row>
    <row r="1251" customFormat="false" ht="15" hidden="false" customHeight="false" outlineLevel="0" collapsed="false">
      <c r="A1251" s="4" t="s">
        <v>15</v>
      </c>
      <c r="B1251" s="4" t="s">
        <v>973</v>
      </c>
      <c r="C1251" s="4" t="s">
        <v>985</v>
      </c>
      <c r="D1251" s="4" t="s">
        <v>58</v>
      </c>
      <c r="E1251" s="4" t="s">
        <v>63</v>
      </c>
      <c r="F1251" s="4" t="s">
        <v>63</v>
      </c>
      <c r="G1251" s="4" t="s">
        <v>1002</v>
      </c>
      <c r="H1251" s="4"/>
      <c r="I1251" s="4" t="n">
        <v>1.5061</v>
      </c>
      <c r="J1251" s="4" t="str">
        <f aca="false">TRIM(E1251) &amp; TRIM(C1251) &amp; TRIM(D1251)</f>
        <v>First ReviewR&amp;F AdsSG</v>
      </c>
      <c r="K1251" s="4" t="n">
        <f aca="false">IFERROR(I1251*60,"")</f>
        <v>90.366</v>
      </c>
    </row>
    <row r="1252" customFormat="false" ht="15" hidden="false" customHeight="false" outlineLevel="0" collapsed="false">
      <c r="A1252" s="4" t="s">
        <v>15</v>
      </c>
      <c r="B1252" s="4" t="s">
        <v>973</v>
      </c>
      <c r="C1252" s="4" t="s">
        <v>979</v>
      </c>
      <c r="D1252" s="4" t="s">
        <v>117</v>
      </c>
      <c r="E1252" s="4" t="s">
        <v>63</v>
      </c>
      <c r="F1252" s="4" t="s">
        <v>63</v>
      </c>
      <c r="G1252" s="4" t="s">
        <v>1003</v>
      </c>
      <c r="H1252" s="4"/>
      <c r="I1252" s="4" t="n">
        <v>0.106</v>
      </c>
      <c r="J1252" s="4" t="str">
        <f aca="false">TRIM(E1252) &amp; TRIM(C1252) &amp; TRIM(D1252)</f>
        <v>First ReviewBooking Ads Pre ApprovalAR</v>
      </c>
      <c r="K1252" s="4" t="n">
        <f aca="false">IFERROR(I1252*60,"")</f>
        <v>6.36</v>
      </c>
    </row>
    <row r="1253" customFormat="false" ht="15" hidden="false" customHeight="false" outlineLevel="0" collapsed="false">
      <c r="A1253" s="4" t="s">
        <v>15</v>
      </c>
      <c r="B1253" s="4" t="s">
        <v>973</v>
      </c>
      <c r="C1253" s="4" t="s">
        <v>977</v>
      </c>
      <c r="D1253" s="4" t="s">
        <v>284</v>
      </c>
      <c r="E1253" s="4" t="s">
        <v>66</v>
      </c>
      <c r="F1253" s="4" t="s">
        <v>67</v>
      </c>
      <c r="G1253" s="4" t="s">
        <v>1004</v>
      </c>
      <c r="H1253" s="4"/>
      <c r="I1253" s="4" t="n">
        <v>1.7179</v>
      </c>
      <c r="J1253" s="4" t="str">
        <f aca="false">TRIM(E1253) &amp; TRIM(C1253) &amp; TRIM(D1253)</f>
        <v>Posted RecallCommunity Interaction LivestreamTR</v>
      </c>
      <c r="K1253" s="4" t="n">
        <f aca="false">IFERROR(I1253*60,"")</f>
        <v>103.074</v>
      </c>
    </row>
    <row r="1254" customFormat="false" ht="15" hidden="false" customHeight="false" outlineLevel="0" collapsed="false">
      <c r="A1254" s="4" t="s">
        <v>15</v>
      </c>
      <c r="B1254" s="4" t="s">
        <v>973</v>
      </c>
      <c r="C1254" s="4" t="s">
        <v>974</v>
      </c>
      <c r="D1254" s="4" t="s">
        <v>190</v>
      </c>
      <c r="E1254" s="4" t="s">
        <v>63</v>
      </c>
      <c r="F1254" s="4" t="s">
        <v>63</v>
      </c>
      <c r="G1254" s="4" t="s">
        <v>1005</v>
      </c>
      <c r="H1254" s="4"/>
      <c r="I1254" s="4" t="n">
        <v>7.822</v>
      </c>
      <c r="J1254" s="4" t="str">
        <f aca="false">TRIM(E1254) &amp; TRIM(C1254) &amp; TRIM(D1254)</f>
        <v>First ReviewHighlight ViewPH</v>
      </c>
      <c r="K1254" s="4" t="n">
        <f aca="false">IFERROR(I1254*60,"")</f>
        <v>469.32</v>
      </c>
    </row>
    <row r="1255" customFormat="false" ht="15" hidden="false" customHeight="false" outlineLevel="0" collapsed="false">
      <c r="A1255" s="4" t="s">
        <v>15</v>
      </c>
      <c r="B1255" s="4" t="s">
        <v>973</v>
      </c>
      <c r="C1255" s="4" t="s">
        <v>979</v>
      </c>
      <c r="D1255" s="4" t="s">
        <v>210</v>
      </c>
      <c r="E1255" s="4" t="s">
        <v>63</v>
      </c>
      <c r="F1255" s="4" t="s">
        <v>63</v>
      </c>
      <c r="G1255" s="4" t="s">
        <v>1006</v>
      </c>
      <c r="H1255" s="4"/>
      <c r="I1255" s="4" t="n">
        <v>6.3414</v>
      </c>
      <c r="J1255" s="4" t="str">
        <f aca="false">TRIM(E1255) &amp; TRIM(C1255) &amp; TRIM(D1255)</f>
        <v>First ReviewBooking Ads Pre ApprovalPK</v>
      </c>
      <c r="K1255" s="4" t="n">
        <f aca="false">IFERROR(I1255*60,"")</f>
        <v>380.484</v>
      </c>
    </row>
    <row r="1256" customFormat="false" ht="15" hidden="false" customHeight="false" outlineLevel="0" collapsed="false">
      <c r="A1256" s="4" t="s">
        <v>15</v>
      </c>
      <c r="B1256" s="4" t="s">
        <v>973</v>
      </c>
      <c r="C1256" s="4" t="s">
        <v>989</v>
      </c>
      <c r="D1256" s="4" t="s">
        <v>95</v>
      </c>
      <c r="E1256" s="4" t="s">
        <v>63</v>
      </c>
      <c r="F1256" s="4" t="s">
        <v>63</v>
      </c>
      <c r="G1256" s="4" t="s">
        <v>1007</v>
      </c>
      <c r="H1256" s="4"/>
      <c r="I1256" s="4" t="n">
        <v>0.2568</v>
      </c>
      <c r="J1256" s="4" t="str">
        <f aca="false">TRIM(E1256) &amp; TRIM(C1256) &amp; TRIM(D1256)</f>
        <v>First ReviewMedia AdsVN</v>
      </c>
      <c r="K1256" s="4" t="n">
        <f aca="false">IFERROR(I1256*60,"")</f>
        <v>15.408</v>
      </c>
    </row>
    <row r="1257" customFormat="false" ht="15" hidden="false" customHeight="false" outlineLevel="0" collapsed="false">
      <c r="A1257" s="4" t="s">
        <v>15</v>
      </c>
      <c r="B1257" s="4" t="s">
        <v>973</v>
      </c>
      <c r="C1257" s="4" t="s">
        <v>979</v>
      </c>
      <c r="D1257" s="4" t="s">
        <v>306</v>
      </c>
      <c r="E1257" s="4" t="s">
        <v>63</v>
      </c>
      <c r="F1257" s="4" t="s">
        <v>63</v>
      </c>
      <c r="G1257" s="4" t="s">
        <v>1008</v>
      </c>
      <c r="H1257" s="4"/>
      <c r="I1257" s="4" t="n">
        <v>1.4085</v>
      </c>
      <c r="J1257" s="4" t="str">
        <f aca="false">TRIM(E1257) &amp; TRIM(C1257) &amp; TRIM(D1257)</f>
        <v>First ReviewBooking Ads Pre ApprovalTH</v>
      </c>
      <c r="K1257" s="4" t="n">
        <f aca="false">IFERROR(I1257*60,"")</f>
        <v>84.51</v>
      </c>
    </row>
    <row r="1258" customFormat="false" ht="15" hidden="false" customHeight="false" outlineLevel="0" collapsed="false">
      <c r="A1258" s="4" t="s">
        <v>15</v>
      </c>
      <c r="B1258" s="4" t="s">
        <v>973</v>
      </c>
      <c r="C1258" s="4" t="s">
        <v>989</v>
      </c>
      <c r="D1258" s="4" t="s">
        <v>210</v>
      </c>
      <c r="E1258" s="4" t="s">
        <v>63</v>
      </c>
      <c r="F1258" s="4" t="s">
        <v>63</v>
      </c>
      <c r="G1258" s="4" t="s">
        <v>1009</v>
      </c>
      <c r="H1258" s="4"/>
      <c r="I1258" s="4" t="n">
        <v>6.7999</v>
      </c>
      <c r="J1258" s="4" t="str">
        <f aca="false">TRIM(E1258) &amp; TRIM(C1258) &amp; TRIM(D1258)</f>
        <v>First ReviewMedia AdsPK</v>
      </c>
      <c r="K1258" s="4" t="n">
        <f aca="false">IFERROR(I1258*60,"")</f>
        <v>407.994</v>
      </c>
    </row>
    <row r="1259" customFormat="false" ht="15" hidden="false" customHeight="false" outlineLevel="0" collapsed="false">
      <c r="A1259" s="4" t="s">
        <v>15</v>
      </c>
      <c r="B1259" s="4" t="s">
        <v>973</v>
      </c>
      <c r="C1259" s="4" t="s">
        <v>979</v>
      </c>
      <c r="D1259" s="4" t="s">
        <v>113</v>
      </c>
      <c r="E1259" s="4" t="s">
        <v>63</v>
      </c>
      <c r="F1259" s="4" t="s">
        <v>63</v>
      </c>
      <c r="G1259" s="4" t="s">
        <v>1010</v>
      </c>
      <c r="H1259" s="4"/>
      <c r="I1259" s="4" t="n">
        <v>4.8238</v>
      </c>
      <c r="J1259" s="4" t="str">
        <f aca="false">TRIM(E1259) &amp; TRIM(C1259) &amp; TRIM(D1259)</f>
        <v>First ReviewBooking Ads Pre ApprovalNL</v>
      </c>
      <c r="K1259" s="4" t="n">
        <f aca="false">IFERROR(I1259*60,"")</f>
        <v>289.428</v>
      </c>
    </row>
    <row r="1260" customFormat="false" ht="15" hidden="false" customHeight="false" outlineLevel="0" collapsed="false">
      <c r="A1260" s="4" t="s">
        <v>15</v>
      </c>
      <c r="B1260" s="4" t="s">
        <v>973</v>
      </c>
      <c r="C1260" s="4" t="s">
        <v>974</v>
      </c>
      <c r="D1260" s="4" t="s">
        <v>284</v>
      </c>
      <c r="E1260" s="4" t="s">
        <v>63</v>
      </c>
      <c r="F1260" s="4" t="s">
        <v>63</v>
      </c>
      <c r="G1260" s="4" t="s">
        <v>1011</v>
      </c>
      <c r="H1260" s="4"/>
      <c r="I1260" s="4" t="n">
        <v>6.8001</v>
      </c>
      <c r="J1260" s="4" t="str">
        <f aca="false">TRIM(E1260) &amp; TRIM(C1260) &amp; TRIM(D1260)</f>
        <v>First ReviewHighlight ViewTR</v>
      </c>
      <c r="K1260" s="4" t="n">
        <f aca="false">IFERROR(I1260*60,"")</f>
        <v>408.006</v>
      </c>
    </row>
    <row r="1261" customFormat="false" ht="15" hidden="false" customHeight="false" outlineLevel="0" collapsed="false">
      <c r="A1261" s="4" t="s">
        <v>15</v>
      </c>
      <c r="B1261" s="4" t="s">
        <v>973</v>
      </c>
      <c r="C1261" s="4" t="s">
        <v>979</v>
      </c>
      <c r="D1261" s="4" t="s">
        <v>150</v>
      </c>
      <c r="E1261" s="4" t="s">
        <v>63</v>
      </c>
      <c r="F1261" s="4" t="s">
        <v>63</v>
      </c>
      <c r="G1261" s="4" t="s">
        <v>1012</v>
      </c>
      <c r="H1261" s="4"/>
      <c r="I1261" s="4" t="n">
        <v>18.2418</v>
      </c>
      <c r="J1261" s="4" t="str">
        <f aca="false">TRIM(E1261) &amp; TRIM(C1261) &amp; TRIM(D1261)</f>
        <v>First ReviewBooking Ads Pre ApprovalDE</v>
      </c>
      <c r="K1261" s="4" t="n">
        <f aca="false">IFERROR(I1261*60,"")</f>
        <v>1094.508</v>
      </c>
    </row>
    <row r="1262" customFormat="false" ht="15" hidden="false" customHeight="false" outlineLevel="0" collapsed="false">
      <c r="A1262" s="4" t="s">
        <v>15</v>
      </c>
      <c r="B1262" s="4" t="s">
        <v>973</v>
      </c>
      <c r="C1262" s="4" t="s">
        <v>974</v>
      </c>
      <c r="D1262" s="4" t="s">
        <v>275</v>
      </c>
      <c r="E1262" s="4" t="s">
        <v>63</v>
      </c>
      <c r="F1262" s="4" t="s">
        <v>63</v>
      </c>
      <c r="G1262" s="4" t="s">
        <v>1013</v>
      </c>
      <c r="H1262" s="4"/>
      <c r="I1262" s="4" t="n">
        <v>2.5314</v>
      </c>
      <c r="J1262" s="4" t="str">
        <f aca="false">TRIM(E1262) &amp; TRIM(C1262) &amp; TRIM(D1262)</f>
        <v>First ReviewHighlight ViewGB</v>
      </c>
      <c r="K1262" s="4" t="n">
        <f aca="false">IFERROR(I1262*60,"")</f>
        <v>151.884</v>
      </c>
    </row>
    <row r="1263" customFormat="false" ht="15" hidden="false" customHeight="false" outlineLevel="0" collapsed="false">
      <c r="A1263" s="4" t="s">
        <v>15</v>
      </c>
      <c r="B1263" s="4" t="s">
        <v>973</v>
      </c>
      <c r="C1263" s="4" t="s">
        <v>974</v>
      </c>
      <c r="D1263" s="4" t="s">
        <v>102</v>
      </c>
      <c r="E1263" s="4" t="s">
        <v>63</v>
      </c>
      <c r="F1263" s="4" t="s">
        <v>63</v>
      </c>
      <c r="G1263" s="4" t="s">
        <v>1014</v>
      </c>
      <c r="H1263" s="4"/>
      <c r="I1263" s="4" t="n">
        <v>8.3656</v>
      </c>
      <c r="J1263" s="4" t="str">
        <f aca="false">TRIM(E1263) &amp; TRIM(C1263) &amp; TRIM(D1263)</f>
        <v>First ReviewHighlight ViewSE</v>
      </c>
      <c r="K1263" s="4" t="n">
        <f aca="false">IFERROR(I1263*60,"")</f>
        <v>501.936</v>
      </c>
    </row>
    <row r="1264" customFormat="false" ht="15" hidden="false" customHeight="false" outlineLevel="0" collapsed="false">
      <c r="A1264" s="4" t="s">
        <v>15</v>
      </c>
      <c r="B1264" s="4" t="s">
        <v>973</v>
      </c>
      <c r="C1264" s="4" t="s">
        <v>979</v>
      </c>
      <c r="D1264" s="4" t="s">
        <v>208</v>
      </c>
      <c r="E1264" s="4" t="s">
        <v>63</v>
      </c>
      <c r="F1264" s="4" t="s">
        <v>63</v>
      </c>
      <c r="G1264" s="4" t="s">
        <v>1015</v>
      </c>
      <c r="H1264" s="4"/>
      <c r="I1264" s="4" t="n">
        <v>18.7771</v>
      </c>
      <c r="J1264" s="4" t="str">
        <f aca="false">TRIM(E1264) &amp; TRIM(C1264) &amp; TRIM(D1264)</f>
        <v>First ReviewBooking Ads Pre ApprovalCO</v>
      </c>
      <c r="K1264" s="4" t="n">
        <f aca="false">IFERROR(I1264*60,"")</f>
        <v>1126.626</v>
      </c>
    </row>
    <row r="1265" customFormat="false" ht="15" hidden="false" customHeight="false" outlineLevel="0" collapsed="false">
      <c r="A1265" s="4" t="s">
        <v>15</v>
      </c>
      <c r="B1265" s="4" t="s">
        <v>973</v>
      </c>
      <c r="C1265" s="4" t="s">
        <v>989</v>
      </c>
      <c r="D1265" s="4" t="s">
        <v>62</v>
      </c>
      <c r="E1265" s="4" t="s">
        <v>63</v>
      </c>
      <c r="F1265" s="4" t="s">
        <v>63</v>
      </c>
      <c r="G1265" s="4" t="s">
        <v>1016</v>
      </c>
      <c r="H1265" s="4"/>
      <c r="I1265" s="4" t="n">
        <v>13.8778</v>
      </c>
      <c r="J1265" s="4" t="str">
        <f aca="false">TRIM(E1265) &amp; TRIM(C1265) &amp; TRIM(D1265)</f>
        <v>First ReviewMedia AdsCL</v>
      </c>
      <c r="K1265" s="4" t="n">
        <f aca="false">IFERROR(I1265*60,"")</f>
        <v>832.668</v>
      </c>
    </row>
    <row r="1266" customFormat="false" ht="15" hidden="false" customHeight="false" outlineLevel="0" collapsed="false">
      <c r="A1266" s="4" t="s">
        <v>15</v>
      </c>
      <c r="B1266" s="4" t="s">
        <v>973</v>
      </c>
      <c r="C1266" s="4" t="s">
        <v>979</v>
      </c>
      <c r="D1266" s="4" t="s">
        <v>130</v>
      </c>
      <c r="E1266" s="4" t="s">
        <v>63</v>
      </c>
      <c r="F1266" s="4" t="s">
        <v>63</v>
      </c>
      <c r="G1266" s="4" t="s">
        <v>1017</v>
      </c>
      <c r="H1266" s="4"/>
      <c r="I1266" s="4" t="n">
        <v>30.0037</v>
      </c>
      <c r="J1266" s="4" t="str">
        <f aca="false">TRIM(E1266) &amp; TRIM(C1266) &amp; TRIM(D1266)</f>
        <v>First ReviewBooking Ads Pre ApprovalMA</v>
      </c>
      <c r="K1266" s="4" t="n">
        <f aca="false">IFERROR(I1266*60,"")</f>
        <v>1800.222</v>
      </c>
    </row>
    <row r="1267" customFormat="false" ht="15" hidden="false" customHeight="false" outlineLevel="0" collapsed="false">
      <c r="A1267" s="4" t="s">
        <v>15</v>
      </c>
      <c r="B1267" s="4" t="s">
        <v>973</v>
      </c>
      <c r="C1267" s="4" t="s">
        <v>974</v>
      </c>
      <c r="D1267" s="4" t="s">
        <v>126</v>
      </c>
      <c r="E1267" s="4" t="s">
        <v>63</v>
      </c>
      <c r="F1267" s="4" t="s">
        <v>63</v>
      </c>
      <c r="G1267" s="4" t="s">
        <v>1018</v>
      </c>
      <c r="H1267" s="4"/>
      <c r="I1267" s="4" t="n">
        <v>9.5561</v>
      </c>
      <c r="J1267" s="4" t="str">
        <f aca="false">TRIM(E1267) &amp; TRIM(C1267) &amp; TRIM(D1267)</f>
        <v>First ReviewHighlight ViewMX</v>
      </c>
      <c r="K1267" s="4" t="n">
        <f aca="false">IFERROR(I1267*60,"")</f>
        <v>573.366</v>
      </c>
    </row>
    <row r="1268" customFormat="false" ht="15" hidden="false" customHeight="false" outlineLevel="0" collapsed="false">
      <c r="A1268" s="4" t="s">
        <v>15</v>
      </c>
      <c r="B1268" s="4" t="s">
        <v>973</v>
      </c>
      <c r="C1268" s="4" t="s">
        <v>974</v>
      </c>
      <c r="D1268" s="4" t="s">
        <v>106</v>
      </c>
      <c r="E1268" s="4" t="s">
        <v>63</v>
      </c>
      <c r="F1268" s="4" t="s">
        <v>63</v>
      </c>
      <c r="G1268" s="4" t="s">
        <v>1019</v>
      </c>
      <c r="H1268" s="4"/>
      <c r="I1268" s="4" t="n">
        <v>4.038</v>
      </c>
      <c r="J1268" s="4" t="str">
        <f aca="false">TRIM(E1268) &amp; TRIM(C1268) &amp; TRIM(D1268)</f>
        <v>First ReviewHighlight ViewMY</v>
      </c>
      <c r="K1268" s="4" t="n">
        <f aca="false">IFERROR(I1268*60,"")</f>
        <v>242.28</v>
      </c>
    </row>
    <row r="1269" customFormat="false" ht="15" hidden="false" customHeight="false" outlineLevel="0" collapsed="false">
      <c r="A1269" s="4" t="s">
        <v>15</v>
      </c>
      <c r="B1269" s="4" t="s">
        <v>973</v>
      </c>
      <c r="C1269" s="4" t="s">
        <v>979</v>
      </c>
      <c r="D1269" s="4" t="s">
        <v>310</v>
      </c>
      <c r="E1269" s="4" t="s">
        <v>63</v>
      </c>
      <c r="F1269" s="4" t="s">
        <v>63</v>
      </c>
      <c r="G1269" s="4" t="s">
        <v>1020</v>
      </c>
      <c r="H1269" s="4"/>
      <c r="I1269" s="4" t="n">
        <v>11.8851</v>
      </c>
      <c r="J1269" s="4" t="str">
        <f aca="false">TRIM(E1269) &amp; TRIM(C1269) &amp; TRIM(D1269)</f>
        <v>First ReviewBooking Ads Pre ApprovalUY</v>
      </c>
      <c r="K1269" s="4" t="n">
        <f aca="false">IFERROR(I1269*60,"")</f>
        <v>713.106</v>
      </c>
    </row>
    <row r="1270" customFormat="false" ht="15" hidden="false" customHeight="false" outlineLevel="0" collapsed="false">
      <c r="A1270" s="4" t="s">
        <v>15</v>
      </c>
      <c r="B1270" s="4" t="s">
        <v>973</v>
      </c>
      <c r="C1270" s="4" t="s">
        <v>985</v>
      </c>
      <c r="D1270" s="4" t="s">
        <v>235</v>
      </c>
      <c r="E1270" s="4" t="s">
        <v>63</v>
      </c>
      <c r="F1270" s="4" t="s">
        <v>63</v>
      </c>
      <c r="G1270" s="4" t="s">
        <v>1021</v>
      </c>
      <c r="H1270" s="4"/>
      <c r="I1270" s="4" t="n">
        <v>5.7363</v>
      </c>
      <c r="J1270" s="4" t="str">
        <f aca="false">TRIM(E1270) &amp; TRIM(C1270) &amp; TRIM(D1270)</f>
        <v>First ReviewR&amp;F AdsJP</v>
      </c>
      <c r="K1270" s="4" t="n">
        <f aca="false">IFERROR(I1270*60,"")</f>
        <v>344.178</v>
      </c>
    </row>
    <row r="1271" customFormat="false" ht="15" hidden="false" customHeight="false" outlineLevel="0" collapsed="false">
      <c r="A1271" s="4" t="s">
        <v>15</v>
      </c>
      <c r="B1271" s="4" t="s">
        <v>973</v>
      </c>
      <c r="C1271" s="4" t="s">
        <v>974</v>
      </c>
      <c r="D1271" s="4" t="s">
        <v>168</v>
      </c>
      <c r="E1271" s="4" t="s">
        <v>63</v>
      </c>
      <c r="F1271" s="4" t="s">
        <v>63</v>
      </c>
      <c r="G1271" s="4" t="s">
        <v>1022</v>
      </c>
      <c r="H1271" s="4"/>
      <c r="I1271" s="4" t="n">
        <v>6.7746</v>
      </c>
      <c r="J1271" s="4" t="str">
        <f aca="false">TRIM(E1271) &amp; TRIM(C1271) &amp; TRIM(D1271)</f>
        <v>First ReviewHighlight ViewKZ</v>
      </c>
      <c r="K1271" s="4" t="n">
        <f aca="false">IFERROR(I1271*60,"")</f>
        <v>406.476</v>
      </c>
    </row>
    <row r="1272" customFormat="false" ht="15" hidden="false" customHeight="false" outlineLevel="0" collapsed="false">
      <c r="A1272" s="4" t="s">
        <v>15</v>
      </c>
      <c r="B1272" s="4" t="s">
        <v>973</v>
      </c>
      <c r="C1272" s="4" t="s">
        <v>979</v>
      </c>
      <c r="D1272" s="4" t="s">
        <v>238</v>
      </c>
      <c r="E1272" s="4" t="s">
        <v>63</v>
      </c>
      <c r="F1272" s="4" t="s">
        <v>63</v>
      </c>
      <c r="G1272" s="4" t="s">
        <v>1023</v>
      </c>
      <c r="H1272" s="4"/>
      <c r="I1272" s="4" t="n">
        <v>31.1217</v>
      </c>
      <c r="J1272" s="4" t="str">
        <f aca="false">TRIM(E1272) &amp; TRIM(C1272) &amp; TRIM(D1272)</f>
        <v>First ReviewBooking Ads Pre ApprovalCH</v>
      </c>
      <c r="K1272" s="4" t="n">
        <f aca="false">IFERROR(I1272*60,"")</f>
        <v>1867.302</v>
      </c>
    </row>
    <row r="1273" customFormat="false" ht="15" hidden="false" customHeight="false" outlineLevel="0" collapsed="false">
      <c r="A1273" s="4" t="s">
        <v>15</v>
      </c>
      <c r="B1273" s="4" t="s">
        <v>973</v>
      </c>
      <c r="C1273" s="4" t="s">
        <v>989</v>
      </c>
      <c r="D1273" s="4" t="s">
        <v>208</v>
      </c>
      <c r="E1273" s="4" t="s">
        <v>63</v>
      </c>
      <c r="F1273" s="4" t="s">
        <v>63</v>
      </c>
      <c r="G1273" s="4" t="s">
        <v>1024</v>
      </c>
      <c r="H1273" s="4"/>
      <c r="I1273" s="4" t="n">
        <v>4.7055</v>
      </c>
      <c r="J1273" s="4" t="str">
        <f aca="false">TRIM(E1273) &amp; TRIM(C1273) &amp; TRIM(D1273)</f>
        <v>First ReviewMedia AdsCO</v>
      </c>
      <c r="K1273" s="4" t="n">
        <f aca="false">IFERROR(I1273*60,"")</f>
        <v>282.33</v>
      </c>
    </row>
    <row r="1274" customFormat="false" ht="15" hidden="false" customHeight="false" outlineLevel="0" collapsed="false">
      <c r="A1274" s="4" t="s">
        <v>15</v>
      </c>
      <c r="B1274" s="4" t="s">
        <v>973</v>
      </c>
      <c r="C1274" s="4" t="s">
        <v>974</v>
      </c>
      <c r="D1274" s="4" t="s">
        <v>195</v>
      </c>
      <c r="E1274" s="4" t="s">
        <v>63</v>
      </c>
      <c r="F1274" s="4" t="s">
        <v>63</v>
      </c>
      <c r="G1274" s="4" t="s">
        <v>1025</v>
      </c>
      <c r="H1274" s="4"/>
      <c r="I1274" s="4" t="n">
        <v>6.239</v>
      </c>
      <c r="J1274" s="4" t="str">
        <f aca="false">TRIM(E1274) &amp; TRIM(C1274) &amp; TRIM(D1274)</f>
        <v>First ReviewHighlight ViewIT</v>
      </c>
      <c r="K1274" s="4" t="n">
        <f aca="false">IFERROR(I1274*60,"")</f>
        <v>374.34</v>
      </c>
    </row>
    <row r="1275" customFormat="false" ht="15" hidden="false" customHeight="false" outlineLevel="0" collapsed="false">
      <c r="A1275" s="4" t="s">
        <v>15</v>
      </c>
      <c r="B1275" s="4" t="s">
        <v>973</v>
      </c>
      <c r="C1275" s="4" t="s">
        <v>974</v>
      </c>
      <c r="D1275" s="4" t="s">
        <v>87</v>
      </c>
      <c r="E1275" s="4" t="s">
        <v>63</v>
      </c>
      <c r="F1275" s="4" t="s">
        <v>63</v>
      </c>
      <c r="G1275" s="4" t="s">
        <v>1026</v>
      </c>
      <c r="H1275" s="4"/>
      <c r="I1275" s="4" t="n">
        <v>0.1055</v>
      </c>
      <c r="J1275" s="4" t="str">
        <f aca="false">TRIM(E1275) &amp; TRIM(C1275) &amp; TRIM(D1275)</f>
        <v>First ReviewHighlight ViewAE</v>
      </c>
      <c r="K1275" s="4" t="n">
        <f aca="false">IFERROR(I1275*60,"")</f>
        <v>6.33</v>
      </c>
    </row>
    <row r="1276" customFormat="false" ht="15" hidden="false" customHeight="false" outlineLevel="0" collapsed="false">
      <c r="A1276" s="4" t="s">
        <v>15</v>
      </c>
      <c r="B1276" s="4" t="s">
        <v>973</v>
      </c>
      <c r="C1276" s="4" t="s">
        <v>977</v>
      </c>
      <c r="D1276" s="4" t="s">
        <v>235</v>
      </c>
      <c r="E1276" s="4" t="s">
        <v>66</v>
      </c>
      <c r="F1276" s="4" t="s">
        <v>67</v>
      </c>
      <c r="G1276" s="4" t="s">
        <v>1027</v>
      </c>
      <c r="H1276" s="4"/>
      <c r="I1276" s="4" t="n">
        <v>2.0623</v>
      </c>
      <c r="J1276" s="4" t="str">
        <f aca="false">TRIM(E1276) &amp; TRIM(C1276) &amp; TRIM(D1276)</f>
        <v>Posted RecallCommunity Interaction LivestreamJP</v>
      </c>
      <c r="K1276" s="4" t="n">
        <f aca="false">IFERROR(I1276*60,"")</f>
        <v>123.738</v>
      </c>
    </row>
    <row r="1277" customFormat="false" ht="15" hidden="false" customHeight="false" outlineLevel="0" collapsed="false">
      <c r="A1277" s="4" t="s">
        <v>15</v>
      </c>
      <c r="B1277" s="4" t="s">
        <v>973</v>
      </c>
      <c r="C1277" s="4" t="s">
        <v>974</v>
      </c>
      <c r="D1277" s="4" t="s">
        <v>139</v>
      </c>
      <c r="E1277" s="4" t="s">
        <v>63</v>
      </c>
      <c r="F1277" s="4" t="s">
        <v>63</v>
      </c>
      <c r="G1277" s="4" t="s">
        <v>1028</v>
      </c>
      <c r="H1277" s="4"/>
      <c r="I1277" s="4" t="n">
        <v>9.7997</v>
      </c>
      <c r="J1277" s="4" t="str">
        <f aca="false">TRIM(E1277) &amp; TRIM(C1277) &amp; TRIM(D1277)</f>
        <v>First ReviewHighlight ViewEG</v>
      </c>
      <c r="K1277" s="4" t="n">
        <f aca="false">IFERROR(I1277*60,"")</f>
        <v>587.982</v>
      </c>
    </row>
    <row r="1278" customFormat="false" ht="15" hidden="false" customHeight="false" outlineLevel="0" collapsed="false">
      <c r="A1278" s="4" t="s">
        <v>15</v>
      </c>
      <c r="B1278" s="4" t="s">
        <v>973</v>
      </c>
      <c r="C1278" s="4" t="s">
        <v>979</v>
      </c>
      <c r="D1278" s="4" t="s">
        <v>190</v>
      </c>
      <c r="E1278" s="4" t="s">
        <v>63</v>
      </c>
      <c r="F1278" s="4" t="s">
        <v>63</v>
      </c>
      <c r="G1278" s="4" t="s">
        <v>1029</v>
      </c>
      <c r="H1278" s="4"/>
      <c r="I1278" s="4" t="n">
        <v>2.5196</v>
      </c>
      <c r="J1278" s="4" t="str">
        <f aca="false">TRIM(E1278) &amp; TRIM(C1278) &amp; TRIM(D1278)</f>
        <v>First ReviewBooking Ads Pre ApprovalPH</v>
      </c>
      <c r="K1278" s="4" t="n">
        <f aca="false">IFERROR(I1278*60,"")</f>
        <v>151.176</v>
      </c>
    </row>
    <row r="1279" customFormat="false" ht="15" hidden="false" customHeight="false" outlineLevel="0" collapsed="false">
      <c r="A1279" s="4" t="s">
        <v>15</v>
      </c>
      <c r="B1279" s="4" t="s">
        <v>973</v>
      </c>
      <c r="C1279" s="4" t="s">
        <v>979</v>
      </c>
      <c r="D1279" s="4" t="s">
        <v>299</v>
      </c>
      <c r="E1279" s="4" t="s">
        <v>63</v>
      </c>
      <c r="F1279" s="4" t="s">
        <v>63</v>
      </c>
      <c r="G1279" s="4" t="s">
        <v>1030</v>
      </c>
      <c r="H1279" s="4"/>
      <c r="I1279" s="4" t="n">
        <v>6.4199</v>
      </c>
      <c r="J1279" s="4" t="str">
        <f aca="false">TRIM(E1279) &amp; TRIM(C1279) &amp; TRIM(D1279)</f>
        <v>First ReviewBooking Ads Pre ApprovalQA</v>
      </c>
      <c r="K1279" s="4" t="n">
        <f aca="false">IFERROR(I1279*60,"")</f>
        <v>385.194</v>
      </c>
    </row>
    <row r="1280" customFormat="false" ht="15" hidden="false" customHeight="false" outlineLevel="0" collapsed="false">
      <c r="A1280" s="4" t="s">
        <v>15</v>
      </c>
      <c r="B1280" s="4" t="s">
        <v>973</v>
      </c>
      <c r="C1280" s="4" t="s">
        <v>985</v>
      </c>
      <c r="D1280" s="4" t="s">
        <v>458</v>
      </c>
      <c r="E1280" s="4" t="s">
        <v>63</v>
      </c>
      <c r="F1280" s="4" t="s">
        <v>63</v>
      </c>
      <c r="G1280" s="4" t="s">
        <v>1031</v>
      </c>
      <c r="H1280" s="4"/>
      <c r="I1280" s="4" t="n">
        <v>7.1054</v>
      </c>
      <c r="J1280" s="4" t="str">
        <f aca="false">TRIM(E1280) &amp; TRIM(C1280) &amp; TRIM(D1280)</f>
        <v>First ReviewR&amp;F AdsTW</v>
      </c>
      <c r="K1280" s="4" t="n">
        <f aca="false">IFERROR(I1280*60,"")</f>
        <v>426.324</v>
      </c>
    </row>
    <row r="1281" customFormat="false" ht="15" hidden="false" customHeight="false" outlineLevel="0" collapsed="false">
      <c r="A1281" s="4" t="s">
        <v>15</v>
      </c>
      <c r="B1281" s="4" t="s">
        <v>973</v>
      </c>
      <c r="C1281" s="4" t="s">
        <v>974</v>
      </c>
      <c r="D1281" s="4" t="s">
        <v>128</v>
      </c>
      <c r="E1281" s="4" t="s">
        <v>63</v>
      </c>
      <c r="F1281" s="4" t="s">
        <v>63</v>
      </c>
      <c r="G1281" s="4" t="s">
        <v>1032</v>
      </c>
      <c r="H1281" s="4"/>
      <c r="I1281" s="4" t="n">
        <v>2.156</v>
      </c>
      <c r="J1281" s="4" t="str">
        <f aca="false">TRIM(E1281) &amp; TRIM(C1281) &amp; TRIM(D1281)</f>
        <v>First ReviewHighlight ViewBD</v>
      </c>
      <c r="K1281" s="4" t="n">
        <f aca="false">IFERROR(I1281*60,"")</f>
        <v>129.36</v>
      </c>
    </row>
    <row r="1282" customFormat="false" ht="15" hidden="false" customHeight="false" outlineLevel="0" collapsed="false">
      <c r="A1282" s="4" t="s">
        <v>15</v>
      </c>
      <c r="B1282" s="4" t="s">
        <v>973</v>
      </c>
      <c r="C1282" s="4" t="s">
        <v>985</v>
      </c>
      <c r="D1282" s="4" t="s">
        <v>100</v>
      </c>
      <c r="E1282" s="4" t="s">
        <v>63</v>
      </c>
      <c r="F1282" s="4" t="s">
        <v>63</v>
      </c>
      <c r="G1282" s="4" t="s">
        <v>1033</v>
      </c>
      <c r="H1282" s="4"/>
      <c r="I1282" s="4" t="n">
        <v>1.765</v>
      </c>
      <c r="J1282" s="4" t="str">
        <f aca="false">TRIM(E1282) &amp; TRIM(C1282) &amp; TRIM(D1282)</f>
        <v>First ReviewR&amp;F AdsAU</v>
      </c>
      <c r="K1282" s="4" t="n">
        <f aca="false">IFERROR(I1282*60,"")</f>
        <v>105.9</v>
      </c>
    </row>
    <row r="1283" customFormat="false" ht="15" hidden="false" customHeight="false" outlineLevel="0" collapsed="false">
      <c r="A1283" s="4" t="s">
        <v>15</v>
      </c>
      <c r="B1283" s="4" t="s">
        <v>973</v>
      </c>
      <c r="C1283" s="4" t="s">
        <v>977</v>
      </c>
      <c r="D1283" s="4" t="s">
        <v>97</v>
      </c>
      <c r="E1283" s="4" t="s">
        <v>66</v>
      </c>
      <c r="F1283" s="4" t="s">
        <v>67</v>
      </c>
      <c r="G1283" s="4" t="s">
        <v>1034</v>
      </c>
      <c r="H1283" s="4"/>
      <c r="I1283" s="4" t="n">
        <v>3.123</v>
      </c>
      <c r="J1283" s="4" t="str">
        <f aca="false">TRIM(E1283) &amp; TRIM(C1283) &amp; TRIM(D1283)</f>
        <v>Posted RecallCommunity Interaction LivestreamBR</v>
      </c>
      <c r="K1283" s="4" t="n">
        <f aca="false">IFERROR(I1283*60,"")</f>
        <v>187.38</v>
      </c>
    </row>
    <row r="1284" customFormat="false" ht="15" hidden="false" customHeight="false" outlineLevel="0" collapsed="false">
      <c r="A1284" s="4" t="s">
        <v>15</v>
      </c>
      <c r="B1284" s="4" t="s">
        <v>973</v>
      </c>
      <c r="C1284" s="4" t="s">
        <v>974</v>
      </c>
      <c r="D1284" s="4" t="s">
        <v>150</v>
      </c>
      <c r="E1284" s="4" t="s">
        <v>63</v>
      </c>
      <c r="F1284" s="4" t="s">
        <v>63</v>
      </c>
      <c r="G1284" s="4" t="s">
        <v>1035</v>
      </c>
      <c r="H1284" s="4"/>
      <c r="I1284" s="4" t="n">
        <v>11.3792</v>
      </c>
      <c r="J1284" s="4" t="str">
        <f aca="false">TRIM(E1284) &amp; TRIM(C1284) &amp; TRIM(D1284)</f>
        <v>First ReviewHighlight ViewDE</v>
      </c>
      <c r="K1284" s="4" t="n">
        <f aca="false">IFERROR(I1284*60,"")</f>
        <v>682.752</v>
      </c>
    </row>
    <row r="1285" customFormat="false" ht="15" hidden="false" customHeight="false" outlineLevel="0" collapsed="false">
      <c r="A1285" s="4" t="s">
        <v>15</v>
      </c>
      <c r="B1285" s="4" t="s">
        <v>973</v>
      </c>
      <c r="C1285" s="4" t="s">
        <v>985</v>
      </c>
      <c r="D1285" s="4" t="s">
        <v>267</v>
      </c>
      <c r="E1285" s="4" t="s">
        <v>63</v>
      </c>
      <c r="F1285" s="4" t="s">
        <v>63</v>
      </c>
      <c r="G1285" s="4" t="s">
        <v>1036</v>
      </c>
      <c r="H1285" s="4"/>
      <c r="I1285" s="4" t="n">
        <v>5.8913</v>
      </c>
      <c r="J1285" s="4" t="str">
        <f aca="false">TRIM(E1285) &amp; TRIM(C1285) &amp; TRIM(D1285)</f>
        <v>First ReviewR&amp;F AdsID</v>
      </c>
      <c r="K1285" s="4" t="n">
        <f aca="false">IFERROR(I1285*60,"")</f>
        <v>353.478</v>
      </c>
    </row>
    <row r="1286" customFormat="false" ht="15" hidden="false" customHeight="false" outlineLevel="0" collapsed="false">
      <c r="A1286" s="4" t="s">
        <v>15</v>
      </c>
      <c r="B1286" s="4" t="s">
        <v>973</v>
      </c>
      <c r="C1286" s="4" t="s">
        <v>979</v>
      </c>
      <c r="D1286" s="4" t="s">
        <v>126</v>
      </c>
      <c r="E1286" s="4" t="s">
        <v>63</v>
      </c>
      <c r="F1286" s="4" t="s">
        <v>63</v>
      </c>
      <c r="G1286" s="4" t="s">
        <v>1037</v>
      </c>
      <c r="H1286" s="4"/>
      <c r="I1286" s="4" t="n">
        <v>13.9964</v>
      </c>
      <c r="J1286" s="4" t="str">
        <f aca="false">TRIM(E1286) &amp; TRIM(C1286) &amp; TRIM(D1286)</f>
        <v>First ReviewBooking Ads Pre ApprovalMX</v>
      </c>
      <c r="K1286" s="4" t="n">
        <f aca="false">IFERROR(I1286*60,"")</f>
        <v>839.784</v>
      </c>
    </row>
    <row r="1287" customFormat="false" ht="15" hidden="false" customHeight="false" outlineLevel="0" collapsed="false">
      <c r="A1287" s="4" t="s">
        <v>15</v>
      </c>
      <c r="B1287" s="4" t="s">
        <v>973</v>
      </c>
      <c r="C1287" s="4" t="s">
        <v>974</v>
      </c>
      <c r="D1287" s="4" t="s">
        <v>82</v>
      </c>
      <c r="E1287" s="4" t="s">
        <v>63</v>
      </c>
      <c r="F1287" s="4" t="s">
        <v>63</v>
      </c>
      <c r="G1287" s="4" t="s">
        <v>1038</v>
      </c>
      <c r="H1287" s="4"/>
      <c r="I1287" s="4" t="n">
        <v>2.1053</v>
      </c>
      <c r="J1287" s="4" t="str">
        <f aca="false">TRIM(E1287) &amp; TRIM(C1287) &amp; TRIM(D1287)</f>
        <v>First ReviewHighlight ViewKH</v>
      </c>
      <c r="K1287" s="4" t="n">
        <f aca="false">IFERROR(I1287*60,"")</f>
        <v>126.318</v>
      </c>
    </row>
    <row r="1288" customFormat="false" ht="15" hidden="false" customHeight="false" outlineLevel="0" collapsed="false">
      <c r="A1288" s="4" t="s">
        <v>15</v>
      </c>
      <c r="B1288" s="4" t="s">
        <v>973</v>
      </c>
      <c r="C1288" s="4" t="s">
        <v>979</v>
      </c>
      <c r="D1288" s="4" t="s">
        <v>458</v>
      </c>
      <c r="E1288" s="4" t="s">
        <v>63</v>
      </c>
      <c r="F1288" s="4" t="s">
        <v>63</v>
      </c>
      <c r="G1288" s="4" t="s">
        <v>1039</v>
      </c>
      <c r="H1288" s="4"/>
      <c r="I1288" s="4" t="n">
        <v>4.2674</v>
      </c>
      <c r="J1288" s="4" t="str">
        <f aca="false">TRIM(E1288) &amp; TRIM(C1288) &amp; TRIM(D1288)</f>
        <v>First ReviewBooking Ads Pre ApprovalTW</v>
      </c>
      <c r="K1288" s="4" t="n">
        <f aca="false">IFERROR(I1288*60,"")</f>
        <v>256.044</v>
      </c>
    </row>
    <row r="1289" customFormat="false" ht="15" hidden="false" customHeight="false" outlineLevel="0" collapsed="false">
      <c r="A1289" s="4" t="s">
        <v>15</v>
      </c>
      <c r="B1289" s="4" t="s">
        <v>973</v>
      </c>
      <c r="C1289" s="4" t="s">
        <v>979</v>
      </c>
      <c r="D1289" s="4" t="s">
        <v>265</v>
      </c>
      <c r="E1289" s="4" t="s">
        <v>63</v>
      </c>
      <c r="F1289" s="4" t="s">
        <v>63</v>
      </c>
      <c r="G1289" s="4" t="s">
        <v>1040</v>
      </c>
      <c r="H1289" s="4"/>
      <c r="I1289" s="4" t="n">
        <v>20.2563</v>
      </c>
      <c r="J1289" s="4" t="str">
        <f aca="false">TRIM(E1289) &amp; TRIM(C1289) &amp; TRIM(D1289)</f>
        <v>First ReviewBooking Ads Pre ApprovalNO</v>
      </c>
      <c r="K1289" s="4" t="n">
        <f aca="false">IFERROR(I1289*60,"")</f>
        <v>1215.378</v>
      </c>
    </row>
    <row r="1290" customFormat="false" ht="15" hidden="false" customHeight="false" outlineLevel="0" collapsed="false">
      <c r="A1290" s="4" t="s">
        <v>15</v>
      </c>
      <c r="B1290" s="4" t="s">
        <v>973</v>
      </c>
      <c r="C1290" s="4" t="s">
        <v>989</v>
      </c>
      <c r="D1290" s="4" t="s">
        <v>157</v>
      </c>
      <c r="E1290" s="4" t="s">
        <v>63</v>
      </c>
      <c r="F1290" s="4" t="s">
        <v>63</v>
      </c>
      <c r="G1290" s="4" t="s">
        <v>1041</v>
      </c>
      <c r="H1290" s="4"/>
      <c r="I1290" s="4" t="n">
        <v>19.7728</v>
      </c>
      <c r="J1290" s="4" t="str">
        <f aca="false">TRIM(E1290) &amp; TRIM(C1290) &amp; TRIM(D1290)</f>
        <v>First ReviewMedia AdsSA</v>
      </c>
      <c r="K1290" s="4" t="n">
        <f aca="false">IFERROR(I1290*60,"")</f>
        <v>1186.368</v>
      </c>
    </row>
    <row r="1291" customFormat="false" ht="15" hidden="false" customHeight="false" outlineLevel="0" collapsed="false">
      <c r="A1291" s="4" t="s">
        <v>15</v>
      </c>
      <c r="B1291" s="4" t="s">
        <v>973</v>
      </c>
      <c r="C1291" s="4" t="s">
        <v>974</v>
      </c>
      <c r="D1291" s="4" t="s">
        <v>243</v>
      </c>
      <c r="E1291" s="4" t="s">
        <v>63</v>
      </c>
      <c r="F1291" s="4" t="s">
        <v>63</v>
      </c>
      <c r="G1291" s="4" t="s">
        <v>1042</v>
      </c>
      <c r="H1291" s="4"/>
      <c r="I1291" s="4" t="n">
        <v>12.2657</v>
      </c>
      <c r="J1291" s="4" t="str">
        <f aca="false">TRIM(E1291) &amp; TRIM(C1291) &amp; TRIM(D1291)</f>
        <v>First ReviewHighlight ViewBY</v>
      </c>
      <c r="K1291" s="4" t="n">
        <f aca="false">IFERROR(I1291*60,"")</f>
        <v>735.942</v>
      </c>
    </row>
    <row r="1292" customFormat="false" ht="15" hidden="false" customHeight="false" outlineLevel="0" collapsed="false">
      <c r="A1292" s="4" t="s">
        <v>15</v>
      </c>
      <c r="B1292" s="4" t="s">
        <v>973</v>
      </c>
      <c r="C1292" s="4" t="s">
        <v>985</v>
      </c>
      <c r="D1292" s="4" t="s">
        <v>308</v>
      </c>
      <c r="E1292" s="4" t="s">
        <v>63</v>
      </c>
      <c r="F1292" s="4" t="s">
        <v>63</v>
      </c>
      <c r="G1292" s="4" t="s">
        <v>1043</v>
      </c>
      <c r="H1292" s="4"/>
      <c r="I1292" s="4" t="n">
        <v>4.1942</v>
      </c>
      <c r="J1292" s="4" t="str">
        <f aca="false">TRIM(E1292) &amp; TRIM(C1292) &amp; TRIM(D1292)</f>
        <v>First ReviewR&amp;F AdsPL</v>
      </c>
      <c r="K1292" s="4" t="n">
        <f aca="false">IFERROR(I1292*60,"")</f>
        <v>251.652</v>
      </c>
    </row>
    <row r="1293" customFormat="false" ht="15" hidden="false" customHeight="false" outlineLevel="0" collapsed="false">
      <c r="A1293" s="4" t="s">
        <v>15</v>
      </c>
      <c r="B1293" s="4" t="s">
        <v>973</v>
      </c>
      <c r="C1293" s="4" t="s">
        <v>974</v>
      </c>
      <c r="D1293" s="4" t="s">
        <v>115</v>
      </c>
      <c r="E1293" s="4" t="s">
        <v>63</v>
      </c>
      <c r="F1293" s="4" t="s">
        <v>63</v>
      </c>
      <c r="G1293" s="4" t="s">
        <v>1044</v>
      </c>
      <c r="H1293" s="4"/>
      <c r="I1293" s="4" t="n">
        <v>12.3254</v>
      </c>
      <c r="J1293" s="4" t="str">
        <f aca="false">TRIM(E1293) &amp; TRIM(C1293) &amp; TRIM(D1293)</f>
        <v>First ReviewHighlight ViewAT</v>
      </c>
      <c r="K1293" s="4" t="n">
        <f aca="false">IFERROR(I1293*60,"")</f>
        <v>739.524</v>
      </c>
    </row>
    <row r="1294" customFormat="false" ht="15" hidden="false" customHeight="false" outlineLevel="0" collapsed="false">
      <c r="A1294" s="4" t="s">
        <v>15</v>
      </c>
      <c r="B1294" s="4" t="s">
        <v>973</v>
      </c>
      <c r="C1294" s="4" t="s">
        <v>985</v>
      </c>
      <c r="D1294" s="4" t="s">
        <v>231</v>
      </c>
      <c r="E1294" s="4" t="s">
        <v>63</v>
      </c>
      <c r="F1294" s="4" t="s">
        <v>63</v>
      </c>
      <c r="G1294" s="4" t="s">
        <v>1045</v>
      </c>
      <c r="H1294" s="4"/>
      <c r="I1294" s="4" t="n">
        <v>5.3454</v>
      </c>
      <c r="J1294" s="4" t="str">
        <f aca="false">TRIM(E1294) &amp; TRIM(C1294) &amp; TRIM(D1294)</f>
        <v>First ReviewR&amp;F AdsIL</v>
      </c>
      <c r="K1294" s="4" t="n">
        <f aca="false">IFERROR(I1294*60,"")</f>
        <v>320.724</v>
      </c>
    </row>
    <row r="1295" customFormat="false" ht="15" hidden="false" customHeight="false" outlineLevel="0" collapsed="false">
      <c r="A1295" s="4" t="s">
        <v>15</v>
      </c>
      <c r="B1295" s="4" t="s">
        <v>973</v>
      </c>
      <c r="C1295" s="4" t="s">
        <v>974</v>
      </c>
      <c r="D1295" s="4" t="s">
        <v>104</v>
      </c>
      <c r="E1295" s="4" t="s">
        <v>63</v>
      </c>
      <c r="F1295" s="4" t="s">
        <v>63</v>
      </c>
      <c r="G1295" s="4" t="s">
        <v>1046</v>
      </c>
      <c r="H1295" s="4"/>
      <c r="I1295" s="4" t="n">
        <v>1.5959</v>
      </c>
      <c r="J1295" s="4" t="str">
        <f aca="false">TRIM(E1295) &amp; TRIM(C1295) &amp; TRIM(D1295)</f>
        <v>First ReviewHighlight ViewIE</v>
      </c>
      <c r="K1295" s="4" t="n">
        <f aca="false">IFERROR(I1295*60,"")</f>
        <v>95.754</v>
      </c>
    </row>
    <row r="1296" customFormat="false" ht="15" hidden="false" customHeight="false" outlineLevel="0" collapsed="false">
      <c r="A1296" s="4" t="s">
        <v>15</v>
      </c>
      <c r="B1296" s="4" t="s">
        <v>973</v>
      </c>
      <c r="C1296" s="4" t="s">
        <v>977</v>
      </c>
      <c r="D1296" s="4" t="s">
        <v>95</v>
      </c>
      <c r="E1296" s="4" t="s">
        <v>66</v>
      </c>
      <c r="F1296" s="4" t="s">
        <v>67</v>
      </c>
      <c r="G1296" s="4" t="s">
        <v>1047</v>
      </c>
      <c r="H1296" s="4"/>
      <c r="I1296" s="4" t="n">
        <v>1.6991</v>
      </c>
      <c r="J1296" s="4" t="str">
        <f aca="false">TRIM(E1296) &amp; TRIM(C1296) &amp; TRIM(D1296)</f>
        <v>Posted RecallCommunity Interaction LivestreamVN</v>
      </c>
      <c r="K1296" s="4" t="n">
        <f aca="false">IFERROR(I1296*60,"")</f>
        <v>101.946</v>
      </c>
    </row>
    <row r="1297" customFormat="false" ht="15" hidden="false" customHeight="false" outlineLevel="0" collapsed="false">
      <c r="A1297" s="4" t="s">
        <v>15</v>
      </c>
      <c r="B1297" s="4" t="s">
        <v>973</v>
      </c>
      <c r="C1297" s="4" t="s">
        <v>974</v>
      </c>
      <c r="D1297" s="4" t="s">
        <v>58</v>
      </c>
      <c r="E1297" s="4" t="s">
        <v>63</v>
      </c>
      <c r="F1297" s="4" t="s">
        <v>63</v>
      </c>
      <c r="G1297" s="4" t="s">
        <v>1048</v>
      </c>
      <c r="H1297" s="4"/>
      <c r="I1297" s="4" t="n">
        <v>3.7652</v>
      </c>
      <c r="J1297" s="4" t="str">
        <f aca="false">TRIM(E1297) &amp; TRIM(C1297) &amp; TRIM(D1297)</f>
        <v>First ReviewHighlight ViewSG</v>
      </c>
      <c r="K1297" s="4" t="n">
        <f aca="false">IFERROR(I1297*60,"")</f>
        <v>225.912</v>
      </c>
    </row>
    <row r="1298" customFormat="false" ht="15" hidden="false" customHeight="false" outlineLevel="0" collapsed="false">
      <c r="A1298" s="4" t="s">
        <v>15</v>
      </c>
      <c r="B1298" s="4" t="s">
        <v>973</v>
      </c>
      <c r="C1298" s="4" t="s">
        <v>977</v>
      </c>
      <c r="D1298" s="4" t="s">
        <v>267</v>
      </c>
      <c r="E1298" s="4" t="s">
        <v>66</v>
      </c>
      <c r="F1298" s="4" t="s">
        <v>67</v>
      </c>
      <c r="G1298" s="4" t="s">
        <v>1049</v>
      </c>
      <c r="H1298" s="4"/>
      <c r="I1298" s="4" t="n">
        <v>1.1394</v>
      </c>
      <c r="J1298" s="4" t="str">
        <f aca="false">TRIM(E1298) &amp; TRIM(C1298) &amp; TRIM(D1298)</f>
        <v>Posted RecallCommunity Interaction LivestreamID</v>
      </c>
      <c r="K1298" s="4" t="n">
        <f aca="false">IFERROR(I1298*60,"")</f>
        <v>68.364</v>
      </c>
    </row>
    <row r="1299" customFormat="false" ht="15" hidden="false" customHeight="false" outlineLevel="0" collapsed="false">
      <c r="A1299" s="4" t="s">
        <v>15</v>
      </c>
      <c r="B1299" s="4" t="s">
        <v>973</v>
      </c>
      <c r="C1299" s="4" t="s">
        <v>974</v>
      </c>
      <c r="D1299" s="4" t="s">
        <v>113</v>
      </c>
      <c r="E1299" s="4" t="s">
        <v>63</v>
      </c>
      <c r="F1299" s="4" t="s">
        <v>63</v>
      </c>
      <c r="G1299" s="4" t="s">
        <v>1050</v>
      </c>
      <c r="H1299" s="4"/>
      <c r="I1299" s="4" t="n">
        <v>9.5953</v>
      </c>
      <c r="J1299" s="4" t="str">
        <f aca="false">TRIM(E1299) &amp; TRIM(C1299) &amp; TRIM(D1299)</f>
        <v>First ReviewHighlight ViewNL</v>
      </c>
      <c r="K1299" s="4" t="n">
        <f aca="false">IFERROR(I1299*60,"")</f>
        <v>575.718</v>
      </c>
    </row>
    <row r="1300" customFormat="false" ht="15" hidden="false" customHeight="false" outlineLevel="0" collapsed="false">
      <c r="A1300" s="4" t="s">
        <v>15</v>
      </c>
      <c r="B1300" s="4" t="s">
        <v>973</v>
      </c>
      <c r="C1300" s="4" t="s">
        <v>985</v>
      </c>
      <c r="D1300" s="4" t="s">
        <v>208</v>
      </c>
      <c r="E1300" s="4" t="s">
        <v>63</v>
      </c>
      <c r="F1300" s="4" t="s">
        <v>63</v>
      </c>
      <c r="G1300" s="4" t="s">
        <v>1051</v>
      </c>
      <c r="H1300" s="4"/>
      <c r="I1300" s="4" t="n">
        <v>3.0197</v>
      </c>
      <c r="J1300" s="4" t="str">
        <f aca="false">TRIM(E1300) &amp; TRIM(C1300) &amp; TRIM(D1300)</f>
        <v>First ReviewR&amp;F AdsCO</v>
      </c>
      <c r="K1300" s="4" t="n">
        <f aca="false">IFERROR(I1300*60,"")</f>
        <v>181.182</v>
      </c>
    </row>
    <row r="1301" customFormat="false" ht="15" hidden="false" customHeight="false" outlineLevel="0" collapsed="false">
      <c r="A1301" s="4" t="s">
        <v>15</v>
      </c>
      <c r="B1301" s="4" t="s">
        <v>973</v>
      </c>
      <c r="C1301" s="4" t="s">
        <v>985</v>
      </c>
      <c r="D1301" s="4" t="s">
        <v>306</v>
      </c>
      <c r="E1301" s="4" t="s">
        <v>63</v>
      </c>
      <c r="F1301" s="4" t="s">
        <v>63</v>
      </c>
      <c r="G1301" s="4" t="s">
        <v>1052</v>
      </c>
      <c r="H1301" s="4"/>
      <c r="I1301" s="4" t="n">
        <v>2.0591</v>
      </c>
      <c r="J1301" s="4" t="str">
        <f aca="false">TRIM(E1301) &amp; TRIM(C1301) &amp; TRIM(D1301)</f>
        <v>First ReviewR&amp;F AdsTH</v>
      </c>
      <c r="K1301" s="4" t="n">
        <f aca="false">IFERROR(I1301*60,"")</f>
        <v>123.546</v>
      </c>
    </row>
    <row r="1302" customFormat="false" ht="15" hidden="false" customHeight="false" outlineLevel="0" collapsed="false">
      <c r="A1302" s="4" t="s">
        <v>15</v>
      </c>
      <c r="B1302" s="4" t="s">
        <v>973</v>
      </c>
      <c r="C1302" s="4" t="s">
        <v>979</v>
      </c>
      <c r="D1302" s="4" t="s">
        <v>95</v>
      </c>
      <c r="E1302" s="4" t="s">
        <v>63</v>
      </c>
      <c r="F1302" s="4" t="s">
        <v>63</v>
      </c>
      <c r="G1302" s="4" t="s">
        <v>1053</v>
      </c>
      <c r="H1302" s="4"/>
      <c r="I1302" s="4" t="n">
        <v>3.5537</v>
      </c>
      <c r="J1302" s="4" t="str">
        <f aca="false">TRIM(E1302) &amp; TRIM(C1302) &amp; TRIM(D1302)</f>
        <v>First ReviewBooking Ads Pre ApprovalVN</v>
      </c>
      <c r="K1302" s="4" t="n">
        <f aca="false">IFERROR(I1302*60,"")</f>
        <v>213.222</v>
      </c>
    </row>
    <row r="1303" customFormat="false" ht="15" hidden="false" customHeight="false" outlineLevel="0" collapsed="false">
      <c r="A1303" s="4" t="s">
        <v>15</v>
      </c>
      <c r="B1303" s="4" t="s">
        <v>973</v>
      </c>
      <c r="C1303" s="4" t="s">
        <v>979</v>
      </c>
      <c r="D1303" s="4" t="s">
        <v>284</v>
      </c>
      <c r="E1303" s="4" t="s">
        <v>63</v>
      </c>
      <c r="F1303" s="4" t="s">
        <v>63</v>
      </c>
      <c r="G1303" s="4" t="s">
        <v>1054</v>
      </c>
      <c r="H1303" s="4"/>
      <c r="I1303" s="4" t="n">
        <v>1.3193</v>
      </c>
      <c r="J1303" s="4" t="str">
        <f aca="false">TRIM(E1303) &amp; TRIM(C1303) &amp; TRIM(D1303)</f>
        <v>First ReviewBooking Ads Pre ApprovalTR</v>
      </c>
      <c r="K1303" s="4" t="n">
        <f aca="false">IFERROR(I1303*60,"")</f>
        <v>79.158</v>
      </c>
    </row>
    <row r="1304" customFormat="false" ht="15" hidden="false" customHeight="false" outlineLevel="0" collapsed="false">
      <c r="A1304" s="4" t="s">
        <v>15</v>
      </c>
      <c r="B1304" s="4" t="s">
        <v>973</v>
      </c>
      <c r="C1304" s="4" t="s">
        <v>974</v>
      </c>
      <c r="D1304" s="4" t="s">
        <v>157</v>
      </c>
      <c r="E1304" s="4" t="s">
        <v>63</v>
      </c>
      <c r="F1304" s="4" t="s">
        <v>63</v>
      </c>
      <c r="G1304" s="4" t="s">
        <v>1055</v>
      </c>
      <c r="H1304" s="4"/>
      <c r="I1304" s="4" t="n">
        <v>12.9729</v>
      </c>
      <c r="J1304" s="4" t="str">
        <f aca="false">TRIM(E1304) &amp; TRIM(C1304) &amp; TRIM(D1304)</f>
        <v>First ReviewHighlight ViewSA</v>
      </c>
      <c r="K1304" s="4" t="n">
        <f aca="false">IFERROR(I1304*60,"")</f>
        <v>778.374</v>
      </c>
    </row>
    <row r="1305" customFormat="false" ht="15" hidden="false" customHeight="false" outlineLevel="0" collapsed="false">
      <c r="A1305" s="4" t="s">
        <v>15</v>
      </c>
      <c r="B1305" s="4" t="s">
        <v>973</v>
      </c>
      <c r="C1305" s="4" t="s">
        <v>985</v>
      </c>
      <c r="D1305" s="4" t="s">
        <v>284</v>
      </c>
      <c r="E1305" s="4" t="s">
        <v>63</v>
      </c>
      <c r="F1305" s="4" t="s">
        <v>63</v>
      </c>
      <c r="G1305" s="4" t="s">
        <v>1056</v>
      </c>
      <c r="H1305" s="4"/>
      <c r="I1305" s="4" t="n">
        <v>2.2649</v>
      </c>
      <c r="J1305" s="4" t="str">
        <f aca="false">TRIM(E1305) &amp; TRIM(C1305) &amp; TRIM(D1305)</f>
        <v>First ReviewR&amp;F AdsTR</v>
      </c>
      <c r="K1305" s="4" t="n">
        <f aca="false">IFERROR(I1305*60,"")</f>
        <v>135.894</v>
      </c>
    </row>
    <row r="1306" customFormat="false" ht="15" hidden="false" customHeight="false" outlineLevel="0" collapsed="false">
      <c r="A1306" s="4" t="s">
        <v>15</v>
      </c>
      <c r="B1306" s="4" t="s">
        <v>973</v>
      </c>
      <c r="C1306" s="4" t="s">
        <v>979</v>
      </c>
      <c r="D1306" s="4" t="s">
        <v>106</v>
      </c>
      <c r="E1306" s="4" t="s">
        <v>63</v>
      </c>
      <c r="F1306" s="4" t="s">
        <v>63</v>
      </c>
      <c r="G1306" s="4" t="s">
        <v>1057</v>
      </c>
      <c r="H1306" s="4"/>
      <c r="I1306" s="4" t="n">
        <v>1.5304</v>
      </c>
      <c r="J1306" s="4" t="str">
        <f aca="false">TRIM(E1306) &amp; TRIM(C1306) &amp; TRIM(D1306)</f>
        <v>First ReviewBooking Ads Pre ApprovalMY</v>
      </c>
      <c r="K1306" s="4" t="n">
        <f aca="false">IFERROR(I1306*60,"")</f>
        <v>91.824</v>
      </c>
    </row>
    <row r="1307" customFormat="false" ht="15" hidden="false" customHeight="false" outlineLevel="0" collapsed="false">
      <c r="A1307" s="4" t="s">
        <v>15</v>
      </c>
      <c r="B1307" s="4" t="s">
        <v>973</v>
      </c>
      <c r="C1307" s="4" t="s">
        <v>979</v>
      </c>
      <c r="D1307" s="4" t="s">
        <v>213</v>
      </c>
      <c r="E1307" s="4" t="s">
        <v>63</v>
      </c>
      <c r="F1307" s="4" t="s">
        <v>63</v>
      </c>
      <c r="G1307" s="4" t="s">
        <v>1058</v>
      </c>
      <c r="H1307" s="4"/>
      <c r="I1307" s="4" t="n">
        <v>10.6425</v>
      </c>
      <c r="J1307" s="4" t="str">
        <f aca="false">TRIM(E1307) &amp; TRIM(C1307) &amp; TRIM(D1307)</f>
        <v>First ReviewBooking Ads Pre ApprovalFR</v>
      </c>
      <c r="K1307" s="4" t="n">
        <f aca="false">IFERROR(I1307*60,"")</f>
        <v>638.55</v>
      </c>
    </row>
    <row r="1308" customFormat="false" ht="15" hidden="false" customHeight="false" outlineLevel="0" collapsed="false">
      <c r="A1308" s="4" t="s">
        <v>15</v>
      </c>
      <c r="B1308" s="4" t="s">
        <v>973</v>
      </c>
      <c r="C1308" s="4" t="s">
        <v>989</v>
      </c>
      <c r="D1308" s="4" t="s">
        <v>111</v>
      </c>
      <c r="E1308" s="4" t="s">
        <v>63</v>
      </c>
      <c r="F1308" s="4" t="s">
        <v>63</v>
      </c>
      <c r="G1308" s="4" t="s">
        <v>1059</v>
      </c>
      <c r="H1308" s="4"/>
      <c r="I1308" s="4" t="n">
        <v>5.4594</v>
      </c>
      <c r="J1308" s="4" t="str">
        <f aca="false">TRIM(E1308) &amp; TRIM(C1308) &amp; TRIM(D1308)</f>
        <v>First ReviewMedia AdsUS</v>
      </c>
      <c r="K1308" s="4" t="n">
        <f aca="false">IFERROR(I1308*60,"")</f>
        <v>327.564</v>
      </c>
    </row>
    <row r="1309" customFormat="false" ht="15" hidden="false" customHeight="false" outlineLevel="0" collapsed="false">
      <c r="A1309" s="4" t="s">
        <v>15</v>
      </c>
      <c r="B1309" s="4" t="s">
        <v>973</v>
      </c>
      <c r="C1309" s="4" t="s">
        <v>977</v>
      </c>
      <c r="D1309" s="4" t="s">
        <v>126</v>
      </c>
      <c r="E1309" s="4" t="s">
        <v>66</v>
      </c>
      <c r="F1309" s="4" t="s">
        <v>67</v>
      </c>
      <c r="G1309" s="4" t="s">
        <v>1060</v>
      </c>
      <c r="H1309" s="4"/>
      <c r="I1309" s="4" t="n">
        <v>2.5947</v>
      </c>
      <c r="J1309" s="4" t="str">
        <f aca="false">TRIM(E1309) &amp; TRIM(C1309) &amp; TRIM(D1309)</f>
        <v>Posted RecallCommunity Interaction LivestreamMX</v>
      </c>
      <c r="K1309" s="4" t="n">
        <f aca="false">IFERROR(I1309*60,"")</f>
        <v>155.682</v>
      </c>
    </row>
    <row r="1310" customFormat="false" ht="15" hidden="false" customHeight="false" outlineLevel="0" collapsed="false">
      <c r="A1310" s="4" t="s">
        <v>15</v>
      </c>
      <c r="B1310" s="4" t="s">
        <v>973</v>
      </c>
      <c r="C1310" s="4" t="s">
        <v>979</v>
      </c>
      <c r="D1310" s="4" t="s">
        <v>267</v>
      </c>
      <c r="E1310" s="4" t="s">
        <v>63</v>
      </c>
      <c r="F1310" s="4" t="s">
        <v>63</v>
      </c>
      <c r="G1310" s="4" t="s">
        <v>1061</v>
      </c>
      <c r="H1310" s="4"/>
      <c r="I1310" s="4" t="n">
        <v>4.5332</v>
      </c>
      <c r="J1310" s="4" t="str">
        <f aca="false">TRIM(E1310) &amp; TRIM(C1310) &amp; TRIM(D1310)</f>
        <v>First ReviewBooking Ads Pre ApprovalID</v>
      </c>
      <c r="K1310" s="4" t="n">
        <f aca="false">IFERROR(I1310*60,"")</f>
        <v>271.992</v>
      </c>
    </row>
    <row r="1311" customFormat="false" ht="15" hidden="false" customHeight="false" outlineLevel="0" collapsed="false">
      <c r="A1311" s="4" t="s">
        <v>15</v>
      </c>
      <c r="B1311" s="4" t="s">
        <v>973</v>
      </c>
      <c r="C1311" s="4" t="s">
        <v>974</v>
      </c>
      <c r="D1311" s="4" t="s">
        <v>150</v>
      </c>
      <c r="E1311" s="4" t="s">
        <v>66</v>
      </c>
      <c r="F1311" s="4" t="s">
        <v>67</v>
      </c>
      <c r="G1311" s="4" t="s">
        <v>1035</v>
      </c>
      <c r="H1311" s="4"/>
      <c r="I1311" s="4" t="n">
        <v>0.4973</v>
      </c>
      <c r="J1311" s="4" t="str">
        <f aca="false">TRIM(E1311) &amp; TRIM(C1311) &amp; TRIM(D1311)</f>
        <v>Posted RecallHighlight ViewDE</v>
      </c>
      <c r="K1311" s="4" t="n">
        <f aca="false">IFERROR(I1311*60,"")</f>
        <v>29.838</v>
      </c>
    </row>
    <row r="1312" customFormat="false" ht="15" hidden="false" customHeight="false" outlineLevel="0" collapsed="false">
      <c r="A1312" s="4" t="s">
        <v>15</v>
      </c>
      <c r="B1312" s="4" t="s">
        <v>973</v>
      </c>
      <c r="C1312" s="4" t="s">
        <v>974</v>
      </c>
      <c r="D1312" s="4" t="s">
        <v>185</v>
      </c>
      <c r="E1312" s="4" t="s">
        <v>63</v>
      </c>
      <c r="F1312" s="4" t="s">
        <v>63</v>
      </c>
      <c r="G1312" s="4" t="s">
        <v>1062</v>
      </c>
      <c r="H1312" s="4"/>
      <c r="I1312" s="4" t="n">
        <v>5.6195</v>
      </c>
      <c r="J1312" s="4" t="str">
        <f aca="false">TRIM(E1312) &amp; TRIM(C1312) &amp; TRIM(D1312)</f>
        <v>First ReviewHighlight ViewDK</v>
      </c>
      <c r="K1312" s="4" t="n">
        <f aca="false">IFERROR(I1312*60,"")</f>
        <v>337.17</v>
      </c>
    </row>
    <row r="1313" customFormat="false" ht="15" hidden="false" customHeight="false" outlineLevel="0" collapsed="false">
      <c r="A1313" s="4" t="s">
        <v>15</v>
      </c>
      <c r="B1313" s="4" t="s">
        <v>973</v>
      </c>
      <c r="C1313" s="4" t="s">
        <v>985</v>
      </c>
      <c r="D1313" s="4" t="s">
        <v>136</v>
      </c>
      <c r="E1313" s="4" t="s">
        <v>63</v>
      </c>
      <c r="F1313" s="4" t="s">
        <v>63</v>
      </c>
      <c r="G1313" s="4" t="s">
        <v>1063</v>
      </c>
      <c r="H1313" s="4"/>
      <c r="I1313" s="4" t="n">
        <v>1.5313</v>
      </c>
      <c r="J1313" s="4" t="str">
        <f aca="false">TRIM(E1313) &amp; TRIM(C1313) &amp; TRIM(D1313)</f>
        <v>First ReviewR&amp;F AdsPE</v>
      </c>
      <c r="K1313" s="4" t="n">
        <f aca="false">IFERROR(I1313*60,"")</f>
        <v>91.878</v>
      </c>
    </row>
    <row r="1314" customFormat="false" ht="15" hidden="false" customHeight="false" outlineLevel="0" collapsed="false">
      <c r="A1314" s="4" t="s">
        <v>15</v>
      </c>
      <c r="B1314" s="4" t="s">
        <v>973</v>
      </c>
      <c r="C1314" s="4" t="s">
        <v>985</v>
      </c>
      <c r="D1314" s="4" t="s">
        <v>111</v>
      </c>
      <c r="E1314" s="4" t="s">
        <v>63</v>
      </c>
      <c r="F1314" s="4" t="s">
        <v>63</v>
      </c>
      <c r="G1314" s="4" t="s">
        <v>1064</v>
      </c>
      <c r="H1314" s="4"/>
      <c r="I1314" s="4" t="n">
        <v>3.9023</v>
      </c>
      <c r="J1314" s="4" t="str">
        <f aca="false">TRIM(E1314) &amp; TRIM(C1314) &amp; TRIM(D1314)</f>
        <v>First ReviewR&amp;F AdsUS</v>
      </c>
      <c r="K1314" s="4" t="n">
        <f aca="false">IFERROR(I1314*60,"")</f>
        <v>234.138</v>
      </c>
    </row>
    <row r="1315" customFormat="false" ht="15" hidden="false" customHeight="false" outlineLevel="0" collapsed="false">
      <c r="A1315" s="4" t="s">
        <v>15</v>
      </c>
      <c r="B1315" s="4" t="s">
        <v>973</v>
      </c>
      <c r="C1315" s="4" t="s">
        <v>977</v>
      </c>
      <c r="D1315" s="4" t="s">
        <v>106</v>
      </c>
      <c r="E1315" s="4" t="s">
        <v>66</v>
      </c>
      <c r="F1315" s="4" t="s">
        <v>67</v>
      </c>
      <c r="G1315" s="4" t="s">
        <v>1065</v>
      </c>
      <c r="H1315" s="4"/>
      <c r="I1315" s="4" t="n">
        <v>1.7934</v>
      </c>
      <c r="J1315" s="4" t="str">
        <f aca="false">TRIM(E1315) &amp; TRIM(C1315) &amp; TRIM(D1315)</f>
        <v>Posted RecallCommunity Interaction LivestreamMY</v>
      </c>
      <c r="K1315" s="4" t="n">
        <f aca="false">IFERROR(I1315*60,"")</f>
        <v>107.604</v>
      </c>
    </row>
    <row r="1316" customFormat="false" ht="15" hidden="false" customHeight="false" outlineLevel="0" collapsed="false">
      <c r="A1316" s="4" t="s">
        <v>15</v>
      </c>
      <c r="B1316" s="4" t="s">
        <v>973</v>
      </c>
      <c r="C1316" s="4" t="s">
        <v>974</v>
      </c>
      <c r="D1316" s="4" t="s">
        <v>362</v>
      </c>
      <c r="E1316" s="4" t="s">
        <v>63</v>
      </c>
      <c r="F1316" s="4" t="s">
        <v>63</v>
      </c>
      <c r="G1316" s="4" t="s">
        <v>1066</v>
      </c>
      <c r="H1316" s="4"/>
      <c r="I1316" s="4" t="n">
        <v>10.2343</v>
      </c>
      <c r="J1316" s="4" t="str">
        <f aca="false">TRIM(E1316) &amp; TRIM(C1316) &amp; TRIM(D1316)</f>
        <v>First ReviewHighlight ViewPA</v>
      </c>
      <c r="K1316" s="4" t="n">
        <f aca="false">IFERROR(I1316*60,"")</f>
        <v>614.058</v>
      </c>
    </row>
    <row r="1317" customFormat="false" ht="15" hidden="false" customHeight="false" outlineLevel="0" collapsed="false">
      <c r="A1317" s="4" t="s">
        <v>15</v>
      </c>
      <c r="B1317" s="4" t="s">
        <v>973</v>
      </c>
      <c r="C1317" s="4" t="s">
        <v>974</v>
      </c>
      <c r="D1317" s="4" t="s">
        <v>458</v>
      </c>
      <c r="E1317" s="4" t="s">
        <v>63</v>
      </c>
      <c r="F1317" s="4" t="s">
        <v>63</v>
      </c>
      <c r="G1317" s="4" t="s">
        <v>1067</v>
      </c>
      <c r="H1317" s="4"/>
      <c r="I1317" s="4" t="n">
        <v>4.3527</v>
      </c>
      <c r="J1317" s="4" t="str">
        <f aca="false">TRIM(E1317) &amp; TRIM(C1317) &amp; TRIM(D1317)</f>
        <v>First ReviewHighlight ViewTW</v>
      </c>
      <c r="K1317" s="4" t="n">
        <f aca="false">IFERROR(I1317*60,"")</f>
        <v>261.162</v>
      </c>
    </row>
    <row r="1318" customFormat="false" ht="15" hidden="false" customHeight="false" outlineLevel="0" collapsed="false">
      <c r="A1318" s="4" t="s">
        <v>15</v>
      </c>
      <c r="B1318" s="4" t="s">
        <v>973</v>
      </c>
      <c r="C1318" s="4" t="s">
        <v>974</v>
      </c>
      <c r="D1318" s="4" t="s">
        <v>154</v>
      </c>
      <c r="E1318" s="4" t="s">
        <v>63</v>
      </c>
      <c r="F1318" s="4" t="s">
        <v>63</v>
      </c>
      <c r="G1318" s="4" t="s">
        <v>1068</v>
      </c>
      <c r="H1318" s="4"/>
      <c r="I1318" s="4" t="n">
        <v>2.8078</v>
      </c>
      <c r="J1318" s="4" t="str">
        <f aca="false">TRIM(E1318) &amp; TRIM(C1318) &amp; TRIM(D1318)</f>
        <v>First ReviewHighlight ViewES</v>
      </c>
      <c r="K1318" s="4" t="n">
        <f aca="false">IFERROR(I1318*60,"")</f>
        <v>168.468</v>
      </c>
    </row>
    <row r="1319" customFormat="false" ht="15" hidden="false" customHeight="false" outlineLevel="0" collapsed="false">
      <c r="A1319" s="4" t="s">
        <v>15</v>
      </c>
      <c r="B1319" s="4" t="s">
        <v>973</v>
      </c>
      <c r="C1319" s="4" t="s">
        <v>974</v>
      </c>
      <c r="D1319" s="4" t="s">
        <v>197</v>
      </c>
      <c r="E1319" s="4" t="s">
        <v>63</v>
      </c>
      <c r="F1319" s="4" t="s">
        <v>63</v>
      </c>
      <c r="G1319" s="4" t="s">
        <v>1069</v>
      </c>
      <c r="H1319" s="4"/>
      <c r="I1319" s="4" t="n">
        <v>4.8353</v>
      </c>
      <c r="J1319" s="4" t="str">
        <f aca="false">TRIM(E1319) &amp; TRIM(C1319) &amp; TRIM(D1319)</f>
        <v>First ReviewHighlight ViewGR</v>
      </c>
      <c r="K1319" s="4" t="n">
        <f aca="false">IFERROR(I1319*60,"")</f>
        <v>290.118</v>
      </c>
    </row>
    <row r="1320" customFormat="false" ht="15" hidden="false" customHeight="false" outlineLevel="0" collapsed="false">
      <c r="A1320" s="4" t="s">
        <v>15</v>
      </c>
      <c r="B1320" s="4" t="s">
        <v>973</v>
      </c>
      <c r="C1320" s="4" t="s">
        <v>977</v>
      </c>
      <c r="D1320" s="4" t="s">
        <v>95</v>
      </c>
      <c r="E1320" s="4" t="s">
        <v>63</v>
      </c>
      <c r="F1320" s="4" t="s">
        <v>63</v>
      </c>
      <c r="G1320" s="4" t="s">
        <v>1047</v>
      </c>
      <c r="H1320" s="4"/>
      <c r="I1320" s="4" t="n">
        <v>2.8831</v>
      </c>
      <c r="J1320" s="4" t="str">
        <f aca="false">TRIM(E1320) &amp; TRIM(C1320) &amp; TRIM(D1320)</f>
        <v>First ReviewCommunity Interaction LivestreamVN</v>
      </c>
      <c r="K1320" s="4" t="n">
        <f aca="false">IFERROR(I1320*60,"")</f>
        <v>172.986</v>
      </c>
    </row>
    <row r="1321" customFormat="false" ht="15" hidden="false" customHeight="false" outlineLevel="0" collapsed="false">
      <c r="A1321" s="4" t="s">
        <v>15</v>
      </c>
      <c r="B1321" s="4" t="s">
        <v>973</v>
      </c>
      <c r="C1321" s="4" t="s">
        <v>989</v>
      </c>
      <c r="D1321" s="4" t="s">
        <v>195</v>
      </c>
      <c r="E1321" s="4" t="s">
        <v>63</v>
      </c>
      <c r="F1321" s="4" t="s">
        <v>63</v>
      </c>
      <c r="G1321" s="4" t="s">
        <v>1070</v>
      </c>
      <c r="H1321" s="4"/>
      <c r="I1321" s="4" t="n">
        <v>17.3423</v>
      </c>
      <c r="J1321" s="4" t="str">
        <f aca="false">TRIM(E1321) &amp; TRIM(C1321) &amp; TRIM(D1321)</f>
        <v>First ReviewMedia AdsIT</v>
      </c>
      <c r="K1321" s="4" t="n">
        <f aca="false">IFERROR(I1321*60,"")</f>
        <v>1040.538</v>
      </c>
    </row>
    <row r="1322" customFormat="false" ht="15" hidden="false" customHeight="false" outlineLevel="0" collapsed="false">
      <c r="A1322" s="4" t="s">
        <v>15</v>
      </c>
      <c r="B1322" s="4" t="s">
        <v>973</v>
      </c>
      <c r="C1322" s="4" t="s">
        <v>985</v>
      </c>
      <c r="D1322" s="4" t="s">
        <v>251</v>
      </c>
      <c r="E1322" s="4" t="s">
        <v>63</v>
      </c>
      <c r="F1322" s="4" t="s">
        <v>63</v>
      </c>
      <c r="G1322" s="4" t="s">
        <v>1071</v>
      </c>
      <c r="H1322" s="4"/>
      <c r="I1322" s="4" t="n">
        <v>4.2374</v>
      </c>
      <c r="J1322" s="4" t="str">
        <f aca="false">TRIM(E1322) &amp; TRIM(C1322) &amp; TRIM(D1322)</f>
        <v>First ReviewR&amp;F AdsRO</v>
      </c>
      <c r="K1322" s="4" t="n">
        <f aca="false">IFERROR(I1322*60,"")</f>
        <v>254.244</v>
      </c>
    </row>
    <row r="1323" customFormat="false" ht="15" hidden="false" customHeight="false" outlineLevel="0" collapsed="false">
      <c r="A1323" s="4" t="s">
        <v>15</v>
      </c>
      <c r="B1323" s="4" t="s">
        <v>973</v>
      </c>
      <c r="C1323" s="4" t="s">
        <v>985</v>
      </c>
      <c r="D1323" s="4" t="s">
        <v>154</v>
      </c>
      <c r="E1323" s="4" t="s">
        <v>66</v>
      </c>
      <c r="F1323" s="4" t="s">
        <v>67</v>
      </c>
      <c r="G1323" s="4" t="s">
        <v>1072</v>
      </c>
      <c r="H1323" s="4"/>
      <c r="I1323" s="4" t="n">
        <v>0.3983</v>
      </c>
      <c r="J1323" s="4" t="str">
        <f aca="false">TRIM(E1323) &amp; TRIM(C1323) &amp; TRIM(D1323)</f>
        <v>Posted RecallR&amp;F AdsES</v>
      </c>
      <c r="K1323" s="4" t="n">
        <f aca="false">IFERROR(I1323*60,"")</f>
        <v>23.898</v>
      </c>
    </row>
    <row r="1324" customFormat="false" ht="15" hidden="false" customHeight="false" outlineLevel="0" collapsed="false">
      <c r="A1324" s="4" t="s">
        <v>15</v>
      </c>
      <c r="B1324" s="4" t="s">
        <v>973</v>
      </c>
      <c r="C1324" s="4" t="s">
        <v>979</v>
      </c>
      <c r="D1324" s="4" t="s">
        <v>164</v>
      </c>
      <c r="E1324" s="4" t="s">
        <v>63</v>
      </c>
      <c r="F1324" s="4" t="s">
        <v>63</v>
      </c>
      <c r="G1324" s="4" t="s">
        <v>1073</v>
      </c>
      <c r="H1324" s="4"/>
      <c r="I1324" s="4" t="n">
        <v>12.0629</v>
      </c>
      <c r="J1324" s="4" t="str">
        <f aca="false">TRIM(E1324) &amp; TRIM(C1324) &amp; TRIM(D1324)</f>
        <v>First ReviewBooking Ads Pre ApprovalCR</v>
      </c>
      <c r="K1324" s="4" t="n">
        <f aca="false">IFERROR(I1324*60,"")</f>
        <v>723.774</v>
      </c>
    </row>
    <row r="1325" customFormat="false" ht="15" hidden="false" customHeight="false" outlineLevel="0" collapsed="false">
      <c r="A1325" s="4" t="s">
        <v>15</v>
      </c>
      <c r="B1325" s="4" t="s">
        <v>973</v>
      </c>
      <c r="C1325" s="4" t="s">
        <v>979</v>
      </c>
      <c r="D1325" s="4" t="s">
        <v>231</v>
      </c>
      <c r="E1325" s="4" t="s">
        <v>63</v>
      </c>
      <c r="F1325" s="4" t="s">
        <v>63</v>
      </c>
      <c r="G1325" s="4" t="s">
        <v>1074</v>
      </c>
      <c r="H1325" s="4"/>
      <c r="I1325" s="4" t="n">
        <v>2.0437</v>
      </c>
      <c r="J1325" s="4" t="str">
        <f aca="false">TRIM(E1325) &amp; TRIM(C1325) &amp; TRIM(D1325)</f>
        <v>First ReviewBooking Ads Pre ApprovalIL</v>
      </c>
      <c r="K1325" s="4" t="n">
        <f aca="false">IFERROR(I1325*60,"")</f>
        <v>122.622</v>
      </c>
    </row>
    <row r="1326" customFormat="false" ht="15" hidden="false" customHeight="false" outlineLevel="0" collapsed="false">
      <c r="A1326" s="4" t="s">
        <v>15</v>
      </c>
      <c r="B1326" s="4" t="s">
        <v>973</v>
      </c>
      <c r="C1326" s="4" t="s">
        <v>974</v>
      </c>
      <c r="D1326" s="4" t="s">
        <v>238</v>
      </c>
      <c r="E1326" s="4" t="s">
        <v>63</v>
      </c>
      <c r="F1326" s="4" t="s">
        <v>63</v>
      </c>
      <c r="G1326" s="4" t="s">
        <v>1075</v>
      </c>
      <c r="H1326" s="4"/>
      <c r="I1326" s="4" t="n">
        <v>4.8172</v>
      </c>
      <c r="J1326" s="4" t="str">
        <f aca="false">TRIM(E1326) &amp; TRIM(C1326) &amp; TRIM(D1326)</f>
        <v>First ReviewHighlight ViewCH</v>
      </c>
      <c r="K1326" s="4" t="n">
        <f aca="false">IFERROR(I1326*60,"")</f>
        <v>289.032</v>
      </c>
    </row>
    <row r="1327" customFormat="false" ht="15" hidden="false" customHeight="false" outlineLevel="0" collapsed="false">
      <c r="A1327" s="4" t="s">
        <v>15</v>
      </c>
      <c r="B1327" s="4" t="s">
        <v>973</v>
      </c>
      <c r="C1327" s="4" t="s">
        <v>989</v>
      </c>
      <c r="D1327" s="4" t="s">
        <v>136</v>
      </c>
      <c r="E1327" s="4" t="s">
        <v>63</v>
      </c>
      <c r="F1327" s="4" t="s">
        <v>63</v>
      </c>
      <c r="G1327" s="4" t="s">
        <v>1076</v>
      </c>
      <c r="H1327" s="4"/>
      <c r="I1327" s="4" t="n">
        <v>4.9824</v>
      </c>
      <c r="J1327" s="4" t="str">
        <f aca="false">TRIM(E1327) &amp; TRIM(C1327) &amp; TRIM(D1327)</f>
        <v>First ReviewMedia AdsPE</v>
      </c>
      <c r="K1327" s="4" t="n">
        <f aca="false">IFERROR(I1327*60,"")</f>
        <v>298.944</v>
      </c>
    </row>
    <row r="1328" customFormat="false" ht="15" hidden="false" customHeight="false" outlineLevel="0" collapsed="false">
      <c r="A1328" s="4" t="s">
        <v>15</v>
      </c>
      <c r="B1328" s="4" t="s">
        <v>973</v>
      </c>
      <c r="C1328" s="4" t="s">
        <v>989</v>
      </c>
      <c r="D1328" s="4" t="s">
        <v>100</v>
      </c>
      <c r="E1328" s="4" t="s">
        <v>63</v>
      </c>
      <c r="F1328" s="4" t="s">
        <v>63</v>
      </c>
      <c r="G1328" s="4" t="s">
        <v>1077</v>
      </c>
      <c r="H1328" s="4"/>
      <c r="I1328" s="4" t="n">
        <v>1.0917</v>
      </c>
      <c r="J1328" s="4" t="str">
        <f aca="false">TRIM(E1328) &amp; TRIM(C1328) &amp; TRIM(D1328)</f>
        <v>First ReviewMedia AdsAU</v>
      </c>
      <c r="K1328" s="4" t="n">
        <f aca="false">IFERROR(I1328*60,"")</f>
        <v>65.502</v>
      </c>
    </row>
    <row r="1329" customFormat="false" ht="15" hidden="false" customHeight="false" outlineLevel="0" collapsed="false">
      <c r="A1329" s="4" t="s">
        <v>15</v>
      </c>
      <c r="B1329" s="4" t="s">
        <v>973</v>
      </c>
      <c r="C1329" s="4" t="s">
        <v>974</v>
      </c>
      <c r="D1329" s="4" t="s">
        <v>95</v>
      </c>
      <c r="E1329" s="4" t="s">
        <v>63</v>
      </c>
      <c r="F1329" s="4" t="s">
        <v>63</v>
      </c>
      <c r="G1329" s="4" t="s">
        <v>1078</v>
      </c>
      <c r="H1329" s="4"/>
      <c r="I1329" s="4" t="n">
        <v>4.7693</v>
      </c>
      <c r="J1329" s="4" t="str">
        <f aca="false">TRIM(E1329) &amp; TRIM(C1329) &amp; TRIM(D1329)</f>
        <v>First ReviewHighlight ViewVN</v>
      </c>
      <c r="K1329" s="4" t="n">
        <f aca="false">IFERROR(I1329*60,"")</f>
        <v>286.158</v>
      </c>
    </row>
    <row r="1330" customFormat="false" ht="15" hidden="false" customHeight="false" outlineLevel="0" collapsed="false">
      <c r="A1330" s="4" t="s">
        <v>15</v>
      </c>
      <c r="B1330" s="4" t="s">
        <v>973</v>
      </c>
      <c r="C1330" s="4" t="s">
        <v>979</v>
      </c>
      <c r="D1330" s="4" t="s">
        <v>166</v>
      </c>
      <c r="E1330" s="4" t="s">
        <v>63</v>
      </c>
      <c r="F1330" s="4" t="s">
        <v>63</v>
      </c>
      <c r="G1330" s="4" t="s">
        <v>1079</v>
      </c>
      <c r="H1330" s="4"/>
      <c r="I1330" s="4" t="n">
        <v>7.621</v>
      </c>
      <c r="J1330" s="4" t="str">
        <f aca="false">TRIM(E1330) &amp; TRIM(C1330) &amp; TRIM(D1330)</f>
        <v>First ReviewBooking Ads Pre ApprovalCZ</v>
      </c>
      <c r="K1330" s="4" t="n">
        <f aca="false">IFERROR(I1330*60,"")</f>
        <v>457.26</v>
      </c>
    </row>
    <row r="1331" customFormat="false" ht="15" hidden="false" customHeight="false" outlineLevel="0" collapsed="false">
      <c r="A1331" s="4" t="s">
        <v>15</v>
      </c>
      <c r="B1331" s="4" t="s">
        <v>973</v>
      </c>
      <c r="C1331" s="4" t="s">
        <v>977</v>
      </c>
      <c r="D1331" s="4" t="s">
        <v>284</v>
      </c>
      <c r="E1331" s="4" t="s">
        <v>63</v>
      </c>
      <c r="F1331" s="4" t="s">
        <v>63</v>
      </c>
      <c r="G1331" s="4" t="s">
        <v>1004</v>
      </c>
      <c r="H1331" s="4"/>
      <c r="I1331" s="4" t="n">
        <v>1.2715</v>
      </c>
      <c r="J1331" s="4" t="str">
        <f aca="false">TRIM(E1331) &amp; TRIM(C1331) &amp; TRIM(D1331)</f>
        <v>First ReviewCommunity Interaction LivestreamTR</v>
      </c>
      <c r="K1331" s="4" t="n">
        <f aca="false">IFERROR(I1331*60,"")</f>
        <v>76.29</v>
      </c>
    </row>
    <row r="1332" customFormat="false" ht="15" hidden="false" customHeight="false" outlineLevel="0" collapsed="false">
      <c r="A1332" s="4" t="s">
        <v>15</v>
      </c>
      <c r="B1332" s="4" t="s">
        <v>973</v>
      </c>
      <c r="C1332" s="4" t="s">
        <v>989</v>
      </c>
      <c r="D1332" s="4" t="s">
        <v>126</v>
      </c>
      <c r="E1332" s="4" t="s">
        <v>63</v>
      </c>
      <c r="F1332" s="4" t="s">
        <v>63</v>
      </c>
      <c r="G1332" s="4" t="s">
        <v>1080</v>
      </c>
      <c r="H1332" s="4"/>
      <c r="I1332" s="4" t="n">
        <v>4.1146</v>
      </c>
      <c r="J1332" s="4" t="str">
        <f aca="false">TRIM(E1332) &amp; TRIM(C1332) &amp; TRIM(D1332)</f>
        <v>First ReviewMedia AdsMX</v>
      </c>
      <c r="K1332" s="4" t="n">
        <f aca="false">IFERROR(I1332*60,"")</f>
        <v>246.876</v>
      </c>
    </row>
    <row r="1333" customFormat="false" ht="15" hidden="false" customHeight="false" outlineLevel="0" collapsed="false">
      <c r="A1333" s="4" t="s">
        <v>15</v>
      </c>
      <c r="B1333" s="4" t="s">
        <v>973</v>
      </c>
      <c r="C1333" s="4" t="s">
        <v>985</v>
      </c>
      <c r="D1333" s="4" t="s">
        <v>243</v>
      </c>
      <c r="E1333" s="4" t="s">
        <v>63</v>
      </c>
      <c r="F1333" s="4" t="s">
        <v>63</v>
      </c>
      <c r="G1333" s="4" t="s">
        <v>1081</v>
      </c>
      <c r="H1333" s="4"/>
      <c r="I1333" s="4" t="n">
        <v>7.9249</v>
      </c>
      <c r="J1333" s="4" t="str">
        <f aca="false">TRIM(E1333) &amp; TRIM(C1333) &amp; TRIM(D1333)</f>
        <v>First ReviewR&amp;F AdsBY</v>
      </c>
      <c r="K1333" s="4" t="n">
        <f aca="false">IFERROR(I1333*60,"")</f>
        <v>475.494</v>
      </c>
    </row>
    <row r="1334" customFormat="false" ht="15" hidden="false" customHeight="false" outlineLevel="0" collapsed="false">
      <c r="A1334" s="4" t="s">
        <v>15</v>
      </c>
      <c r="B1334" s="4" t="s">
        <v>973</v>
      </c>
      <c r="C1334" s="4" t="s">
        <v>974</v>
      </c>
      <c r="D1334" s="4" t="s">
        <v>166</v>
      </c>
      <c r="E1334" s="4" t="s">
        <v>63</v>
      </c>
      <c r="F1334" s="4" t="s">
        <v>63</v>
      </c>
      <c r="G1334" s="4" t="s">
        <v>1082</v>
      </c>
      <c r="H1334" s="4"/>
      <c r="I1334" s="4" t="n">
        <v>0.1085</v>
      </c>
      <c r="J1334" s="4" t="str">
        <f aca="false">TRIM(E1334) &amp; TRIM(C1334) &amp; TRIM(D1334)</f>
        <v>First ReviewHighlight ViewCZ</v>
      </c>
      <c r="K1334" s="4" t="n">
        <f aca="false">IFERROR(I1334*60,"")</f>
        <v>6.51</v>
      </c>
    </row>
    <row r="1335" customFormat="false" ht="15" hidden="false" customHeight="false" outlineLevel="0" collapsed="false">
      <c r="A1335" s="4" t="s">
        <v>15</v>
      </c>
      <c r="B1335" s="4" t="s">
        <v>973</v>
      </c>
      <c r="C1335" s="4" t="s">
        <v>985</v>
      </c>
      <c r="D1335" s="4" t="s">
        <v>275</v>
      </c>
      <c r="E1335" s="4" t="s">
        <v>63</v>
      </c>
      <c r="F1335" s="4" t="s">
        <v>63</v>
      </c>
      <c r="G1335" s="4" t="s">
        <v>1083</v>
      </c>
      <c r="H1335" s="4"/>
      <c r="I1335" s="4" t="n">
        <v>4.6692</v>
      </c>
      <c r="J1335" s="4" t="str">
        <f aca="false">TRIM(E1335) &amp; TRIM(C1335) &amp; TRIM(D1335)</f>
        <v>First ReviewR&amp;F AdsGB</v>
      </c>
      <c r="K1335" s="4" t="n">
        <f aca="false">IFERROR(I1335*60,"")</f>
        <v>280.152</v>
      </c>
    </row>
    <row r="1336" customFormat="false" ht="15" hidden="false" customHeight="false" outlineLevel="0" collapsed="false">
      <c r="A1336" s="4" t="s">
        <v>15</v>
      </c>
      <c r="B1336" s="4" t="s">
        <v>973</v>
      </c>
      <c r="C1336" s="4" t="s">
        <v>989</v>
      </c>
      <c r="D1336" s="4" t="s">
        <v>271</v>
      </c>
      <c r="E1336" s="4" t="s">
        <v>63</v>
      </c>
      <c r="F1336" s="4" t="s">
        <v>63</v>
      </c>
      <c r="G1336" s="4" t="s">
        <v>1084</v>
      </c>
      <c r="H1336" s="4"/>
      <c r="I1336" s="4" t="n">
        <v>0.5356</v>
      </c>
      <c r="J1336" s="4" t="str">
        <f aca="false">TRIM(E1336) &amp; TRIM(C1336) &amp; TRIM(D1336)</f>
        <v>First ReviewMedia AdsKW</v>
      </c>
      <c r="K1336" s="4" t="n">
        <f aca="false">IFERROR(I1336*60,"")</f>
        <v>32.136</v>
      </c>
    </row>
    <row r="1337" customFormat="false" ht="15" hidden="false" customHeight="false" outlineLevel="0" collapsed="false">
      <c r="A1337" s="4" t="s">
        <v>15</v>
      </c>
      <c r="B1337" s="4" t="s">
        <v>973</v>
      </c>
      <c r="C1337" s="4" t="s">
        <v>974</v>
      </c>
      <c r="D1337" s="4" t="s">
        <v>213</v>
      </c>
      <c r="E1337" s="4" t="s">
        <v>63</v>
      </c>
      <c r="F1337" s="4" t="s">
        <v>63</v>
      </c>
      <c r="G1337" s="4" t="s">
        <v>1085</v>
      </c>
      <c r="H1337" s="4"/>
      <c r="I1337" s="4" t="n">
        <v>10.6095</v>
      </c>
      <c r="J1337" s="4" t="str">
        <f aca="false">TRIM(E1337) &amp; TRIM(C1337) &amp; TRIM(D1337)</f>
        <v>First ReviewHighlight ViewFR</v>
      </c>
      <c r="K1337" s="4" t="n">
        <f aca="false">IFERROR(I1337*60,"")</f>
        <v>636.57</v>
      </c>
    </row>
    <row r="1338" customFormat="false" ht="15" hidden="false" customHeight="false" outlineLevel="0" collapsed="false">
      <c r="A1338" s="4" t="s">
        <v>15</v>
      </c>
      <c r="B1338" s="4" t="s">
        <v>973</v>
      </c>
      <c r="C1338" s="4" t="s">
        <v>974</v>
      </c>
      <c r="D1338" s="4" t="s">
        <v>70</v>
      </c>
      <c r="E1338" s="4" t="s">
        <v>63</v>
      </c>
      <c r="F1338" s="4" t="s">
        <v>63</v>
      </c>
      <c r="G1338" s="4" t="s">
        <v>1086</v>
      </c>
      <c r="H1338" s="4"/>
      <c r="I1338" s="4" t="n">
        <v>7.4936</v>
      </c>
      <c r="J1338" s="4" t="str">
        <f aca="false">TRIM(E1338) &amp; TRIM(C1338) &amp; TRIM(D1338)</f>
        <v>First ReviewHighlight ViewBE</v>
      </c>
      <c r="K1338" s="4" t="n">
        <f aca="false">IFERROR(I1338*60,"")</f>
        <v>449.616</v>
      </c>
    </row>
    <row r="1339" customFormat="false" ht="15" hidden="false" customHeight="false" outlineLevel="0" collapsed="false">
      <c r="A1339" s="4" t="s">
        <v>15</v>
      </c>
      <c r="B1339" s="4" t="s">
        <v>973</v>
      </c>
      <c r="C1339" s="4" t="s">
        <v>974</v>
      </c>
      <c r="D1339" s="4" t="s">
        <v>208</v>
      </c>
      <c r="E1339" s="4" t="s">
        <v>63</v>
      </c>
      <c r="F1339" s="4" t="s">
        <v>63</v>
      </c>
      <c r="G1339" s="4" t="s">
        <v>1087</v>
      </c>
      <c r="H1339" s="4"/>
      <c r="I1339" s="4" t="n">
        <v>8.5574</v>
      </c>
      <c r="J1339" s="4" t="str">
        <f aca="false">TRIM(E1339) &amp; TRIM(C1339) &amp; TRIM(D1339)</f>
        <v>First ReviewHighlight ViewCO</v>
      </c>
      <c r="K1339" s="4" t="n">
        <f aca="false">IFERROR(I1339*60,"")</f>
        <v>513.444</v>
      </c>
    </row>
    <row r="1340" customFormat="false" ht="15" hidden="false" customHeight="false" outlineLevel="0" collapsed="false">
      <c r="A1340" s="4" t="s">
        <v>15</v>
      </c>
      <c r="B1340" s="4" t="s">
        <v>973</v>
      </c>
      <c r="C1340" s="4" t="s">
        <v>979</v>
      </c>
      <c r="D1340" s="4" t="s">
        <v>197</v>
      </c>
      <c r="E1340" s="4" t="s">
        <v>63</v>
      </c>
      <c r="F1340" s="4" t="s">
        <v>63</v>
      </c>
      <c r="G1340" s="4" t="s">
        <v>1088</v>
      </c>
      <c r="H1340" s="4"/>
      <c r="I1340" s="4" t="n">
        <v>16.5337</v>
      </c>
      <c r="J1340" s="4" t="str">
        <f aca="false">TRIM(E1340) &amp; TRIM(C1340) &amp; TRIM(D1340)</f>
        <v>First ReviewBooking Ads Pre ApprovalGR</v>
      </c>
      <c r="K1340" s="4" t="n">
        <f aca="false">IFERROR(I1340*60,"")</f>
        <v>992.022</v>
      </c>
    </row>
    <row r="1341" customFormat="false" ht="15" hidden="false" customHeight="false" outlineLevel="0" collapsed="false">
      <c r="A1341" s="4" t="s">
        <v>15</v>
      </c>
      <c r="B1341" s="4" t="s">
        <v>973</v>
      </c>
      <c r="C1341" s="4" t="s">
        <v>979</v>
      </c>
      <c r="D1341" s="4" t="s">
        <v>308</v>
      </c>
      <c r="E1341" s="4" t="s">
        <v>63</v>
      </c>
      <c r="F1341" s="4" t="s">
        <v>63</v>
      </c>
      <c r="G1341" s="4" t="s">
        <v>1089</v>
      </c>
      <c r="H1341" s="4"/>
      <c r="I1341" s="4" t="n">
        <v>4.5205</v>
      </c>
      <c r="J1341" s="4" t="str">
        <f aca="false">TRIM(E1341) &amp; TRIM(C1341) &amp; TRIM(D1341)</f>
        <v>First ReviewBooking Ads Pre ApprovalPL</v>
      </c>
      <c r="K1341" s="4" t="n">
        <f aca="false">IFERROR(I1341*60,"")</f>
        <v>271.23</v>
      </c>
    </row>
    <row r="1342" customFormat="false" ht="15" hidden="false" customHeight="false" outlineLevel="0" collapsed="false">
      <c r="A1342" s="4" t="s">
        <v>15</v>
      </c>
      <c r="B1342" s="4" t="s">
        <v>973</v>
      </c>
      <c r="C1342" s="4" t="s">
        <v>979</v>
      </c>
      <c r="D1342" s="4" t="s">
        <v>62</v>
      </c>
      <c r="E1342" s="4" t="s">
        <v>63</v>
      </c>
      <c r="F1342" s="4" t="s">
        <v>63</v>
      </c>
      <c r="G1342" s="4" t="s">
        <v>1090</v>
      </c>
      <c r="H1342" s="4"/>
      <c r="I1342" s="4" t="n">
        <v>19.8429</v>
      </c>
      <c r="J1342" s="4" t="str">
        <f aca="false">TRIM(E1342) &amp; TRIM(C1342) &amp; TRIM(D1342)</f>
        <v>First ReviewBooking Ads Pre ApprovalCL</v>
      </c>
      <c r="K1342" s="4" t="n">
        <f aca="false">IFERROR(I1342*60,"")</f>
        <v>1190.574</v>
      </c>
    </row>
    <row r="1343" customFormat="false" ht="15" hidden="false" customHeight="false" outlineLevel="0" collapsed="false">
      <c r="A1343" s="4" t="s">
        <v>15</v>
      </c>
      <c r="B1343" s="4" t="s">
        <v>973</v>
      </c>
      <c r="C1343" s="4" t="s">
        <v>979</v>
      </c>
      <c r="D1343" s="4" t="s">
        <v>115</v>
      </c>
      <c r="E1343" s="4" t="s">
        <v>63</v>
      </c>
      <c r="F1343" s="4" t="s">
        <v>63</v>
      </c>
      <c r="G1343" s="4" t="s">
        <v>1091</v>
      </c>
      <c r="H1343" s="4"/>
      <c r="I1343" s="4" t="n">
        <v>4.446</v>
      </c>
      <c r="J1343" s="4" t="str">
        <f aca="false">TRIM(E1343) &amp; TRIM(C1343) &amp; TRIM(D1343)</f>
        <v>First ReviewBooking Ads Pre ApprovalAT</v>
      </c>
      <c r="K1343" s="4" t="n">
        <f aca="false">IFERROR(I1343*60,"")</f>
        <v>266.76</v>
      </c>
    </row>
    <row r="1344" customFormat="false" ht="15" hidden="false" customHeight="false" outlineLevel="0" collapsed="false">
      <c r="A1344" s="4" t="s">
        <v>15</v>
      </c>
      <c r="B1344" s="4" t="s">
        <v>973</v>
      </c>
      <c r="C1344" s="4" t="s">
        <v>979</v>
      </c>
      <c r="D1344" s="4" t="s">
        <v>157</v>
      </c>
      <c r="E1344" s="4" t="s">
        <v>63</v>
      </c>
      <c r="F1344" s="4" t="s">
        <v>63</v>
      </c>
      <c r="G1344" s="4" t="s">
        <v>1092</v>
      </c>
      <c r="H1344" s="4"/>
      <c r="I1344" s="4" t="n">
        <v>10.9144</v>
      </c>
      <c r="J1344" s="4" t="str">
        <f aca="false">TRIM(E1344) &amp; TRIM(C1344) &amp; TRIM(D1344)</f>
        <v>First ReviewBooking Ads Pre ApprovalSA</v>
      </c>
      <c r="K1344" s="4" t="n">
        <f aca="false">IFERROR(I1344*60,"")</f>
        <v>654.864</v>
      </c>
    </row>
    <row r="1345" customFormat="false" ht="15" hidden="false" customHeight="false" outlineLevel="0" collapsed="false">
      <c r="A1345" s="4" t="s">
        <v>15</v>
      </c>
      <c r="B1345" s="4" t="s">
        <v>973</v>
      </c>
      <c r="C1345" s="4" t="s">
        <v>974</v>
      </c>
      <c r="D1345" s="4" t="s">
        <v>265</v>
      </c>
      <c r="E1345" s="4" t="s">
        <v>63</v>
      </c>
      <c r="F1345" s="4" t="s">
        <v>63</v>
      </c>
      <c r="G1345" s="4" t="s">
        <v>1093</v>
      </c>
      <c r="H1345" s="4"/>
      <c r="I1345" s="4" t="n">
        <v>8.1708</v>
      </c>
      <c r="J1345" s="4" t="str">
        <f aca="false">TRIM(E1345) &amp; TRIM(C1345) &amp; TRIM(D1345)</f>
        <v>First ReviewHighlight ViewNO</v>
      </c>
      <c r="K1345" s="4" t="n">
        <f aca="false">IFERROR(I1345*60,"")</f>
        <v>490.248</v>
      </c>
    </row>
    <row r="1346" customFormat="false" ht="15" hidden="false" customHeight="false" outlineLevel="0" collapsed="false">
      <c r="A1346" s="4" t="s">
        <v>15</v>
      </c>
      <c r="B1346" s="4" t="s">
        <v>973</v>
      </c>
      <c r="C1346" s="4" t="s">
        <v>977</v>
      </c>
      <c r="D1346" s="4" t="s">
        <v>121</v>
      </c>
      <c r="E1346" s="4" t="s">
        <v>63</v>
      </c>
      <c r="F1346" s="4" t="s">
        <v>63</v>
      </c>
      <c r="G1346" s="4" t="s">
        <v>998</v>
      </c>
      <c r="H1346" s="4"/>
      <c r="I1346" s="4" t="n">
        <v>7.8187</v>
      </c>
      <c r="J1346" s="4" t="str">
        <f aca="false">TRIM(E1346) &amp; TRIM(C1346) &amp; TRIM(D1346)</f>
        <v>First ReviewCommunity Interaction LivestreamKR</v>
      </c>
      <c r="K1346" s="4" t="n">
        <f aca="false">IFERROR(I1346*60,"")</f>
        <v>469.122</v>
      </c>
    </row>
    <row r="1347" customFormat="false" ht="15" hidden="false" customHeight="false" outlineLevel="0" collapsed="false">
      <c r="A1347" s="4" t="s">
        <v>15</v>
      </c>
      <c r="B1347" s="4" t="s">
        <v>973</v>
      </c>
      <c r="C1347" s="4" t="s">
        <v>979</v>
      </c>
      <c r="D1347" s="4" t="s">
        <v>97</v>
      </c>
      <c r="E1347" s="4" t="s">
        <v>63</v>
      </c>
      <c r="F1347" s="4" t="s">
        <v>63</v>
      </c>
      <c r="G1347" s="4" t="s">
        <v>1094</v>
      </c>
      <c r="H1347" s="4"/>
      <c r="I1347" s="4" t="n">
        <v>18.9572</v>
      </c>
      <c r="J1347" s="4" t="str">
        <f aca="false">TRIM(E1347) &amp; TRIM(C1347) &amp; TRIM(D1347)</f>
        <v>First ReviewBooking Ads Pre ApprovalBR</v>
      </c>
      <c r="K1347" s="4" t="n">
        <f aca="false">IFERROR(I1347*60,"")</f>
        <v>1137.432</v>
      </c>
    </row>
    <row r="1348" customFormat="false" ht="15" hidden="false" customHeight="false" outlineLevel="0" collapsed="false">
      <c r="A1348" s="4" t="s">
        <v>15</v>
      </c>
      <c r="B1348" s="4" t="s">
        <v>973</v>
      </c>
      <c r="C1348" s="4" t="s">
        <v>974</v>
      </c>
      <c r="D1348" s="4" t="s">
        <v>310</v>
      </c>
      <c r="E1348" s="4" t="s">
        <v>63</v>
      </c>
      <c r="F1348" s="4" t="s">
        <v>63</v>
      </c>
      <c r="G1348" s="4" t="s">
        <v>1095</v>
      </c>
      <c r="H1348" s="4"/>
      <c r="I1348" s="4" t="n">
        <v>0.2297</v>
      </c>
      <c r="J1348" s="4" t="str">
        <f aca="false">TRIM(E1348) &amp; TRIM(C1348) &amp; TRIM(D1348)</f>
        <v>First ReviewHighlight ViewUY</v>
      </c>
      <c r="K1348" s="4" t="n">
        <f aca="false">IFERROR(I1348*60,"")</f>
        <v>13.782</v>
      </c>
    </row>
    <row r="1349" customFormat="false" ht="15" hidden="false" customHeight="false" outlineLevel="0" collapsed="false">
      <c r="A1349" s="4" t="s">
        <v>15</v>
      </c>
      <c r="B1349" s="4" t="s">
        <v>973</v>
      </c>
      <c r="C1349" s="4" t="s">
        <v>974</v>
      </c>
      <c r="D1349" s="4" t="s">
        <v>79</v>
      </c>
      <c r="E1349" s="4" t="s">
        <v>63</v>
      </c>
      <c r="F1349" s="4" t="s">
        <v>63</v>
      </c>
      <c r="G1349" s="4" t="s">
        <v>1096</v>
      </c>
      <c r="H1349" s="4"/>
      <c r="I1349" s="4" t="n">
        <v>3.3674</v>
      </c>
      <c r="J1349" s="4" t="str">
        <f aca="false">TRIM(E1349) &amp; TRIM(C1349) &amp; TRIM(D1349)</f>
        <v>First ReviewHighlight ViewZA</v>
      </c>
      <c r="K1349" s="4" t="n">
        <f aca="false">IFERROR(I1349*60,"")</f>
        <v>202.044</v>
      </c>
    </row>
    <row r="1350" customFormat="false" ht="15" hidden="false" customHeight="false" outlineLevel="0" collapsed="false">
      <c r="A1350" s="4" t="s">
        <v>15</v>
      </c>
      <c r="B1350" s="4" t="s">
        <v>973</v>
      </c>
      <c r="C1350" s="4" t="s">
        <v>974</v>
      </c>
      <c r="D1350" s="4" t="s">
        <v>203</v>
      </c>
      <c r="E1350" s="4" t="s">
        <v>63</v>
      </c>
      <c r="F1350" s="4" t="s">
        <v>63</v>
      </c>
      <c r="G1350" s="4" t="s">
        <v>1097</v>
      </c>
      <c r="H1350" s="4"/>
      <c r="I1350" s="4" t="n">
        <v>10.9838</v>
      </c>
      <c r="J1350" s="4" t="str">
        <f aca="false">TRIM(E1350) &amp; TRIM(C1350) &amp; TRIM(D1350)</f>
        <v>First ReviewHighlight ViewCA</v>
      </c>
      <c r="K1350" s="4" t="n">
        <f aca="false">IFERROR(I1350*60,"")</f>
        <v>659.028</v>
      </c>
    </row>
    <row r="1351" customFormat="false" ht="15" hidden="false" customHeight="false" outlineLevel="0" collapsed="false">
      <c r="A1351" s="4" t="s">
        <v>15</v>
      </c>
      <c r="B1351" s="4" t="s">
        <v>973</v>
      </c>
      <c r="C1351" s="4" t="s">
        <v>989</v>
      </c>
      <c r="D1351" s="4" t="s">
        <v>203</v>
      </c>
      <c r="E1351" s="4" t="s">
        <v>63</v>
      </c>
      <c r="F1351" s="4" t="s">
        <v>63</v>
      </c>
      <c r="G1351" s="4" t="s">
        <v>1098</v>
      </c>
      <c r="H1351" s="4"/>
      <c r="I1351" s="4" t="n">
        <v>2.2559</v>
      </c>
      <c r="J1351" s="4" t="str">
        <f aca="false">TRIM(E1351) &amp; TRIM(C1351) &amp; TRIM(D1351)</f>
        <v>First ReviewMedia AdsCA</v>
      </c>
      <c r="K1351" s="4" t="n">
        <f aca="false">IFERROR(I1351*60,"")</f>
        <v>135.354</v>
      </c>
    </row>
    <row r="1352" customFormat="false" ht="15" hidden="false" customHeight="false" outlineLevel="0" collapsed="false">
      <c r="A1352" s="4" t="s">
        <v>15</v>
      </c>
      <c r="B1352" s="4" t="s">
        <v>973</v>
      </c>
      <c r="C1352" s="4" t="s">
        <v>979</v>
      </c>
      <c r="D1352" s="4" t="s">
        <v>195</v>
      </c>
      <c r="E1352" s="4" t="s">
        <v>63</v>
      </c>
      <c r="F1352" s="4" t="s">
        <v>63</v>
      </c>
      <c r="G1352" s="4" t="s">
        <v>1099</v>
      </c>
      <c r="H1352" s="4"/>
      <c r="I1352" s="4" t="n">
        <v>4.5507</v>
      </c>
      <c r="J1352" s="4" t="str">
        <f aca="false">TRIM(E1352) &amp; TRIM(C1352) &amp; TRIM(D1352)</f>
        <v>First ReviewBooking Ads Pre ApprovalIT</v>
      </c>
      <c r="K1352" s="4" t="n">
        <f aca="false">IFERROR(I1352*60,"")</f>
        <v>273.042</v>
      </c>
    </row>
    <row r="1353" customFormat="false" ht="15" hidden="false" customHeight="false" outlineLevel="0" collapsed="false">
      <c r="A1353" s="4" t="s">
        <v>15</v>
      </c>
      <c r="B1353" s="4" t="s">
        <v>973</v>
      </c>
      <c r="C1353" s="4" t="s">
        <v>974</v>
      </c>
      <c r="D1353" s="4" t="s">
        <v>267</v>
      </c>
      <c r="E1353" s="4" t="s">
        <v>63</v>
      </c>
      <c r="F1353" s="4" t="s">
        <v>63</v>
      </c>
      <c r="G1353" s="4" t="s">
        <v>1100</v>
      </c>
      <c r="H1353" s="4"/>
      <c r="I1353" s="4" t="n">
        <v>9.8417</v>
      </c>
      <c r="J1353" s="4" t="str">
        <f aca="false">TRIM(E1353) &amp; TRIM(C1353) &amp; TRIM(D1353)</f>
        <v>First ReviewHighlight ViewID</v>
      </c>
      <c r="K1353" s="4" t="n">
        <f aca="false">IFERROR(I1353*60,"")</f>
        <v>590.502</v>
      </c>
    </row>
    <row r="1354" customFormat="false" ht="15" hidden="false" customHeight="false" outlineLevel="0" collapsed="false">
      <c r="A1354" s="4" t="s">
        <v>15</v>
      </c>
      <c r="B1354" s="4" t="s">
        <v>973</v>
      </c>
      <c r="C1354" s="4" t="s">
        <v>985</v>
      </c>
      <c r="D1354" s="4" t="s">
        <v>95</v>
      </c>
      <c r="E1354" s="4" t="s">
        <v>63</v>
      </c>
      <c r="F1354" s="4" t="s">
        <v>63</v>
      </c>
      <c r="G1354" s="4" t="s">
        <v>1101</v>
      </c>
      <c r="H1354" s="4"/>
      <c r="I1354" s="4" t="n">
        <v>10.1895</v>
      </c>
      <c r="J1354" s="4" t="str">
        <f aca="false">TRIM(E1354) &amp; TRIM(C1354) &amp; TRIM(D1354)</f>
        <v>First ReviewR&amp;F AdsVN</v>
      </c>
      <c r="K1354" s="4" t="n">
        <f aca="false">IFERROR(I1354*60,"")</f>
        <v>611.37</v>
      </c>
    </row>
    <row r="1355" customFormat="false" ht="15" hidden="false" customHeight="false" outlineLevel="0" collapsed="false">
      <c r="A1355" s="4" t="s">
        <v>15</v>
      </c>
      <c r="B1355" s="4" t="s">
        <v>973</v>
      </c>
      <c r="C1355" s="4" t="s">
        <v>974</v>
      </c>
      <c r="D1355" s="4" t="s">
        <v>97</v>
      </c>
      <c r="E1355" s="4" t="s">
        <v>63</v>
      </c>
      <c r="F1355" s="4" t="s">
        <v>63</v>
      </c>
      <c r="G1355" s="4" t="s">
        <v>1102</v>
      </c>
      <c r="H1355" s="4"/>
      <c r="I1355" s="4" t="n">
        <v>12.1807</v>
      </c>
      <c r="J1355" s="4" t="str">
        <f aca="false">TRIM(E1355) &amp; TRIM(C1355) &amp; TRIM(D1355)</f>
        <v>First ReviewHighlight ViewBR</v>
      </c>
      <c r="K1355" s="4" t="n">
        <f aca="false">IFERROR(I1355*60,"")</f>
        <v>730.842</v>
      </c>
    </row>
    <row r="1356" customFormat="false" ht="15" hidden="false" customHeight="false" outlineLevel="0" collapsed="false">
      <c r="A1356" s="4" t="s">
        <v>15</v>
      </c>
      <c r="B1356" s="4" t="s">
        <v>973</v>
      </c>
      <c r="C1356" s="4" t="s">
        <v>974</v>
      </c>
      <c r="D1356" s="4" t="s">
        <v>901</v>
      </c>
      <c r="E1356" s="4" t="s">
        <v>63</v>
      </c>
      <c r="F1356" s="4" t="s">
        <v>63</v>
      </c>
      <c r="G1356" s="4" t="s">
        <v>1103</v>
      </c>
      <c r="H1356" s="4"/>
      <c r="I1356" s="4" t="n">
        <v>8.0353</v>
      </c>
      <c r="J1356" s="4" t="str">
        <f aca="false">TRIM(E1356) &amp; TRIM(C1356) &amp; TRIM(D1356)</f>
        <v>First ReviewHighlight ViewLU</v>
      </c>
      <c r="K1356" s="4" t="n">
        <f aca="false">IFERROR(I1356*60,"")</f>
        <v>482.118</v>
      </c>
    </row>
    <row r="1357" customFormat="false" ht="15" hidden="false" customHeight="false" outlineLevel="0" collapsed="false">
      <c r="A1357" s="4" t="s">
        <v>15</v>
      </c>
      <c r="B1357" s="4" t="s">
        <v>973</v>
      </c>
      <c r="C1357" s="4" t="s">
        <v>974</v>
      </c>
      <c r="D1357" s="4" t="s">
        <v>251</v>
      </c>
      <c r="E1357" s="4" t="s">
        <v>63</v>
      </c>
      <c r="F1357" s="4" t="s">
        <v>63</v>
      </c>
      <c r="G1357" s="4" t="s">
        <v>1104</v>
      </c>
      <c r="H1357" s="4"/>
      <c r="I1357" s="4" t="n">
        <v>8.8301</v>
      </c>
      <c r="J1357" s="4" t="str">
        <f aca="false">TRIM(E1357) &amp; TRIM(C1357) &amp; TRIM(D1357)</f>
        <v>First ReviewHighlight ViewRO</v>
      </c>
      <c r="K1357" s="4" t="n">
        <f aca="false">IFERROR(I1357*60,"")</f>
        <v>529.806</v>
      </c>
    </row>
    <row r="1358" customFormat="false" ht="15" hidden="false" customHeight="false" outlineLevel="0" collapsed="false">
      <c r="A1358" s="4" t="s">
        <v>15</v>
      </c>
      <c r="B1358" s="4" t="s">
        <v>973</v>
      </c>
      <c r="C1358" s="4" t="s">
        <v>974</v>
      </c>
      <c r="D1358" s="4" t="s">
        <v>221</v>
      </c>
      <c r="E1358" s="4" t="s">
        <v>63</v>
      </c>
      <c r="F1358" s="4" t="s">
        <v>63</v>
      </c>
      <c r="G1358" s="4" t="s">
        <v>1105</v>
      </c>
      <c r="H1358" s="4"/>
      <c r="I1358" s="4" t="n">
        <v>11.3479</v>
      </c>
      <c r="J1358" s="4" t="str">
        <f aca="false">TRIM(E1358) &amp; TRIM(C1358) &amp; TRIM(D1358)</f>
        <v>First ReviewHighlight ViewOM</v>
      </c>
      <c r="K1358" s="4" t="n">
        <f aca="false">IFERROR(I1358*60,"")</f>
        <v>680.874</v>
      </c>
    </row>
    <row r="1359" customFormat="false" ht="15" hidden="false" customHeight="false" outlineLevel="0" collapsed="false">
      <c r="A1359" s="4" t="s">
        <v>15</v>
      </c>
      <c r="B1359" s="4" t="s">
        <v>973</v>
      </c>
      <c r="C1359" s="4" t="s">
        <v>989</v>
      </c>
      <c r="D1359" s="4" t="s">
        <v>190</v>
      </c>
      <c r="E1359" s="4" t="s">
        <v>63</v>
      </c>
      <c r="F1359" s="4" t="s">
        <v>63</v>
      </c>
      <c r="G1359" s="4" t="s">
        <v>1106</v>
      </c>
      <c r="H1359" s="4"/>
      <c r="I1359" s="4" t="n">
        <v>0.2578</v>
      </c>
      <c r="J1359" s="4" t="str">
        <f aca="false">TRIM(E1359) &amp; TRIM(C1359) &amp; TRIM(D1359)</f>
        <v>First ReviewMedia AdsPH</v>
      </c>
      <c r="K1359" s="4" t="n">
        <f aca="false">IFERROR(I1359*60,"")</f>
        <v>15.468</v>
      </c>
    </row>
    <row r="1360" customFormat="false" ht="15" hidden="false" customHeight="false" outlineLevel="0" collapsed="false">
      <c r="A1360" s="4" t="s">
        <v>15</v>
      </c>
      <c r="B1360" s="4" t="s">
        <v>973</v>
      </c>
      <c r="C1360" s="4" t="s">
        <v>974</v>
      </c>
      <c r="D1360" s="4" t="s">
        <v>111</v>
      </c>
      <c r="E1360" s="4" t="s">
        <v>63</v>
      </c>
      <c r="F1360" s="4" t="s">
        <v>63</v>
      </c>
      <c r="G1360" s="4" t="s">
        <v>1107</v>
      </c>
      <c r="H1360" s="4"/>
      <c r="I1360" s="4" t="n">
        <v>8.2008</v>
      </c>
      <c r="J1360" s="4" t="str">
        <f aca="false">TRIM(E1360) &amp; TRIM(C1360) &amp; TRIM(D1360)</f>
        <v>First ReviewHighlight ViewUS</v>
      </c>
      <c r="K1360" s="4" t="n">
        <f aca="false">IFERROR(I1360*60,"")</f>
        <v>492.048</v>
      </c>
    </row>
    <row r="1361" customFormat="false" ht="15" hidden="false" customHeight="false" outlineLevel="0" collapsed="false">
      <c r="A1361" s="4" t="s">
        <v>15</v>
      </c>
      <c r="B1361" s="4" t="s">
        <v>973</v>
      </c>
      <c r="C1361" s="4" t="s">
        <v>979</v>
      </c>
      <c r="D1361" s="4" t="s">
        <v>89</v>
      </c>
      <c r="E1361" s="4" t="s">
        <v>63</v>
      </c>
      <c r="F1361" s="4" t="s">
        <v>63</v>
      </c>
      <c r="G1361" s="4" t="s">
        <v>1108</v>
      </c>
      <c r="H1361" s="4"/>
      <c r="I1361" s="4" t="n">
        <v>0.5201</v>
      </c>
      <c r="J1361" s="4" t="str">
        <f aca="false">TRIM(E1361) &amp; TRIM(C1361) &amp; TRIM(D1361)</f>
        <v>First ReviewBooking Ads Pre ApprovalFI</v>
      </c>
      <c r="K1361" s="4" t="n">
        <f aca="false">IFERROR(I1361*60,"")</f>
        <v>31.206</v>
      </c>
    </row>
    <row r="1362" customFormat="false" ht="15" hidden="false" customHeight="false" outlineLevel="0" collapsed="false">
      <c r="A1362" s="4" t="s">
        <v>15</v>
      </c>
      <c r="B1362" s="4" t="s">
        <v>973</v>
      </c>
      <c r="C1362" s="4" t="s">
        <v>979</v>
      </c>
      <c r="D1362" s="4" t="s">
        <v>154</v>
      </c>
      <c r="E1362" s="4" t="s">
        <v>63</v>
      </c>
      <c r="F1362" s="4" t="s">
        <v>63</v>
      </c>
      <c r="G1362" s="4" t="s">
        <v>1109</v>
      </c>
      <c r="H1362" s="4"/>
      <c r="I1362" s="4" t="n">
        <v>7.9645</v>
      </c>
      <c r="J1362" s="4" t="str">
        <f aca="false">TRIM(E1362) &amp; TRIM(C1362) &amp; TRIM(D1362)</f>
        <v>First ReviewBooking Ads Pre ApprovalES</v>
      </c>
      <c r="K1362" s="4" t="n">
        <f aca="false">IFERROR(I1362*60,"")</f>
        <v>477.87</v>
      </c>
    </row>
    <row r="1363" customFormat="false" ht="15" hidden="false" customHeight="false" outlineLevel="0" collapsed="false">
      <c r="A1363" s="4" t="s">
        <v>15</v>
      </c>
      <c r="B1363" s="4" t="s">
        <v>973</v>
      </c>
      <c r="C1363" s="4" t="s">
        <v>989</v>
      </c>
      <c r="D1363" s="4" t="s">
        <v>275</v>
      </c>
      <c r="E1363" s="4" t="s">
        <v>63</v>
      </c>
      <c r="F1363" s="4" t="s">
        <v>63</v>
      </c>
      <c r="G1363" s="4" t="s">
        <v>1110</v>
      </c>
      <c r="H1363" s="4"/>
      <c r="I1363" s="4" t="n">
        <v>19.9058</v>
      </c>
      <c r="J1363" s="4" t="str">
        <f aca="false">TRIM(E1363) &amp; TRIM(C1363) &amp; TRIM(D1363)</f>
        <v>First ReviewMedia AdsGB</v>
      </c>
      <c r="K1363" s="4" t="n">
        <f aca="false">IFERROR(I1363*60,"")</f>
        <v>1194.348</v>
      </c>
    </row>
    <row r="1364" customFormat="false" ht="15" hidden="false" customHeight="false" outlineLevel="0" collapsed="false">
      <c r="A1364" s="4" t="s">
        <v>15</v>
      </c>
      <c r="B1364" s="4" t="s">
        <v>973</v>
      </c>
      <c r="C1364" s="4" t="s">
        <v>979</v>
      </c>
      <c r="D1364" s="4" t="s">
        <v>79</v>
      </c>
      <c r="E1364" s="4" t="s">
        <v>63</v>
      </c>
      <c r="F1364" s="4" t="s">
        <v>63</v>
      </c>
      <c r="G1364" s="4" t="s">
        <v>1111</v>
      </c>
      <c r="H1364" s="4"/>
      <c r="I1364" s="4" t="n">
        <v>7.4824</v>
      </c>
      <c r="J1364" s="4" t="str">
        <f aca="false">TRIM(E1364) &amp; TRIM(C1364) &amp; TRIM(D1364)</f>
        <v>First ReviewBooking Ads Pre ApprovalZA</v>
      </c>
      <c r="K1364" s="4" t="n">
        <f aca="false">IFERROR(I1364*60,"")</f>
        <v>448.944</v>
      </c>
    </row>
    <row r="1365" customFormat="false" ht="15" hidden="false" customHeight="false" outlineLevel="0" collapsed="false">
      <c r="A1365" s="4" t="s">
        <v>15</v>
      </c>
      <c r="B1365" s="4" t="s">
        <v>973</v>
      </c>
      <c r="C1365" s="4" t="s">
        <v>985</v>
      </c>
      <c r="D1365" s="4" t="s">
        <v>255</v>
      </c>
      <c r="E1365" s="4" t="s">
        <v>63</v>
      </c>
      <c r="F1365" s="4" t="s">
        <v>63</v>
      </c>
      <c r="G1365" s="4" t="s">
        <v>1112</v>
      </c>
      <c r="H1365" s="4"/>
      <c r="I1365" s="4" t="n">
        <v>1.7716</v>
      </c>
      <c r="J1365" s="4" t="str">
        <f aca="false">TRIM(E1365) &amp; TRIM(C1365) &amp; TRIM(D1365)</f>
        <v>First ReviewR&amp;F AdsNZ</v>
      </c>
      <c r="K1365" s="4" t="n">
        <f aca="false">IFERROR(I1365*60,"")</f>
        <v>106.296</v>
      </c>
    </row>
    <row r="1366" customFormat="false" ht="15" hidden="false" customHeight="false" outlineLevel="0" collapsed="false">
      <c r="A1366" s="4" t="s">
        <v>15</v>
      </c>
      <c r="B1366" s="4" t="s">
        <v>973</v>
      </c>
      <c r="C1366" s="4" t="s">
        <v>979</v>
      </c>
      <c r="D1366" s="4" t="s">
        <v>235</v>
      </c>
      <c r="E1366" s="4" t="s">
        <v>63</v>
      </c>
      <c r="F1366" s="4" t="s">
        <v>63</v>
      </c>
      <c r="G1366" s="4" t="s">
        <v>1113</v>
      </c>
      <c r="H1366" s="4"/>
      <c r="I1366" s="4" t="n">
        <v>13.1359</v>
      </c>
      <c r="J1366" s="4" t="str">
        <f aca="false">TRIM(E1366) &amp; TRIM(C1366) &amp; TRIM(D1366)</f>
        <v>First ReviewBooking Ads Pre ApprovalJP</v>
      </c>
      <c r="K1366" s="4" t="n">
        <f aca="false">IFERROR(I1366*60,"")</f>
        <v>788.154</v>
      </c>
    </row>
    <row r="1367" customFormat="false" ht="15" hidden="false" customHeight="false" outlineLevel="0" collapsed="false">
      <c r="A1367" s="4" t="s">
        <v>15</v>
      </c>
      <c r="B1367" s="4" t="s">
        <v>973</v>
      </c>
      <c r="C1367" s="4" t="s">
        <v>989</v>
      </c>
      <c r="D1367" s="4" t="s">
        <v>284</v>
      </c>
      <c r="E1367" s="4" t="s">
        <v>63</v>
      </c>
      <c r="F1367" s="4" t="s">
        <v>63</v>
      </c>
      <c r="G1367" s="4" t="s">
        <v>1114</v>
      </c>
      <c r="H1367" s="4"/>
      <c r="I1367" s="4" t="n">
        <v>14.4768</v>
      </c>
      <c r="J1367" s="4" t="str">
        <f aca="false">TRIM(E1367) &amp; TRIM(C1367) &amp; TRIM(D1367)</f>
        <v>First ReviewMedia AdsTR</v>
      </c>
      <c r="K1367" s="4" t="n">
        <f aca="false">IFERROR(I1367*60,"")</f>
        <v>868.608</v>
      </c>
    </row>
    <row r="1368" customFormat="false" ht="15" hidden="false" customHeight="false" outlineLevel="0" collapsed="false">
      <c r="A1368" s="4" t="s">
        <v>15</v>
      </c>
      <c r="B1368" s="4" t="s">
        <v>973</v>
      </c>
      <c r="C1368" s="4" t="s">
        <v>974</v>
      </c>
      <c r="D1368" s="4" t="s">
        <v>117</v>
      </c>
      <c r="E1368" s="4" t="s">
        <v>63</v>
      </c>
      <c r="F1368" s="4" t="s">
        <v>63</v>
      </c>
      <c r="G1368" s="4" t="s">
        <v>1115</v>
      </c>
      <c r="H1368" s="4"/>
      <c r="I1368" s="4" t="n">
        <v>12.3092</v>
      </c>
      <c r="J1368" s="4" t="str">
        <f aca="false">TRIM(E1368) &amp; TRIM(C1368) &amp; TRIM(D1368)</f>
        <v>First ReviewHighlight ViewAR</v>
      </c>
      <c r="K1368" s="4" t="n">
        <f aca="false">IFERROR(I1368*60,"")</f>
        <v>738.552</v>
      </c>
    </row>
    <row r="1369" customFormat="false" ht="15" hidden="false" customHeight="false" outlineLevel="0" collapsed="false">
      <c r="A1369" s="4" t="s">
        <v>15</v>
      </c>
      <c r="B1369" s="4" t="s">
        <v>973</v>
      </c>
      <c r="C1369" s="4" t="s">
        <v>974</v>
      </c>
      <c r="D1369" s="4" t="s">
        <v>271</v>
      </c>
      <c r="E1369" s="4" t="s">
        <v>63</v>
      </c>
      <c r="F1369" s="4" t="s">
        <v>63</v>
      </c>
      <c r="G1369" s="4" t="s">
        <v>1116</v>
      </c>
      <c r="H1369" s="4"/>
      <c r="I1369" s="4" t="n">
        <v>8.8656</v>
      </c>
      <c r="J1369" s="4" t="str">
        <f aca="false">TRIM(E1369) &amp; TRIM(C1369) &amp; TRIM(D1369)</f>
        <v>First ReviewHighlight ViewKW</v>
      </c>
      <c r="K1369" s="4" t="n">
        <f aca="false">IFERROR(I1369*60,"")</f>
        <v>531.936</v>
      </c>
    </row>
    <row r="1370" customFormat="false" ht="15" hidden="false" customHeight="false" outlineLevel="0" collapsed="false">
      <c r="A1370" s="4" t="s">
        <v>15</v>
      </c>
      <c r="B1370" s="4" t="s">
        <v>973</v>
      </c>
      <c r="C1370" s="4" t="s">
        <v>974</v>
      </c>
      <c r="D1370" s="4" t="s">
        <v>136</v>
      </c>
      <c r="E1370" s="4" t="s">
        <v>63</v>
      </c>
      <c r="F1370" s="4" t="s">
        <v>63</v>
      </c>
      <c r="G1370" s="4" t="s">
        <v>1117</v>
      </c>
      <c r="H1370" s="4"/>
      <c r="I1370" s="4" t="n">
        <v>15.2744</v>
      </c>
      <c r="J1370" s="4" t="str">
        <f aca="false">TRIM(E1370) &amp; TRIM(C1370) &amp; TRIM(D1370)</f>
        <v>First ReviewHighlight ViewPE</v>
      </c>
      <c r="K1370" s="4" t="n">
        <f aca="false">IFERROR(I1370*60,"")</f>
        <v>916.464</v>
      </c>
    </row>
    <row r="1371" customFormat="false" ht="15" hidden="false" customHeight="false" outlineLevel="0" collapsed="false">
      <c r="A1371" s="4" t="s">
        <v>15</v>
      </c>
      <c r="B1371" s="4" t="s">
        <v>973</v>
      </c>
      <c r="C1371" s="4" t="s">
        <v>979</v>
      </c>
      <c r="D1371" s="4" t="s">
        <v>136</v>
      </c>
      <c r="E1371" s="4" t="s">
        <v>63</v>
      </c>
      <c r="F1371" s="4" t="s">
        <v>63</v>
      </c>
      <c r="G1371" s="4" t="s">
        <v>1118</v>
      </c>
      <c r="H1371" s="4"/>
      <c r="I1371" s="4" t="n">
        <v>12.1475</v>
      </c>
      <c r="J1371" s="4" t="str">
        <f aca="false">TRIM(E1371) &amp; TRIM(C1371) &amp; TRIM(D1371)</f>
        <v>First ReviewBooking Ads Pre ApprovalPE</v>
      </c>
      <c r="K1371" s="4" t="n">
        <f aca="false">IFERROR(I1371*60,"")</f>
        <v>728.85</v>
      </c>
    </row>
    <row r="1372" customFormat="false" ht="15" hidden="false" customHeight="false" outlineLevel="0" collapsed="false">
      <c r="A1372" s="4" t="s">
        <v>15</v>
      </c>
      <c r="B1372" s="4" t="s">
        <v>973</v>
      </c>
      <c r="C1372" s="4" t="s">
        <v>974</v>
      </c>
      <c r="D1372" s="4" t="s">
        <v>299</v>
      </c>
      <c r="E1372" s="4" t="s">
        <v>63</v>
      </c>
      <c r="F1372" s="4" t="s">
        <v>63</v>
      </c>
      <c r="G1372" s="4" t="s">
        <v>1119</v>
      </c>
      <c r="H1372" s="4"/>
      <c r="I1372" s="4" t="n">
        <v>8.9798</v>
      </c>
      <c r="J1372" s="4" t="str">
        <f aca="false">TRIM(E1372) &amp; TRIM(C1372) &amp; TRIM(D1372)</f>
        <v>First ReviewHighlight ViewQA</v>
      </c>
      <c r="K1372" s="4" t="n">
        <f aca="false">IFERROR(I1372*60,"")</f>
        <v>538.788</v>
      </c>
    </row>
    <row r="1373" customFormat="false" ht="15" hidden="false" customHeight="false" outlineLevel="0" collapsed="false">
      <c r="A1373" s="4" t="s">
        <v>15</v>
      </c>
      <c r="B1373" s="4" t="s">
        <v>973</v>
      </c>
      <c r="C1373" s="4" t="s">
        <v>974</v>
      </c>
      <c r="D1373" s="4" t="s">
        <v>210</v>
      </c>
      <c r="E1373" s="4" t="s">
        <v>63</v>
      </c>
      <c r="F1373" s="4" t="s">
        <v>63</v>
      </c>
      <c r="G1373" s="4" t="s">
        <v>1120</v>
      </c>
      <c r="H1373" s="4"/>
      <c r="I1373" s="4" t="n">
        <v>12.9679</v>
      </c>
      <c r="J1373" s="4" t="str">
        <f aca="false">TRIM(E1373) &amp; TRIM(C1373) &amp; TRIM(D1373)</f>
        <v>First ReviewHighlight ViewPK</v>
      </c>
      <c r="K1373" s="4" t="n">
        <f aca="false">IFERROR(I1373*60,"")</f>
        <v>778.074</v>
      </c>
    </row>
    <row r="1374" customFormat="false" ht="15" hidden="false" customHeight="false" outlineLevel="0" collapsed="false">
      <c r="A1374" s="4" t="s">
        <v>15</v>
      </c>
      <c r="B1374" s="4" t="s">
        <v>973</v>
      </c>
      <c r="C1374" s="4" t="s">
        <v>979</v>
      </c>
      <c r="D1374" s="4" t="s">
        <v>82</v>
      </c>
      <c r="E1374" s="4" t="s">
        <v>63</v>
      </c>
      <c r="F1374" s="4" t="s">
        <v>63</v>
      </c>
      <c r="G1374" s="4" t="s">
        <v>1121</v>
      </c>
      <c r="H1374" s="4"/>
      <c r="I1374" s="4" t="n">
        <v>2.999</v>
      </c>
      <c r="J1374" s="4" t="str">
        <f aca="false">TRIM(E1374) &amp; TRIM(C1374) &amp; TRIM(D1374)</f>
        <v>First ReviewBooking Ads Pre ApprovalKH</v>
      </c>
      <c r="K1374" s="4" t="n">
        <f aca="false">IFERROR(I1374*60,"")</f>
        <v>179.94</v>
      </c>
    </row>
    <row r="1375" customFormat="false" ht="15" hidden="false" customHeight="false" outlineLevel="0" collapsed="false">
      <c r="A1375" s="4" t="s">
        <v>15</v>
      </c>
      <c r="B1375" s="4" t="s">
        <v>973</v>
      </c>
      <c r="C1375" s="4" t="s">
        <v>979</v>
      </c>
      <c r="D1375" s="4" t="s">
        <v>111</v>
      </c>
      <c r="E1375" s="4" t="s">
        <v>63</v>
      </c>
      <c r="F1375" s="4" t="s">
        <v>63</v>
      </c>
      <c r="G1375" s="4" t="s">
        <v>1122</v>
      </c>
      <c r="H1375" s="4"/>
      <c r="I1375" s="4" t="n">
        <v>6.852</v>
      </c>
      <c r="J1375" s="4" t="str">
        <f aca="false">TRIM(E1375) &amp; TRIM(C1375) &amp; TRIM(D1375)</f>
        <v>First ReviewBooking Ads Pre ApprovalUS</v>
      </c>
      <c r="K1375" s="4" t="n">
        <f aca="false">IFERROR(I1375*60,"")</f>
        <v>411.12</v>
      </c>
    </row>
    <row r="1376" customFormat="false" ht="15" hidden="false" customHeight="false" outlineLevel="0" collapsed="false">
      <c r="A1376" s="4" t="s">
        <v>15</v>
      </c>
      <c r="B1376" s="4" t="s">
        <v>973</v>
      </c>
      <c r="C1376" s="4" t="s">
        <v>974</v>
      </c>
      <c r="D1376" s="4" t="s">
        <v>308</v>
      </c>
      <c r="E1376" s="4" t="s">
        <v>63</v>
      </c>
      <c r="F1376" s="4" t="s">
        <v>63</v>
      </c>
      <c r="G1376" s="4" t="s">
        <v>1123</v>
      </c>
      <c r="H1376" s="4"/>
      <c r="I1376" s="4" t="n">
        <v>9.9713</v>
      </c>
      <c r="J1376" s="4" t="str">
        <f aca="false">TRIM(E1376) &amp; TRIM(C1376) &amp; TRIM(D1376)</f>
        <v>First ReviewHighlight ViewPL</v>
      </c>
      <c r="K1376" s="4" t="n">
        <f aca="false">IFERROR(I1376*60,"")</f>
        <v>598.278</v>
      </c>
    </row>
    <row r="1377" customFormat="false" ht="15" hidden="false" customHeight="false" outlineLevel="0" collapsed="false">
      <c r="A1377" s="4" t="s">
        <v>15</v>
      </c>
      <c r="B1377" s="4" t="s">
        <v>973</v>
      </c>
      <c r="C1377" s="4" t="s">
        <v>974</v>
      </c>
      <c r="D1377" s="4" t="s">
        <v>231</v>
      </c>
      <c r="E1377" s="4" t="s">
        <v>63</v>
      </c>
      <c r="F1377" s="4" t="s">
        <v>63</v>
      </c>
      <c r="G1377" s="4" t="s">
        <v>1124</v>
      </c>
      <c r="H1377" s="4"/>
      <c r="I1377" s="4" t="n">
        <v>4.9873</v>
      </c>
      <c r="J1377" s="4" t="str">
        <f aca="false">TRIM(E1377) &amp; TRIM(C1377) &amp; TRIM(D1377)</f>
        <v>First ReviewHighlight ViewIL</v>
      </c>
      <c r="K1377" s="4" t="n">
        <f aca="false">IFERROR(I1377*60,"")</f>
        <v>299.238</v>
      </c>
    </row>
    <row r="1378" customFormat="false" ht="15" hidden="false" customHeight="false" outlineLevel="0" collapsed="false">
      <c r="A1378" s="4" t="s">
        <v>15</v>
      </c>
      <c r="B1378" s="4" t="s">
        <v>973</v>
      </c>
      <c r="C1378" s="4" t="s">
        <v>979</v>
      </c>
      <c r="D1378" s="4" t="s">
        <v>271</v>
      </c>
      <c r="E1378" s="4" t="s">
        <v>63</v>
      </c>
      <c r="F1378" s="4" t="s">
        <v>63</v>
      </c>
      <c r="G1378" s="4" t="s">
        <v>1125</v>
      </c>
      <c r="H1378" s="4"/>
      <c r="I1378" s="4" t="n">
        <v>40.6858</v>
      </c>
      <c r="J1378" s="4" t="str">
        <f aca="false">TRIM(E1378) &amp; TRIM(C1378) &amp; TRIM(D1378)</f>
        <v>First ReviewBooking Ads Pre ApprovalKW</v>
      </c>
      <c r="K1378" s="4" t="n">
        <f aca="false">IFERROR(I1378*60,"")</f>
        <v>2441.148</v>
      </c>
    </row>
    <row r="1379" customFormat="false" ht="15" hidden="false" customHeight="false" outlineLevel="0" collapsed="false">
      <c r="A1379" s="4" t="s">
        <v>15</v>
      </c>
      <c r="B1379" s="4" t="s">
        <v>973</v>
      </c>
      <c r="C1379" s="4" t="s">
        <v>974</v>
      </c>
      <c r="D1379" s="4" t="s">
        <v>306</v>
      </c>
      <c r="E1379" s="4" t="s">
        <v>63</v>
      </c>
      <c r="F1379" s="4" t="s">
        <v>63</v>
      </c>
      <c r="G1379" s="4" t="s">
        <v>1126</v>
      </c>
      <c r="H1379" s="4"/>
      <c r="I1379" s="4" t="n">
        <v>3.7521</v>
      </c>
      <c r="J1379" s="4" t="str">
        <f aca="false">TRIM(E1379) &amp; TRIM(C1379) &amp; TRIM(D1379)</f>
        <v>First ReviewHighlight ViewTH</v>
      </c>
      <c r="K1379" s="4" t="n">
        <f aca="false">IFERROR(I1379*60,"")</f>
        <v>225.126</v>
      </c>
    </row>
    <row r="1380" customFormat="false" ht="15" hidden="false" customHeight="false" outlineLevel="0" collapsed="false">
      <c r="A1380" s="4" t="s">
        <v>15</v>
      </c>
      <c r="B1380" s="4" t="s">
        <v>973</v>
      </c>
      <c r="C1380" s="4" t="s">
        <v>974</v>
      </c>
      <c r="D1380" s="4" t="s">
        <v>357</v>
      </c>
      <c r="E1380" s="4" t="s">
        <v>63</v>
      </c>
      <c r="F1380" s="4" t="s">
        <v>63</v>
      </c>
      <c r="G1380" s="4" t="s">
        <v>1127</v>
      </c>
      <c r="H1380" s="4"/>
      <c r="I1380" s="4" t="n">
        <v>10.4925</v>
      </c>
      <c r="J1380" s="4" t="str">
        <f aca="false">TRIM(E1380) &amp; TRIM(C1380) &amp; TRIM(D1380)</f>
        <v>First ReviewHighlight ViewHU</v>
      </c>
      <c r="K1380" s="4" t="n">
        <f aca="false">IFERROR(I1380*60,"")</f>
        <v>629.55</v>
      </c>
    </row>
    <row r="1381" customFormat="false" ht="15" hidden="false" customHeight="false" outlineLevel="0" collapsed="false">
      <c r="A1381" s="4" t="s">
        <v>15</v>
      </c>
      <c r="B1381" s="4" t="s">
        <v>973</v>
      </c>
      <c r="C1381" s="4" t="s">
        <v>979</v>
      </c>
      <c r="D1381" s="4" t="s">
        <v>100</v>
      </c>
      <c r="E1381" s="4" t="s">
        <v>63</v>
      </c>
      <c r="F1381" s="4" t="s">
        <v>63</v>
      </c>
      <c r="G1381" s="4" t="s">
        <v>1128</v>
      </c>
      <c r="H1381" s="4"/>
      <c r="I1381" s="4" t="n">
        <v>2.911</v>
      </c>
      <c r="J1381" s="4" t="str">
        <f aca="false">TRIM(E1381) &amp; TRIM(C1381) &amp; TRIM(D1381)</f>
        <v>First ReviewBooking Ads Pre ApprovalAU</v>
      </c>
      <c r="K1381" s="4" t="n">
        <f aca="false">IFERROR(I1381*60,"")</f>
        <v>174.66</v>
      </c>
    </row>
    <row r="1382" customFormat="false" ht="15" hidden="false" customHeight="false" outlineLevel="0" collapsed="false">
      <c r="A1382" s="4" t="s">
        <v>15</v>
      </c>
      <c r="B1382" s="4" t="s">
        <v>973</v>
      </c>
      <c r="C1382" s="4" t="s">
        <v>985</v>
      </c>
      <c r="D1382" s="4" t="s">
        <v>126</v>
      </c>
      <c r="E1382" s="4" t="s">
        <v>63</v>
      </c>
      <c r="F1382" s="4" t="s">
        <v>63</v>
      </c>
      <c r="G1382" s="4" t="s">
        <v>1129</v>
      </c>
      <c r="H1382" s="4"/>
      <c r="I1382" s="4" t="n">
        <v>2.1078</v>
      </c>
      <c r="J1382" s="4" t="str">
        <f aca="false">TRIM(E1382) &amp; TRIM(C1382) &amp; TRIM(D1382)</f>
        <v>First ReviewR&amp;F AdsMX</v>
      </c>
      <c r="K1382" s="4" t="n">
        <f aca="false">IFERROR(I1382*60,"")</f>
        <v>126.468</v>
      </c>
    </row>
    <row r="1383" customFormat="false" ht="15" hidden="false" customHeight="false" outlineLevel="0" collapsed="false">
      <c r="A1383" s="4" t="s">
        <v>15</v>
      </c>
      <c r="B1383" s="4" t="s">
        <v>973</v>
      </c>
      <c r="C1383" s="4" t="s">
        <v>974</v>
      </c>
      <c r="D1383" s="4" t="s">
        <v>121</v>
      </c>
      <c r="E1383" s="4" t="s">
        <v>63</v>
      </c>
      <c r="F1383" s="4" t="s">
        <v>63</v>
      </c>
      <c r="G1383" s="4" t="s">
        <v>1130</v>
      </c>
      <c r="H1383" s="4"/>
      <c r="I1383" s="4" t="n">
        <v>0.9544</v>
      </c>
      <c r="J1383" s="4" t="str">
        <f aca="false">TRIM(E1383) &amp; TRIM(C1383) &amp; TRIM(D1383)</f>
        <v>First ReviewHighlight ViewKR</v>
      </c>
      <c r="K1383" s="4" t="n">
        <f aca="false">IFERROR(I1383*60,"")</f>
        <v>57.264</v>
      </c>
    </row>
    <row r="1384" customFormat="false" ht="15" hidden="false" customHeight="false" outlineLevel="0" collapsed="false">
      <c r="A1384" s="4" t="s">
        <v>15</v>
      </c>
      <c r="B1384" s="4" t="s">
        <v>973</v>
      </c>
      <c r="C1384" s="4" t="s">
        <v>974</v>
      </c>
      <c r="D1384" s="4" t="s">
        <v>255</v>
      </c>
      <c r="E1384" s="4" t="s">
        <v>63</v>
      </c>
      <c r="F1384" s="4" t="s">
        <v>63</v>
      </c>
      <c r="G1384" s="4" t="s">
        <v>1131</v>
      </c>
      <c r="H1384" s="4"/>
      <c r="I1384" s="4" t="n">
        <v>3.5346</v>
      </c>
      <c r="J1384" s="4" t="str">
        <f aca="false">TRIM(E1384) &amp; TRIM(C1384) &amp; TRIM(D1384)</f>
        <v>First ReviewHighlight ViewNZ</v>
      </c>
      <c r="K1384" s="4" t="n">
        <f aca="false">IFERROR(I1384*60,"")</f>
        <v>212.076</v>
      </c>
    </row>
    <row r="1385" customFormat="false" ht="15" hidden="false" customHeight="false" outlineLevel="0" collapsed="false">
      <c r="A1385" s="4" t="s">
        <v>15</v>
      </c>
      <c r="B1385" s="4" t="s">
        <v>973</v>
      </c>
      <c r="C1385" s="4" t="s">
        <v>989</v>
      </c>
      <c r="D1385" s="4" t="s">
        <v>166</v>
      </c>
      <c r="E1385" s="4" t="s">
        <v>63</v>
      </c>
      <c r="F1385" s="4" t="s">
        <v>63</v>
      </c>
      <c r="G1385" s="4" t="s">
        <v>1132</v>
      </c>
      <c r="H1385" s="4"/>
      <c r="I1385" s="4" t="n">
        <v>0.2937</v>
      </c>
      <c r="J1385" s="4" t="str">
        <f aca="false">TRIM(E1385) &amp; TRIM(C1385) &amp; TRIM(D1385)</f>
        <v>First ReviewMedia AdsCZ</v>
      </c>
      <c r="K1385" s="4" t="n">
        <f aca="false">IFERROR(I1385*60,"")</f>
        <v>17.622</v>
      </c>
    </row>
    <row r="1386" customFormat="false" ht="15" hidden="false" customHeight="false" outlineLevel="0" collapsed="false">
      <c r="A1386" s="4" t="s">
        <v>15</v>
      </c>
      <c r="B1386" s="4" t="s">
        <v>973</v>
      </c>
      <c r="C1386" s="4" t="s">
        <v>977</v>
      </c>
      <c r="D1386" s="4" t="s">
        <v>306</v>
      </c>
      <c r="E1386" s="4" t="s">
        <v>66</v>
      </c>
      <c r="F1386" s="4" t="s">
        <v>67</v>
      </c>
      <c r="G1386" s="4" t="s">
        <v>978</v>
      </c>
      <c r="H1386" s="4"/>
      <c r="I1386" s="4" t="n">
        <v>1.173</v>
      </c>
      <c r="J1386" s="4" t="str">
        <f aca="false">TRIM(E1386) &amp; TRIM(C1386) &amp; TRIM(D1386)</f>
        <v>Posted RecallCommunity Interaction LivestreamTH</v>
      </c>
      <c r="K1386" s="4" t="n">
        <f aca="false">IFERROR(I1386*60,"")</f>
        <v>70.38</v>
      </c>
    </row>
    <row r="1387" customFormat="false" ht="15" hidden="false" customHeight="false" outlineLevel="0" collapsed="false">
      <c r="A1387" s="4" t="s">
        <v>15</v>
      </c>
      <c r="B1387" s="4" t="s">
        <v>973</v>
      </c>
      <c r="C1387" s="4" t="s">
        <v>974</v>
      </c>
      <c r="D1387" s="4" t="s">
        <v>192</v>
      </c>
      <c r="E1387" s="4" t="s">
        <v>63</v>
      </c>
      <c r="F1387" s="4" t="s">
        <v>63</v>
      </c>
      <c r="G1387" s="4" t="s">
        <v>1133</v>
      </c>
      <c r="H1387" s="4"/>
      <c r="I1387" s="4" t="n">
        <v>8.93</v>
      </c>
      <c r="J1387" s="4" t="str">
        <f aca="false">TRIM(E1387) &amp; TRIM(C1387) &amp; TRIM(D1387)</f>
        <v>First ReviewHighlight ViewGT</v>
      </c>
      <c r="K1387" s="4" t="n">
        <f aca="false">IFERROR(I1387*60,"")</f>
        <v>535.8</v>
      </c>
    </row>
    <row r="1388" customFormat="false" ht="15" hidden="false" customHeight="false" outlineLevel="0" collapsed="false">
      <c r="A1388" s="4" t="s">
        <v>15</v>
      </c>
      <c r="B1388" s="4" t="s">
        <v>973</v>
      </c>
      <c r="C1388" s="4" t="s">
        <v>985</v>
      </c>
      <c r="D1388" s="4" t="s">
        <v>150</v>
      </c>
      <c r="E1388" s="4" t="s">
        <v>63</v>
      </c>
      <c r="F1388" s="4" t="s">
        <v>63</v>
      </c>
      <c r="G1388" s="4" t="s">
        <v>1134</v>
      </c>
      <c r="H1388" s="4"/>
      <c r="I1388" s="4" t="n">
        <v>4.0568</v>
      </c>
      <c r="J1388" s="4" t="str">
        <f aca="false">TRIM(E1388) &amp; TRIM(C1388) &amp; TRIM(D1388)</f>
        <v>First ReviewR&amp;F AdsDE</v>
      </c>
      <c r="K1388" s="4" t="n">
        <f aca="false">IFERROR(I1388*60,"")</f>
        <v>243.408</v>
      </c>
    </row>
    <row r="1389" customFormat="false" ht="15" hidden="false" customHeight="false" outlineLevel="0" collapsed="false">
      <c r="A1389" s="4" t="s">
        <v>15</v>
      </c>
      <c r="B1389" s="4" t="s">
        <v>973</v>
      </c>
      <c r="C1389" s="4" t="s">
        <v>989</v>
      </c>
      <c r="D1389" s="4" t="s">
        <v>87</v>
      </c>
      <c r="E1389" s="4" t="s">
        <v>63</v>
      </c>
      <c r="F1389" s="4" t="s">
        <v>63</v>
      </c>
      <c r="G1389" s="4" t="s">
        <v>1135</v>
      </c>
      <c r="H1389" s="4"/>
      <c r="I1389" s="4" t="n">
        <v>14.0076</v>
      </c>
      <c r="J1389" s="4" t="str">
        <f aca="false">TRIM(E1389) &amp; TRIM(C1389) &amp; TRIM(D1389)</f>
        <v>First ReviewMedia AdsAE</v>
      </c>
      <c r="K1389" s="4" t="n">
        <f aca="false">IFERROR(I1389*60,"")</f>
        <v>840.456</v>
      </c>
    </row>
    <row r="1390" customFormat="false" ht="15" hidden="false" customHeight="false" outlineLevel="0" collapsed="false">
      <c r="A1390" s="4" t="s">
        <v>15</v>
      </c>
      <c r="B1390" s="4" t="s">
        <v>1136</v>
      </c>
      <c r="C1390" s="4" t="s">
        <v>1137</v>
      </c>
      <c r="D1390" s="4" t="s">
        <v>195</v>
      </c>
      <c r="E1390" s="4" t="s">
        <v>63</v>
      </c>
      <c r="F1390" s="4" t="s">
        <v>63</v>
      </c>
      <c r="G1390" s="4" t="s">
        <v>1138</v>
      </c>
      <c r="H1390" s="4"/>
      <c r="I1390" s="4" t="n">
        <v>1.3597</v>
      </c>
      <c r="J1390" s="4" t="str">
        <f aca="false">TRIM(E1390) &amp; TRIM(C1390) &amp; TRIM(D1390)</f>
        <v>First ReviewBA Ecomm Community VideoIT</v>
      </c>
      <c r="K1390" s="4" t="n">
        <f aca="false">IFERROR(I1390*60,"")</f>
        <v>81.582</v>
      </c>
    </row>
    <row r="1391" customFormat="false" ht="15" hidden="false" customHeight="false" outlineLevel="0" collapsed="false">
      <c r="A1391" s="4" t="s">
        <v>15</v>
      </c>
      <c r="B1391" s="4" t="s">
        <v>1136</v>
      </c>
      <c r="C1391" s="4" t="s">
        <v>1139</v>
      </c>
      <c r="D1391" s="4" t="s">
        <v>117</v>
      </c>
      <c r="E1391" s="4" t="s">
        <v>63</v>
      </c>
      <c r="F1391" s="4" t="s">
        <v>63</v>
      </c>
      <c r="G1391" s="4" t="s">
        <v>1140</v>
      </c>
      <c r="H1391" s="4"/>
      <c r="I1391" s="4" t="n">
        <v>1.3517</v>
      </c>
      <c r="J1391" s="4" t="str">
        <f aca="false">TRIM(E1391) &amp; TRIM(C1391) &amp; TRIM(D1391)</f>
        <v>First ReviewPro Account ROI2 VideoAR</v>
      </c>
      <c r="K1391" s="4" t="n">
        <f aca="false">IFERROR(I1391*60,"")</f>
        <v>81.102</v>
      </c>
    </row>
    <row r="1392" customFormat="false" ht="15" hidden="false" customHeight="false" outlineLevel="0" collapsed="false">
      <c r="A1392" s="4" t="s">
        <v>15</v>
      </c>
      <c r="B1392" s="4" t="s">
        <v>1136</v>
      </c>
      <c r="C1392" s="4" t="s">
        <v>1141</v>
      </c>
      <c r="D1392" s="4" t="s">
        <v>117</v>
      </c>
      <c r="E1392" s="4" t="s">
        <v>63</v>
      </c>
      <c r="F1392" s="4" t="s">
        <v>63</v>
      </c>
      <c r="G1392" s="4" t="s">
        <v>1142</v>
      </c>
      <c r="H1392" s="4"/>
      <c r="I1392" s="4" t="n">
        <v>0.4883</v>
      </c>
      <c r="J1392" s="4" t="str">
        <f aca="false">TRIM(E1392) &amp; TRIM(C1392) &amp; TRIM(D1392)</f>
        <v>First ReviewPro Account 3P Lead Gen AnchorAR</v>
      </c>
      <c r="K1392" s="4" t="n">
        <f aca="false">IFERROR(I1392*60,"")</f>
        <v>29.298</v>
      </c>
    </row>
    <row r="1393" customFormat="false" ht="15" hidden="false" customHeight="false" outlineLevel="0" collapsed="false">
      <c r="A1393" s="4" t="s">
        <v>15</v>
      </c>
      <c r="B1393" s="4" t="s">
        <v>1136</v>
      </c>
      <c r="C1393" s="4" t="s">
        <v>1137</v>
      </c>
      <c r="D1393" s="4" t="s">
        <v>87</v>
      </c>
      <c r="E1393" s="4" t="s">
        <v>63</v>
      </c>
      <c r="F1393" s="4" t="s">
        <v>63</v>
      </c>
      <c r="G1393" s="4" t="s">
        <v>1143</v>
      </c>
      <c r="H1393" s="4"/>
      <c r="I1393" s="4" t="n">
        <v>0.7431</v>
      </c>
      <c r="J1393" s="4" t="str">
        <f aca="false">TRIM(E1393) &amp; TRIM(C1393) &amp; TRIM(D1393)</f>
        <v>First ReviewBA Ecomm Community VideoAE</v>
      </c>
      <c r="K1393" s="4" t="n">
        <f aca="false">IFERROR(I1393*60,"")</f>
        <v>44.586</v>
      </c>
    </row>
    <row r="1394" customFormat="false" ht="15" hidden="false" customHeight="false" outlineLevel="0" collapsed="false">
      <c r="A1394" s="4" t="s">
        <v>15</v>
      </c>
      <c r="B1394" s="4" t="s">
        <v>1136</v>
      </c>
      <c r="C1394" s="4" t="s">
        <v>1137</v>
      </c>
      <c r="D1394" s="4" t="s">
        <v>203</v>
      </c>
      <c r="E1394" s="4" t="s">
        <v>63</v>
      </c>
      <c r="F1394" s="4" t="s">
        <v>63</v>
      </c>
      <c r="G1394" s="4" t="s">
        <v>1144</v>
      </c>
      <c r="H1394" s="4"/>
      <c r="I1394" s="4" t="n">
        <v>0.9149</v>
      </c>
      <c r="J1394" s="4" t="str">
        <f aca="false">TRIM(E1394) &amp; TRIM(C1394) &amp; TRIM(D1394)</f>
        <v>First ReviewBA Ecomm Community VideoCA</v>
      </c>
      <c r="K1394" s="4" t="n">
        <f aca="false">IFERROR(I1394*60,"")</f>
        <v>54.894</v>
      </c>
    </row>
    <row r="1395" customFormat="false" ht="15" hidden="false" customHeight="false" outlineLevel="0" collapsed="false">
      <c r="A1395" s="4" t="s">
        <v>15</v>
      </c>
      <c r="B1395" s="4" t="s">
        <v>1136</v>
      </c>
      <c r="C1395" s="4" t="s">
        <v>1137</v>
      </c>
      <c r="D1395" s="4" t="s">
        <v>150</v>
      </c>
      <c r="E1395" s="4" t="s">
        <v>66</v>
      </c>
      <c r="F1395" s="4" t="s">
        <v>67</v>
      </c>
      <c r="G1395" s="4" t="s">
        <v>1145</v>
      </c>
      <c r="H1395" s="4"/>
      <c r="I1395" s="4" t="n">
        <v>1.4046</v>
      </c>
      <c r="J1395" s="4" t="str">
        <f aca="false">TRIM(E1395) &amp; TRIM(C1395) &amp; TRIM(D1395)</f>
        <v>Posted RecallBA Ecomm Community VideoDE</v>
      </c>
      <c r="K1395" s="4" t="n">
        <f aca="false">IFERROR(I1395*60,"")</f>
        <v>84.276</v>
      </c>
    </row>
    <row r="1396" customFormat="false" ht="15" hidden="false" customHeight="false" outlineLevel="0" collapsed="false">
      <c r="A1396" s="4" t="s">
        <v>15</v>
      </c>
      <c r="B1396" s="4" t="s">
        <v>1136</v>
      </c>
      <c r="C1396" s="4" t="s">
        <v>1141</v>
      </c>
      <c r="D1396" s="4" t="s">
        <v>284</v>
      </c>
      <c r="E1396" s="4" t="s">
        <v>63</v>
      </c>
      <c r="F1396" s="4" t="s">
        <v>63</v>
      </c>
      <c r="G1396" s="4" t="s">
        <v>1146</v>
      </c>
      <c r="H1396" s="4"/>
      <c r="I1396" s="4" t="n">
        <v>0.5952</v>
      </c>
      <c r="J1396" s="4" t="str">
        <f aca="false">TRIM(E1396) &amp; TRIM(C1396) &amp; TRIM(D1396)</f>
        <v>First ReviewPro Account 3P Lead Gen AnchorTR</v>
      </c>
      <c r="K1396" s="4" t="n">
        <f aca="false">IFERROR(I1396*60,"")</f>
        <v>35.712</v>
      </c>
    </row>
    <row r="1397" customFormat="false" ht="15" hidden="false" customHeight="false" outlineLevel="0" collapsed="false">
      <c r="A1397" s="4" t="s">
        <v>15</v>
      </c>
      <c r="B1397" s="4" t="s">
        <v>1136</v>
      </c>
      <c r="C1397" s="4" t="s">
        <v>1139</v>
      </c>
      <c r="D1397" s="4" t="s">
        <v>284</v>
      </c>
      <c r="E1397" s="4" t="s">
        <v>63</v>
      </c>
      <c r="F1397" s="4" t="s">
        <v>63</v>
      </c>
      <c r="G1397" s="4" t="s">
        <v>1147</v>
      </c>
      <c r="H1397" s="4"/>
      <c r="I1397" s="4" t="n">
        <v>0.9658</v>
      </c>
      <c r="J1397" s="4" t="str">
        <f aca="false">TRIM(E1397) &amp; TRIM(C1397) &amp; TRIM(D1397)</f>
        <v>First ReviewPro Account ROI2 VideoTR</v>
      </c>
      <c r="K1397" s="4" t="n">
        <f aca="false">IFERROR(I1397*60,"")</f>
        <v>57.948</v>
      </c>
    </row>
    <row r="1398" customFormat="false" ht="15" hidden="false" customHeight="false" outlineLevel="0" collapsed="false">
      <c r="A1398" s="4" t="s">
        <v>15</v>
      </c>
      <c r="B1398" s="4" t="s">
        <v>1136</v>
      </c>
      <c r="C1398" s="4" t="s">
        <v>1148</v>
      </c>
      <c r="D1398" s="4" t="s">
        <v>126</v>
      </c>
      <c r="E1398" s="4" t="s">
        <v>63</v>
      </c>
      <c r="F1398" s="4" t="s">
        <v>63</v>
      </c>
      <c r="G1398" s="4" t="s">
        <v>1149</v>
      </c>
      <c r="H1398" s="4"/>
      <c r="I1398" s="4" t="n">
        <v>1.1266</v>
      </c>
      <c r="J1398" s="4" t="str">
        <f aca="false">TRIM(E1398) &amp; TRIM(C1398) &amp; TRIM(D1398)</f>
        <v>First ReviewPro Account ProductMX</v>
      </c>
      <c r="K1398" s="4" t="n">
        <f aca="false">IFERROR(I1398*60,"")</f>
        <v>67.596</v>
      </c>
    </row>
    <row r="1399" customFormat="false" ht="15" hidden="false" customHeight="false" outlineLevel="0" collapsed="false">
      <c r="A1399" s="4" t="s">
        <v>15</v>
      </c>
      <c r="B1399" s="4" t="s">
        <v>1136</v>
      </c>
      <c r="C1399" s="4" t="s">
        <v>1150</v>
      </c>
      <c r="D1399" s="4" t="s">
        <v>58</v>
      </c>
      <c r="E1399" s="4" t="s">
        <v>63</v>
      </c>
      <c r="F1399" s="4" t="s">
        <v>63</v>
      </c>
      <c r="G1399" s="4" t="s">
        <v>1151</v>
      </c>
      <c r="H1399" s="4"/>
      <c r="I1399" s="4" t="n">
        <v>0.7643</v>
      </c>
      <c r="J1399" s="4" t="str">
        <f aca="false">TRIM(E1399) &amp; TRIM(C1399) &amp; TRIM(D1399)</f>
        <v>First ReviewPro Account App Download AnchorSG</v>
      </c>
      <c r="K1399" s="4" t="n">
        <f aca="false">IFERROR(I1399*60,"")</f>
        <v>45.858</v>
      </c>
    </row>
    <row r="1400" customFormat="false" ht="15" hidden="false" customHeight="false" outlineLevel="0" collapsed="false">
      <c r="A1400" s="4" t="s">
        <v>15</v>
      </c>
      <c r="B1400" s="4" t="s">
        <v>1136</v>
      </c>
      <c r="C1400" s="4" t="s">
        <v>1137</v>
      </c>
      <c r="D1400" s="4" t="s">
        <v>150</v>
      </c>
      <c r="E1400" s="4" t="s">
        <v>63</v>
      </c>
      <c r="F1400" s="4" t="s">
        <v>63</v>
      </c>
      <c r="G1400" s="4" t="s">
        <v>1145</v>
      </c>
      <c r="H1400" s="4"/>
      <c r="I1400" s="4" t="n">
        <v>0.8624</v>
      </c>
      <c r="J1400" s="4" t="str">
        <f aca="false">TRIM(E1400) &amp; TRIM(C1400) &amp; TRIM(D1400)</f>
        <v>First ReviewBA Ecomm Community VideoDE</v>
      </c>
      <c r="K1400" s="4" t="n">
        <f aca="false">IFERROR(I1400*60,"")</f>
        <v>51.744</v>
      </c>
    </row>
    <row r="1401" customFormat="false" ht="15" hidden="false" customHeight="false" outlineLevel="0" collapsed="false">
      <c r="A1401" s="4" t="s">
        <v>15</v>
      </c>
      <c r="B1401" s="4" t="s">
        <v>1136</v>
      </c>
      <c r="C1401" s="4" t="s">
        <v>1148</v>
      </c>
      <c r="D1401" s="4" t="s">
        <v>85</v>
      </c>
      <c r="E1401" s="4" t="s">
        <v>63</v>
      </c>
      <c r="F1401" s="4" t="s">
        <v>63</v>
      </c>
      <c r="G1401" s="4" t="s">
        <v>1152</v>
      </c>
      <c r="H1401" s="4"/>
      <c r="I1401" s="4" t="n">
        <v>1.532</v>
      </c>
      <c r="J1401" s="4" t="str">
        <f aca="false">TRIM(E1401) &amp; TRIM(C1401) &amp; TRIM(D1401)</f>
        <v>First ReviewPro Account ProductEC</v>
      </c>
      <c r="K1401" s="4" t="n">
        <f aca="false">IFERROR(I1401*60,"")</f>
        <v>91.92</v>
      </c>
    </row>
    <row r="1402" customFormat="false" ht="15" hidden="false" customHeight="false" outlineLevel="0" collapsed="false">
      <c r="A1402" s="4" t="s">
        <v>15</v>
      </c>
      <c r="B1402" s="4" t="s">
        <v>1136</v>
      </c>
      <c r="C1402" s="4" t="s">
        <v>1153</v>
      </c>
      <c r="D1402" s="4" t="s">
        <v>190</v>
      </c>
      <c r="E1402" s="4" t="s">
        <v>63</v>
      </c>
      <c r="F1402" s="4" t="s">
        <v>63</v>
      </c>
      <c r="G1402" s="4" t="s">
        <v>1154</v>
      </c>
      <c r="H1402" s="4"/>
      <c r="I1402" s="4" t="n">
        <v>0.2869</v>
      </c>
      <c r="J1402" s="4" t="str">
        <f aca="false">TRIM(E1402) &amp; TRIM(C1402) &amp; TRIM(D1402)</f>
        <v>First ReviewPro Account Web Conversion AnchorPH</v>
      </c>
      <c r="K1402" s="4" t="n">
        <f aca="false">IFERROR(I1402*60,"")</f>
        <v>17.214</v>
      </c>
    </row>
    <row r="1403" customFormat="false" ht="15" hidden="false" customHeight="false" outlineLevel="0" collapsed="false">
      <c r="A1403" s="4" t="s">
        <v>15</v>
      </c>
      <c r="B1403" s="4" t="s">
        <v>1136</v>
      </c>
      <c r="C1403" s="4" t="s">
        <v>1137</v>
      </c>
      <c r="D1403" s="4" t="s">
        <v>210</v>
      </c>
      <c r="E1403" s="4" t="s">
        <v>63</v>
      </c>
      <c r="F1403" s="4" t="s">
        <v>63</v>
      </c>
      <c r="G1403" s="4" t="s">
        <v>1155</v>
      </c>
      <c r="H1403" s="4"/>
      <c r="I1403" s="4" t="n">
        <v>1.4485</v>
      </c>
      <c r="J1403" s="4" t="str">
        <f aca="false">TRIM(E1403) &amp; TRIM(C1403) &amp; TRIM(D1403)</f>
        <v>First ReviewBA Ecomm Community VideoPK</v>
      </c>
      <c r="K1403" s="4" t="n">
        <f aca="false">IFERROR(I1403*60,"")</f>
        <v>86.91</v>
      </c>
    </row>
    <row r="1404" customFormat="false" ht="15" hidden="false" customHeight="false" outlineLevel="0" collapsed="false">
      <c r="A1404" s="4" t="s">
        <v>15</v>
      </c>
      <c r="B1404" s="4" t="s">
        <v>1136</v>
      </c>
      <c r="C1404" s="4" t="s">
        <v>1139</v>
      </c>
      <c r="D1404" s="4" t="s">
        <v>150</v>
      </c>
      <c r="E1404" s="4" t="s">
        <v>63</v>
      </c>
      <c r="F1404" s="4" t="s">
        <v>63</v>
      </c>
      <c r="G1404" s="4" t="s">
        <v>1156</v>
      </c>
      <c r="H1404" s="4"/>
      <c r="I1404" s="4" t="n">
        <v>1.2652</v>
      </c>
      <c r="J1404" s="4" t="str">
        <f aca="false">TRIM(E1404) &amp; TRIM(C1404) &amp; TRIM(D1404)</f>
        <v>First ReviewPro Account ROI2 VideoDE</v>
      </c>
      <c r="K1404" s="4" t="n">
        <f aca="false">IFERROR(I1404*60,"")</f>
        <v>75.912</v>
      </c>
    </row>
    <row r="1405" customFormat="false" ht="15" hidden="false" customHeight="false" outlineLevel="0" collapsed="false">
      <c r="A1405" s="4" t="s">
        <v>15</v>
      </c>
      <c r="B1405" s="4" t="s">
        <v>1136</v>
      </c>
      <c r="C1405" s="4" t="s">
        <v>1148</v>
      </c>
      <c r="D1405" s="4" t="s">
        <v>213</v>
      </c>
      <c r="E1405" s="4" t="s">
        <v>63</v>
      </c>
      <c r="F1405" s="4" t="s">
        <v>63</v>
      </c>
      <c r="G1405" s="4" t="s">
        <v>1157</v>
      </c>
      <c r="H1405" s="4"/>
      <c r="I1405" s="4" t="n">
        <v>0.9653</v>
      </c>
      <c r="J1405" s="4" t="str">
        <f aca="false">TRIM(E1405) &amp; TRIM(C1405) &amp; TRIM(D1405)</f>
        <v>First ReviewPro Account ProductFR</v>
      </c>
      <c r="K1405" s="4" t="n">
        <f aca="false">IFERROR(I1405*60,"")</f>
        <v>57.918</v>
      </c>
    </row>
    <row r="1406" customFormat="false" ht="15" hidden="false" customHeight="false" outlineLevel="0" collapsed="false">
      <c r="A1406" s="4" t="s">
        <v>15</v>
      </c>
      <c r="B1406" s="4" t="s">
        <v>1136</v>
      </c>
      <c r="C1406" s="4" t="s">
        <v>1150</v>
      </c>
      <c r="D1406" s="4" t="s">
        <v>308</v>
      </c>
      <c r="E1406" s="4" t="s">
        <v>63</v>
      </c>
      <c r="F1406" s="4" t="s">
        <v>63</v>
      </c>
      <c r="G1406" s="4" t="s">
        <v>1158</v>
      </c>
      <c r="H1406" s="4"/>
      <c r="I1406" s="4" t="n">
        <v>1.4686</v>
      </c>
      <c r="J1406" s="4" t="str">
        <f aca="false">TRIM(E1406) &amp; TRIM(C1406) &amp; TRIM(D1406)</f>
        <v>First ReviewPro Account App Download AnchorPL</v>
      </c>
      <c r="K1406" s="4" t="n">
        <f aca="false">IFERROR(I1406*60,"")</f>
        <v>88.116</v>
      </c>
    </row>
    <row r="1407" customFormat="false" ht="15" hidden="false" customHeight="false" outlineLevel="0" collapsed="false">
      <c r="A1407" s="4" t="s">
        <v>15</v>
      </c>
      <c r="B1407" s="4" t="s">
        <v>1136</v>
      </c>
      <c r="C1407" s="4" t="s">
        <v>1139</v>
      </c>
      <c r="D1407" s="4" t="s">
        <v>190</v>
      </c>
      <c r="E1407" s="4" t="s">
        <v>63</v>
      </c>
      <c r="F1407" s="4" t="s">
        <v>63</v>
      </c>
      <c r="G1407" s="4" t="s">
        <v>1159</v>
      </c>
      <c r="H1407" s="4"/>
      <c r="I1407" s="4" t="n">
        <v>1.4738</v>
      </c>
      <c r="J1407" s="4" t="str">
        <f aca="false">TRIM(E1407) &amp; TRIM(C1407) &amp; TRIM(D1407)</f>
        <v>First ReviewPro Account ROI2 VideoPH</v>
      </c>
      <c r="K1407" s="4" t="n">
        <f aca="false">IFERROR(I1407*60,"")</f>
        <v>88.428</v>
      </c>
    </row>
    <row r="1408" customFormat="false" ht="15" hidden="false" customHeight="false" outlineLevel="0" collapsed="false">
      <c r="A1408" s="4" t="s">
        <v>15</v>
      </c>
      <c r="B1408" s="4" t="s">
        <v>1136</v>
      </c>
      <c r="C1408" s="4" t="s">
        <v>1139</v>
      </c>
      <c r="D1408" s="4" t="s">
        <v>97</v>
      </c>
      <c r="E1408" s="4" t="s">
        <v>63</v>
      </c>
      <c r="F1408" s="4" t="s">
        <v>63</v>
      </c>
      <c r="G1408" s="4" t="s">
        <v>1160</v>
      </c>
      <c r="H1408" s="4"/>
      <c r="I1408" s="4" t="n">
        <v>2.287</v>
      </c>
      <c r="J1408" s="4" t="str">
        <f aca="false">TRIM(E1408) &amp; TRIM(C1408) &amp; TRIM(D1408)</f>
        <v>First ReviewPro Account ROI2 VideoBR</v>
      </c>
      <c r="K1408" s="4" t="n">
        <f aca="false">IFERROR(I1408*60,"")</f>
        <v>137.22</v>
      </c>
    </row>
    <row r="1409" customFormat="false" ht="15" hidden="false" customHeight="false" outlineLevel="0" collapsed="false">
      <c r="A1409" s="4" t="s">
        <v>15</v>
      </c>
      <c r="B1409" s="4" t="s">
        <v>1136</v>
      </c>
      <c r="C1409" s="4" t="s">
        <v>1139</v>
      </c>
      <c r="D1409" s="4" t="s">
        <v>121</v>
      </c>
      <c r="E1409" s="4" t="s">
        <v>66</v>
      </c>
      <c r="F1409" s="4" t="s">
        <v>67</v>
      </c>
      <c r="G1409" s="4" t="s">
        <v>1161</v>
      </c>
      <c r="H1409" s="4"/>
      <c r="I1409" s="4" t="n">
        <v>2.4478</v>
      </c>
      <c r="J1409" s="4" t="str">
        <f aca="false">TRIM(E1409) &amp; TRIM(C1409) &amp; TRIM(D1409)</f>
        <v>Posted RecallPro Account ROI2 VideoKR</v>
      </c>
      <c r="K1409" s="4" t="n">
        <f aca="false">IFERROR(I1409*60,"")</f>
        <v>146.868</v>
      </c>
    </row>
    <row r="1410" customFormat="false" ht="15" hidden="false" customHeight="false" outlineLevel="0" collapsed="false">
      <c r="A1410" s="4" t="s">
        <v>15</v>
      </c>
      <c r="B1410" s="4" t="s">
        <v>1136</v>
      </c>
      <c r="C1410" s="4" t="s">
        <v>1137</v>
      </c>
      <c r="D1410" s="4" t="s">
        <v>275</v>
      </c>
      <c r="E1410" s="4" t="s">
        <v>63</v>
      </c>
      <c r="F1410" s="4" t="s">
        <v>63</v>
      </c>
      <c r="G1410" s="4" t="s">
        <v>1162</v>
      </c>
      <c r="H1410" s="4"/>
      <c r="I1410" s="4" t="n">
        <v>1.4376</v>
      </c>
      <c r="J1410" s="4" t="str">
        <f aca="false">TRIM(E1410) &amp; TRIM(C1410) &amp; TRIM(D1410)</f>
        <v>First ReviewBA Ecomm Community VideoGB</v>
      </c>
      <c r="K1410" s="4" t="n">
        <f aca="false">IFERROR(I1410*60,"")</f>
        <v>86.256</v>
      </c>
    </row>
    <row r="1411" customFormat="false" ht="15" hidden="false" customHeight="false" outlineLevel="0" collapsed="false">
      <c r="A1411" s="4" t="s">
        <v>15</v>
      </c>
      <c r="B1411" s="4" t="s">
        <v>1136</v>
      </c>
      <c r="C1411" s="4" t="s">
        <v>1150</v>
      </c>
      <c r="D1411" s="4" t="s">
        <v>95</v>
      </c>
      <c r="E1411" s="4" t="s">
        <v>63</v>
      </c>
      <c r="F1411" s="4" t="s">
        <v>63</v>
      </c>
      <c r="G1411" s="4" t="s">
        <v>1163</v>
      </c>
      <c r="H1411" s="4"/>
      <c r="I1411" s="4" t="n">
        <v>1.1258</v>
      </c>
      <c r="J1411" s="4" t="str">
        <f aca="false">TRIM(E1411) &amp; TRIM(C1411) &amp; TRIM(D1411)</f>
        <v>First ReviewPro Account App Download AnchorVN</v>
      </c>
      <c r="K1411" s="4" t="n">
        <f aca="false">IFERROR(I1411*60,"")</f>
        <v>67.548</v>
      </c>
    </row>
    <row r="1412" customFormat="false" ht="15" hidden="false" customHeight="false" outlineLevel="0" collapsed="false">
      <c r="A1412" s="4" t="s">
        <v>15</v>
      </c>
      <c r="B1412" s="4" t="s">
        <v>1136</v>
      </c>
      <c r="C1412" s="4" t="s">
        <v>1141</v>
      </c>
      <c r="D1412" s="4" t="s">
        <v>271</v>
      </c>
      <c r="E1412" s="4" t="s">
        <v>63</v>
      </c>
      <c r="F1412" s="4" t="s">
        <v>63</v>
      </c>
      <c r="G1412" s="4" t="s">
        <v>1164</v>
      </c>
      <c r="H1412" s="4"/>
      <c r="I1412" s="4" t="n">
        <v>0.4198</v>
      </c>
      <c r="J1412" s="4" t="str">
        <f aca="false">TRIM(E1412) &amp; TRIM(C1412) &amp; TRIM(D1412)</f>
        <v>First ReviewPro Account 3P Lead Gen AnchorKW</v>
      </c>
      <c r="K1412" s="4" t="n">
        <f aca="false">IFERROR(I1412*60,"")</f>
        <v>25.188</v>
      </c>
    </row>
    <row r="1413" customFormat="false" ht="15" hidden="false" customHeight="false" outlineLevel="0" collapsed="false">
      <c r="A1413" s="4" t="s">
        <v>15</v>
      </c>
      <c r="B1413" s="4" t="s">
        <v>1136</v>
      </c>
      <c r="C1413" s="4" t="s">
        <v>1137</v>
      </c>
      <c r="D1413" s="4" t="s">
        <v>121</v>
      </c>
      <c r="E1413" s="4" t="s">
        <v>63</v>
      </c>
      <c r="F1413" s="4" t="s">
        <v>63</v>
      </c>
      <c r="G1413" s="4" t="s">
        <v>1165</v>
      </c>
      <c r="H1413" s="4"/>
      <c r="I1413" s="4" t="n">
        <v>1.4953</v>
      </c>
      <c r="J1413" s="4" t="str">
        <f aca="false">TRIM(E1413) &amp; TRIM(C1413) &amp; TRIM(D1413)</f>
        <v>First ReviewBA Ecomm Community VideoKR</v>
      </c>
      <c r="K1413" s="4" t="n">
        <f aca="false">IFERROR(I1413*60,"")</f>
        <v>89.718</v>
      </c>
    </row>
    <row r="1414" customFormat="false" ht="15" hidden="false" customHeight="false" outlineLevel="0" collapsed="false">
      <c r="A1414" s="4" t="s">
        <v>15</v>
      </c>
      <c r="B1414" s="4" t="s">
        <v>1136</v>
      </c>
      <c r="C1414" s="4" t="s">
        <v>1150</v>
      </c>
      <c r="D1414" s="4" t="s">
        <v>102</v>
      </c>
      <c r="E1414" s="4" t="s">
        <v>63</v>
      </c>
      <c r="F1414" s="4" t="s">
        <v>63</v>
      </c>
      <c r="G1414" s="4" t="s">
        <v>1166</v>
      </c>
      <c r="H1414" s="4"/>
      <c r="I1414" s="4" t="n">
        <v>0.7724</v>
      </c>
      <c r="J1414" s="4" t="str">
        <f aca="false">TRIM(E1414) &amp; TRIM(C1414) &amp; TRIM(D1414)</f>
        <v>First ReviewPro Account App Download AnchorSE</v>
      </c>
      <c r="K1414" s="4" t="n">
        <f aca="false">IFERROR(I1414*60,"")</f>
        <v>46.344</v>
      </c>
    </row>
    <row r="1415" customFormat="false" ht="15" hidden="false" customHeight="false" outlineLevel="0" collapsed="false">
      <c r="A1415" s="4" t="s">
        <v>15</v>
      </c>
      <c r="B1415" s="4" t="s">
        <v>1136</v>
      </c>
      <c r="C1415" s="4" t="s">
        <v>1148</v>
      </c>
      <c r="D1415" s="4" t="s">
        <v>82</v>
      </c>
      <c r="E1415" s="4" t="s">
        <v>63</v>
      </c>
      <c r="F1415" s="4" t="s">
        <v>63</v>
      </c>
      <c r="G1415" s="4" t="s">
        <v>1167</v>
      </c>
      <c r="H1415" s="4"/>
      <c r="I1415" s="4" t="n">
        <v>0.5977</v>
      </c>
      <c r="J1415" s="4" t="str">
        <f aca="false">TRIM(E1415) &amp; TRIM(C1415) &amp; TRIM(D1415)</f>
        <v>First ReviewPro Account ProductKH</v>
      </c>
      <c r="K1415" s="4" t="n">
        <f aca="false">IFERROR(I1415*60,"")</f>
        <v>35.862</v>
      </c>
    </row>
    <row r="1416" customFormat="false" ht="15" hidden="false" customHeight="false" outlineLevel="0" collapsed="false">
      <c r="A1416" s="4" t="s">
        <v>15</v>
      </c>
      <c r="B1416" s="4" t="s">
        <v>1136</v>
      </c>
      <c r="C1416" s="4" t="s">
        <v>1148</v>
      </c>
      <c r="D1416" s="4" t="s">
        <v>70</v>
      </c>
      <c r="E1416" s="4" t="s">
        <v>63</v>
      </c>
      <c r="F1416" s="4" t="s">
        <v>63</v>
      </c>
      <c r="G1416" s="4" t="s">
        <v>1168</v>
      </c>
      <c r="H1416" s="4"/>
      <c r="I1416" s="4" t="n">
        <v>1.1992</v>
      </c>
      <c r="J1416" s="4" t="str">
        <f aca="false">TRIM(E1416) &amp; TRIM(C1416) &amp; TRIM(D1416)</f>
        <v>First ReviewPro Account ProductBE</v>
      </c>
      <c r="K1416" s="4" t="n">
        <f aca="false">IFERROR(I1416*60,"")</f>
        <v>71.952</v>
      </c>
    </row>
    <row r="1417" customFormat="false" ht="15" hidden="false" customHeight="false" outlineLevel="0" collapsed="false">
      <c r="A1417" s="4" t="s">
        <v>15</v>
      </c>
      <c r="B1417" s="4" t="s">
        <v>1136</v>
      </c>
      <c r="C1417" s="4" t="s">
        <v>1139</v>
      </c>
      <c r="D1417" s="4" t="s">
        <v>113</v>
      </c>
      <c r="E1417" s="4" t="s">
        <v>63</v>
      </c>
      <c r="F1417" s="4" t="s">
        <v>63</v>
      </c>
      <c r="G1417" s="4" t="s">
        <v>1169</v>
      </c>
      <c r="H1417" s="4"/>
      <c r="I1417" s="4" t="n">
        <v>1.5196</v>
      </c>
      <c r="J1417" s="4" t="str">
        <f aca="false">TRIM(E1417) &amp; TRIM(C1417) &amp; TRIM(D1417)</f>
        <v>First ReviewPro Account ROI2 VideoNL</v>
      </c>
      <c r="K1417" s="4" t="n">
        <f aca="false">IFERROR(I1417*60,"")</f>
        <v>91.176</v>
      </c>
    </row>
    <row r="1418" customFormat="false" ht="15" hidden="false" customHeight="false" outlineLevel="0" collapsed="false">
      <c r="A1418" s="4" t="s">
        <v>15</v>
      </c>
      <c r="B1418" s="4" t="s">
        <v>1136</v>
      </c>
      <c r="C1418" s="4" t="s">
        <v>1150</v>
      </c>
      <c r="D1418" s="4" t="s">
        <v>275</v>
      </c>
      <c r="E1418" s="4" t="s">
        <v>63</v>
      </c>
      <c r="F1418" s="4" t="s">
        <v>63</v>
      </c>
      <c r="G1418" s="4" t="s">
        <v>1170</v>
      </c>
      <c r="H1418" s="4"/>
      <c r="I1418" s="4" t="n">
        <v>0.8797</v>
      </c>
      <c r="J1418" s="4" t="str">
        <f aca="false">TRIM(E1418) &amp; TRIM(C1418) &amp; TRIM(D1418)</f>
        <v>First ReviewPro Account App Download AnchorGB</v>
      </c>
      <c r="K1418" s="4" t="n">
        <f aca="false">IFERROR(I1418*60,"")</f>
        <v>52.782</v>
      </c>
    </row>
    <row r="1419" customFormat="false" ht="15" hidden="false" customHeight="false" outlineLevel="0" collapsed="false">
      <c r="A1419" s="4" t="s">
        <v>15</v>
      </c>
      <c r="B1419" s="4" t="s">
        <v>1136</v>
      </c>
      <c r="C1419" s="4" t="s">
        <v>1141</v>
      </c>
      <c r="D1419" s="4" t="s">
        <v>136</v>
      </c>
      <c r="E1419" s="4" t="s">
        <v>63</v>
      </c>
      <c r="F1419" s="4" t="s">
        <v>63</v>
      </c>
      <c r="G1419" s="4" t="s">
        <v>1171</v>
      </c>
      <c r="H1419" s="4"/>
      <c r="I1419" s="4" t="n">
        <v>0.4528</v>
      </c>
      <c r="J1419" s="4" t="str">
        <f aca="false">TRIM(E1419) &amp; TRIM(C1419) &amp; TRIM(D1419)</f>
        <v>First ReviewPro Account 3P Lead Gen AnchorPE</v>
      </c>
      <c r="K1419" s="4" t="n">
        <f aca="false">IFERROR(I1419*60,"")</f>
        <v>27.168</v>
      </c>
    </row>
    <row r="1420" customFormat="false" ht="15" hidden="false" customHeight="false" outlineLevel="0" collapsed="false">
      <c r="A1420" s="4" t="s">
        <v>15</v>
      </c>
      <c r="B1420" s="4" t="s">
        <v>1136</v>
      </c>
      <c r="C1420" s="4" t="s">
        <v>1148</v>
      </c>
      <c r="D1420" s="4" t="s">
        <v>136</v>
      </c>
      <c r="E1420" s="4" t="s">
        <v>63</v>
      </c>
      <c r="F1420" s="4" t="s">
        <v>63</v>
      </c>
      <c r="G1420" s="4" t="s">
        <v>1172</v>
      </c>
      <c r="H1420" s="4"/>
      <c r="I1420" s="4" t="n">
        <v>1.064</v>
      </c>
      <c r="J1420" s="4" t="str">
        <f aca="false">TRIM(E1420) &amp; TRIM(C1420) &amp; TRIM(D1420)</f>
        <v>First ReviewPro Account ProductPE</v>
      </c>
      <c r="K1420" s="4" t="n">
        <f aca="false">IFERROR(I1420*60,"")</f>
        <v>63.84</v>
      </c>
    </row>
    <row r="1421" customFormat="false" ht="15" hidden="false" customHeight="false" outlineLevel="0" collapsed="false">
      <c r="A1421" s="4" t="s">
        <v>15</v>
      </c>
      <c r="B1421" s="4" t="s">
        <v>1136</v>
      </c>
      <c r="C1421" s="4" t="s">
        <v>1137</v>
      </c>
      <c r="D1421" s="4" t="s">
        <v>255</v>
      </c>
      <c r="E1421" s="4" t="s">
        <v>63</v>
      </c>
      <c r="F1421" s="4" t="s">
        <v>63</v>
      </c>
      <c r="G1421" s="4" t="s">
        <v>1173</v>
      </c>
      <c r="H1421" s="4"/>
      <c r="I1421" s="4" t="n">
        <v>1.1104</v>
      </c>
      <c r="J1421" s="4" t="str">
        <f aca="false">TRIM(E1421) &amp; TRIM(C1421) &amp; TRIM(D1421)</f>
        <v>First ReviewBA Ecomm Community VideoNZ</v>
      </c>
      <c r="K1421" s="4" t="n">
        <f aca="false">IFERROR(I1421*60,"")</f>
        <v>66.624</v>
      </c>
    </row>
    <row r="1422" customFormat="false" ht="15" hidden="false" customHeight="false" outlineLevel="0" collapsed="false">
      <c r="A1422" s="4" t="s">
        <v>15</v>
      </c>
      <c r="B1422" s="4" t="s">
        <v>1136</v>
      </c>
      <c r="C1422" s="4" t="s">
        <v>1139</v>
      </c>
      <c r="D1422" s="4" t="s">
        <v>275</v>
      </c>
      <c r="E1422" s="4" t="s">
        <v>63</v>
      </c>
      <c r="F1422" s="4" t="s">
        <v>63</v>
      </c>
      <c r="G1422" s="4" t="s">
        <v>1174</v>
      </c>
      <c r="H1422" s="4"/>
      <c r="I1422" s="4" t="n">
        <v>2.0808</v>
      </c>
      <c r="J1422" s="4" t="str">
        <f aca="false">TRIM(E1422) &amp; TRIM(C1422) &amp; TRIM(D1422)</f>
        <v>First ReviewPro Account ROI2 VideoGB</v>
      </c>
      <c r="K1422" s="4" t="n">
        <f aca="false">IFERROR(I1422*60,"")</f>
        <v>124.848</v>
      </c>
    </row>
    <row r="1423" customFormat="false" ht="15" hidden="false" customHeight="false" outlineLevel="0" collapsed="false">
      <c r="A1423" s="4" t="s">
        <v>15</v>
      </c>
      <c r="B1423" s="4" t="s">
        <v>1136</v>
      </c>
      <c r="C1423" s="4" t="s">
        <v>1148</v>
      </c>
      <c r="D1423" s="4" t="s">
        <v>197</v>
      </c>
      <c r="E1423" s="4" t="s">
        <v>63</v>
      </c>
      <c r="F1423" s="4" t="s">
        <v>63</v>
      </c>
      <c r="G1423" s="4" t="s">
        <v>1175</v>
      </c>
      <c r="H1423" s="4"/>
      <c r="I1423" s="4" t="n">
        <v>1.5442</v>
      </c>
      <c r="J1423" s="4" t="str">
        <f aca="false">TRIM(E1423) &amp; TRIM(C1423) &amp; TRIM(D1423)</f>
        <v>First ReviewPro Account ProductGR</v>
      </c>
      <c r="K1423" s="4" t="n">
        <f aca="false">IFERROR(I1423*60,"")</f>
        <v>92.652</v>
      </c>
    </row>
    <row r="1424" customFormat="false" ht="15" hidden="false" customHeight="false" outlineLevel="0" collapsed="false">
      <c r="A1424" s="4" t="s">
        <v>15</v>
      </c>
      <c r="B1424" s="4" t="s">
        <v>1136</v>
      </c>
      <c r="C1424" s="4" t="s">
        <v>1137</v>
      </c>
      <c r="D1424" s="4" t="s">
        <v>113</v>
      </c>
      <c r="E1424" s="4" t="s">
        <v>63</v>
      </c>
      <c r="F1424" s="4" t="s">
        <v>63</v>
      </c>
      <c r="G1424" s="4" t="s">
        <v>1176</v>
      </c>
      <c r="H1424" s="4"/>
      <c r="I1424" s="4" t="n">
        <v>1.4956</v>
      </c>
      <c r="J1424" s="4" t="str">
        <f aca="false">TRIM(E1424) &amp; TRIM(C1424) &amp; TRIM(D1424)</f>
        <v>First ReviewBA Ecomm Community VideoNL</v>
      </c>
      <c r="K1424" s="4" t="n">
        <f aca="false">IFERROR(I1424*60,"")</f>
        <v>89.736</v>
      </c>
    </row>
    <row r="1425" customFormat="false" ht="15" hidden="false" customHeight="false" outlineLevel="0" collapsed="false">
      <c r="A1425" s="4" t="s">
        <v>15</v>
      </c>
      <c r="B1425" s="4" t="s">
        <v>1136</v>
      </c>
      <c r="C1425" s="4" t="s">
        <v>1137</v>
      </c>
      <c r="D1425" s="4" t="s">
        <v>251</v>
      </c>
      <c r="E1425" s="4" t="s">
        <v>63</v>
      </c>
      <c r="F1425" s="4" t="s">
        <v>63</v>
      </c>
      <c r="G1425" s="4" t="s">
        <v>1177</v>
      </c>
      <c r="H1425" s="4"/>
      <c r="I1425" s="4" t="n">
        <v>1.4824</v>
      </c>
      <c r="J1425" s="4" t="str">
        <f aca="false">TRIM(E1425) &amp; TRIM(C1425) &amp; TRIM(D1425)</f>
        <v>First ReviewBA Ecomm Community VideoRO</v>
      </c>
      <c r="K1425" s="4" t="n">
        <f aca="false">IFERROR(I1425*60,"")</f>
        <v>88.944</v>
      </c>
    </row>
    <row r="1426" customFormat="false" ht="15" hidden="false" customHeight="false" outlineLevel="0" collapsed="false">
      <c r="A1426" s="4" t="s">
        <v>15</v>
      </c>
      <c r="B1426" s="4" t="s">
        <v>1136</v>
      </c>
      <c r="C1426" s="4" t="s">
        <v>1141</v>
      </c>
      <c r="D1426" s="4" t="s">
        <v>126</v>
      </c>
      <c r="E1426" s="4" t="s">
        <v>63</v>
      </c>
      <c r="F1426" s="4" t="s">
        <v>63</v>
      </c>
      <c r="G1426" s="4" t="s">
        <v>1178</v>
      </c>
      <c r="H1426" s="4"/>
      <c r="I1426" s="4" t="n">
        <v>0.475</v>
      </c>
      <c r="J1426" s="4" t="str">
        <f aca="false">TRIM(E1426) &amp; TRIM(C1426) &amp; TRIM(D1426)</f>
        <v>First ReviewPro Account 3P Lead Gen AnchorMX</v>
      </c>
      <c r="K1426" s="4" t="n">
        <f aca="false">IFERROR(I1426*60,"")</f>
        <v>28.5</v>
      </c>
    </row>
    <row r="1427" customFormat="false" ht="15" hidden="false" customHeight="false" outlineLevel="0" collapsed="false">
      <c r="A1427" s="4" t="s">
        <v>15</v>
      </c>
      <c r="B1427" s="4" t="s">
        <v>1136</v>
      </c>
      <c r="C1427" s="4" t="s">
        <v>1139</v>
      </c>
      <c r="D1427" s="4" t="s">
        <v>267</v>
      </c>
      <c r="E1427" s="4" t="s">
        <v>63</v>
      </c>
      <c r="F1427" s="4" t="s">
        <v>63</v>
      </c>
      <c r="G1427" s="4" t="s">
        <v>1179</v>
      </c>
      <c r="H1427" s="4"/>
      <c r="I1427" s="4" t="n">
        <v>1.1003</v>
      </c>
      <c r="J1427" s="4" t="str">
        <f aca="false">TRIM(E1427) &amp; TRIM(C1427) &amp; TRIM(D1427)</f>
        <v>First ReviewPro Account ROI2 VideoID</v>
      </c>
      <c r="K1427" s="4" t="n">
        <f aca="false">IFERROR(I1427*60,"")</f>
        <v>66.018</v>
      </c>
    </row>
    <row r="1428" customFormat="false" ht="15" hidden="false" customHeight="false" outlineLevel="0" collapsed="false">
      <c r="A1428" s="4" t="s">
        <v>15</v>
      </c>
      <c r="B1428" s="4" t="s">
        <v>1136</v>
      </c>
      <c r="C1428" s="4" t="s">
        <v>1139</v>
      </c>
      <c r="D1428" s="4" t="s">
        <v>126</v>
      </c>
      <c r="E1428" s="4" t="s">
        <v>63</v>
      </c>
      <c r="F1428" s="4" t="s">
        <v>63</v>
      </c>
      <c r="G1428" s="4" t="s">
        <v>1180</v>
      </c>
      <c r="H1428" s="4"/>
      <c r="I1428" s="4" t="n">
        <v>1.4863</v>
      </c>
      <c r="J1428" s="4" t="str">
        <f aca="false">TRIM(E1428) &amp; TRIM(C1428) &amp; TRIM(D1428)</f>
        <v>First ReviewPro Account ROI2 VideoMX</v>
      </c>
      <c r="K1428" s="4" t="n">
        <f aca="false">IFERROR(I1428*60,"")</f>
        <v>89.178</v>
      </c>
    </row>
    <row r="1429" customFormat="false" ht="15" hidden="false" customHeight="false" outlineLevel="0" collapsed="false">
      <c r="A1429" s="4" t="s">
        <v>15</v>
      </c>
      <c r="B1429" s="4" t="s">
        <v>1136</v>
      </c>
      <c r="C1429" s="4" t="s">
        <v>1150</v>
      </c>
      <c r="D1429" s="4" t="s">
        <v>115</v>
      </c>
      <c r="E1429" s="4" t="s">
        <v>63</v>
      </c>
      <c r="F1429" s="4" t="s">
        <v>63</v>
      </c>
      <c r="G1429" s="4" t="s">
        <v>1181</v>
      </c>
      <c r="H1429" s="4"/>
      <c r="I1429" s="4" t="n">
        <v>0.7279</v>
      </c>
      <c r="J1429" s="4" t="str">
        <f aca="false">TRIM(E1429) &amp; TRIM(C1429) &amp; TRIM(D1429)</f>
        <v>First ReviewPro Account App Download AnchorAT</v>
      </c>
      <c r="K1429" s="4" t="n">
        <f aca="false">IFERROR(I1429*60,"")</f>
        <v>43.674</v>
      </c>
    </row>
    <row r="1430" customFormat="false" ht="15" hidden="false" customHeight="false" outlineLevel="0" collapsed="false">
      <c r="A1430" s="4" t="s">
        <v>15</v>
      </c>
      <c r="B1430" s="4" t="s">
        <v>1136</v>
      </c>
      <c r="C1430" s="4" t="s">
        <v>1148</v>
      </c>
      <c r="D1430" s="4" t="s">
        <v>128</v>
      </c>
      <c r="E1430" s="4" t="s">
        <v>63</v>
      </c>
      <c r="F1430" s="4" t="s">
        <v>63</v>
      </c>
      <c r="G1430" s="4" t="s">
        <v>1182</v>
      </c>
      <c r="H1430" s="4"/>
      <c r="I1430" s="4" t="n">
        <v>1.8803</v>
      </c>
      <c r="J1430" s="4" t="str">
        <f aca="false">TRIM(E1430) &amp; TRIM(C1430) &amp; TRIM(D1430)</f>
        <v>First ReviewPro Account ProductBD</v>
      </c>
      <c r="K1430" s="4" t="n">
        <f aca="false">IFERROR(I1430*60,"")</f>
        <v>112.818</v>
      </c>
    </row>
    <row r="1431" customFormat="false" ht="15" hidden="false" customHeight="false" outlineLevel="0" collapsed="false">
      <c r="A1431" s="4" t="s">
        <v>15</v>
      </c>
      <c r="B1431" s="4" t="s">
        <v>1136</v>
      </c>
      <c r="C1431" s="4" t="s">
        <v>1153</v>
      </c>
      <c r="D1431" s="4" t="s">
        <v>235</v>
      </c>
      <c r="E1431" s="4" t="s">
        <v>63</v>
      </c>
      <c r="F1431" s="4" t="s">
        <v>63</v>
      </c>
      <c r="G1431" s="4" t="s">
        <v>1183</v>
      </c>
      <c r="H1431" s="4"/>
      <c r="I1431" s="4" t="n">
        <v>1.4395</v>
      </c>
      <c r="J1431" s="4" t="str">
        <f aca="false">TRIM(E1431) &amp; TRIM(C1431) &amp; TRIM(D1431)</f>
        <v>First ReviewPro Account Web Conversion AnchorJP</v>
      </c>
      <c r="K1431" s="4" t="n">
        <f aca="false">IFERROR(I1431*60,"")</f>
        <v>86.37</v>
      </c>
    </row>
    <row r="1432" customFormat="false" ht="15" hidden="false" customHeight="false" outlineLevel="0" collapsed="false">
      <c r="A1432" s="4" t="s">
        <v>15</v>
      </c>
      <c r="B1432" s="4" t="s">
        <v>1136</v>
      </c>
      <c r="C1432" s="4" t="s">
        <v>1150</v>
      </c>
      <c r="D1432" s="4" t="s">
        <v>235</v>
      </c>
      <c r="E1432" s="4" t="s">
        <v>63</v>
      </c>
      <c r="F1432" s="4" t="s">
        <v>63</v>
      </c>
      <c r="G1432" s="4" t="s">
        <v>1184</v>
      </c>
      <c r="H1432" s="4"/>
      <c r="I1432" s="4" t="n">
        <v>1.928</v>
      </c>
      <c r="J1432" s="4" t="str">
        <f aca="false">TRIM(E1432) &amp; TRIM(C1432) &amp; TRIM(D1432)</f>
        <v>First ReviewPro Account App Download AnchorJP</v>
      </c>
      <c r="K1432" s="4" t="n">
        <f aca="false">IFERROR(I1432*60,"")</f>
        <v>115.68</v>
      </c>
    </row>
    <row r="1433" customFormat="false" ht="15" hidden="false" customHeight="false" outlineLevel="0" collapsed="false">
      <c r="A1433" s="4" t="s">
        <v>15</v>
      </c>
      <c r="B1433" s="4" t="s">
        <v>1136</v>
      </c>
      <c r="C1433" s="4" t="s">
        <v>1150</v>
      </c>
      <c r="D1433" s="4" t="s">
        <v>111</v>
      </c>
      <c r="E1433" s="4" t="s">
        <v>63</v>
      </c>
      <c r="F1433" s="4" t="s">
        <v>63</v>
      </c>
      <c r="G1433" s="4" t="s">
        <v>1185</v>
      </c>
      <c r="H1433" s="4"/>
      <c r="I1433" s="4" t="n">
        <v>0.5706</v>
      </c>
      <c r="J1433" s="4" t="str">
        <f aca="false">TRIM(E1433) &amp; TRIM(C1433) &amp; TRIM(D1433)</f>
        <v>First ReviewPro Account App Download AnchorUS</v>
      </c>
      <c r="K1433" s="4" t="n">
        <f aca="false">IFERROR(I1433*60,"")</f>
        <v>34.236</v>
      </c>
    </row>
    <row r="1434" customFormat="false" ht="15" hidden="false" customHeight="false" outlineLevel="0" collapsed="false">
      <c r="A1434" s="4" t="s">
        <v>15</v>
      </c>
      <c r="B1434" s="4" t="s">
        <v>1136</v>
      </c>
      <c r="C1434" s="4" t="s">
        <v>1150</v>
      </c>
      <c r="D1434" s="4" t="s">
        <v>213</v>
      </c>
      <c r="E1434" s="4" t="s">
        <v>63</v>
      </c>
      <c r="F1434" s="4" t="s">
        <v>63</v>
      </c>
      <c r="G1434" s="4" t="s">
        <v>1186</v>
      </c>
      <c r="H1434" s="4"/>
      <c r="I1434" s="4" t="n">
        <v>0.63</v>
      </c>
      <c r="J1434" s="4" t="str">
        <f aca="false">TRIM(E1434) &amp; TRIM(C1434) &amp; TRIM(D1434)</f>
        <v>First ReviewPro Account App Download AnchorFR</v>
      </c>
      <c r="K1434" s="4" t="n">
        <f aca="false">IFERROR(I1434*60,"")</f>
        <v>37.8</v>
      </c>
    </row>
    <row r="1435" customFormat="false" ht="15" hidden="false" customHeight="false" outlineLevel="0" collapsed="false">
      <c r="A1435" s="4" t="s">
        <v>15</v>
      </c>
      <c r="B1435" s="4" t="s">
        <v>1136</v>
      </c>
      <c r="C1435" s="4" t="s">
        <v>1137</v>
      </c>
      <c r="D1435" s="4" t="s">
        <v>213</v>
      </c>
      <c r="E1435" s="4" t="s">
        <v>63</v>
      </c>
      <c r="F1435" s="4" t="s">
        <v>63</v>
      </c>
      <c r="G1435" s="4" t="s">
        <v>1187</v>
      </c>
      <c r="H1435" s="4"/>
      <c r="I1435" s="4" t="n">
        <v>0.8958</v>
      </c>
      <c r="J1435" s="4" t="str">
        <f aca="false">TRIM(E1435) &amp; TRIM(C1435) &amp; TRIM(D1435)</f>
        <v>First ReviewBA Ecomm Community VideoFR</v>
      </c>
      <c r="K1435" s="4" t="n">
        <f aca="false">IFERROR(I1435*60,"")</f>
        <v>53.748</v>
      </c>
    </row>
    <row r="1436" customFormat="false" ht="15" hidden="false" customHeight="false" outlineLevel="0" collapsed="false">
      <c r="A1436" s="4" t="s">
        <v>15</v>
      </c>
      <c r="B1436" s="4" t="s">
        <v>1136</v>
      </c>
      <c r="C1436" s="4" t="s">
        <v>1139</v>
      </c>
      <c r="D1436" s="4" t="s">
        <v>154</v>
      </c>
      <c r="E1436" s="4" t="s">
        <v>63</v>
      </c>
      <c r="F1436" s="4" t="s">
        <v>63</v>
      </c>
      <c r="G1436" s="4" t="s">
        <v>1188</v>
      </c>
      <c r="H1436" s="4"/>
      <c r="I1436" s="4" t="n">
        <v>1.5868</v>
      </c>
      <c r="J1436" s="4" t="str">
        <f aca="false">TRIM(E1436) &amp; TRIM(C1436) &amp; TRIM(D1436)</f>
        <v>First ReviewPro Account ROI2 VideoES</v>
      </c>
      <c r="K1436" s="4" t="n">
        <f aca="false">IFERROR(I1436*60,"")</f>
        <v>95.208</v>
      </c>
    </row>
    <row r="1437" customFormat="false" ht="15" hidden="false" customHeight="false" outlineLevel="0" collapsed="false">
      <c r="A1437" s="4" t="s">
        <v>15</v>
      </c>
      <c r="B1437" s="4" t="s">
        <v>1136</v>
      </c>
      <c r="C1437" s="4" t="s">
        <v>1141</v>
      </c>
      <c r="D1437" s="4" t="s">
        <v>106</v>
      </c>
      <c r="E1437" s="4" t="s">
        <v>59</v>
      </c>
      <c r="F1437" s="4" t="s">
        <v>59</v>
      </c>
      <c r="G1437" s="4" t="s">
        <v>1189</v>
      </c>
      <c r="H1437" s="4"/>
      <c r="I1437" s="4" t="n">
        <v>0.6362</v>
      </c>
      <c r="J1437" s="4" t="str">
        <f aca="false">TRIM(E1437) &amp; TRIM(C1437) &amp; TRIM(D1437)</f>
        <v>Re-reviewPro Account 3P Lead Gen AnchorMY</v>
      </c>
      <c r="K1437" s="4" t="n">
        <f aca="false">IFERROR(I1437*60,"")</f>
        <v>38.172</v>
      </c>
    </row>
    <row r="1438" customFormat="false" ht="15" hidden="false" customHeight="false" outlineLevel="0" collapsed="false">
      <c r="A1438" s="4" t="s">
        <v>15</v>
      </c>
      <c r="B1438" s="4" t="s">
        <v>1136</v>
      </c>
      <c r="C1438" s="4" t="s">
        <v>1141</v>
      </c>
      <c r="D1438" s="4" t="s">
        <v>190</v>
      </c>
      <c r="E1438" s="4" t="s">
        <v>63</v>
      </c>
      <c r="F1438" s="4" t="s">
        <v>63</v>
      </c>
      <c r="G1438" s="4" t="s">
        <v>1190</v>
      </c>
      <c r="H1438" s="4"/>
      <c r="I1438" s="4" t="n">
        <v>0.1202</v>
      </c>
      <c r="J1438" s="4" t="str">
        <f aca="false">TRIM(E1438) &amp; TRIM(C1438) &amp; TRIM(D1438)</f>
        <v>First ReviewPro Account 3P Lead Gen AnchorPH</v>
      </c>
      <c r="K1438" s="4" t="n">
        <f aca="false">IFERROR(I1438*60,"")</f>
        <v>7.212</v>
      </c>
    </row>
    <row r="1439" customFormat="false" ht="15" hidden="false" customHeight="false" outlineLevel="0" collapsed="false">
      <c r="A1439" s="4" t="s">
        <v>15</v>
      </c>
      <c r="B1439" s="4" t="s">
        <v>1136</v>
      </c>
      <c r="C1439" s="4" t="s">
        <v>1137</v>
      </c>
      <c r="D1439" s="4" t="s">
        <v>231</v>
      </c>
      <c r="E1439" s="4" t="s">
        <v>66</v>
      </c>
      <c r="F1439" s="4" t="s">
        <v>67</v>
      </c>
      <c r="G1439" s="4" t="s">
        <v>1191</v>
      </c>
      <c r="H1439" s="4"/>
      <c r="I1439" s="4" t="n">
        <v>1.3273</v>
      </c>
      <c r="J1439" s="4" t="str">
        <f aca="false">TRIM(E1439) &amp; TRIM(C1439) &amp; TRIM(D1439)</f>
        <v>Posted RecallBA Ecomm Community VideoIL</v>
      </c>
      <c r="K1439" s="4" t="n">
        <f aca="false">IFERROR(I1439*60,"")</f>
        <v>79.638</v>
      </c>
    </row>
    <row r="1440" customFormat="false" ht="15" hidden="false" customHeight="false" outlineLevel="0" collapsed="false">
      <c r="A1440" s="4" t="s">
        <v>15</v>
      </c>
      <c r="B1440" s="4" t="s">
        <v>1136</v>
      </c>
      <c r="C1440" s="4" t="s">
        <v>1141</v>
      </c>
      <c r="D1440" s="4" t="s">
        <v>306</v>
      </c>
      <c r="E1440" s="4" t="s">
        <v>59</v>
      </c>
      <c r="F1440" s="4" t="s">
        <v>59</v>
      </c>
      <c r="G1440" s="4" t="s">
        <v>1192</v>
      </c>
      <c r="H1440" s="4"/>
      <c r="I1440" s="4" t="n">
        <v>0.454</v>
      </c>
      <c r="J1440" s="4" t="str">
        <f aca="false">TRIM(E1440) &amp; TRIM(C1440) &amp; TRIM(D1440)</f>
        <v>Re-reviewPro Account 3P Lead Gen AnchorTH</v>
      </c>
      <c r="K1440" s="4" t="n">
        <f aca="false">IFERROR(I1440*60,"")</f>
        <v>27.24</v>
      </c>
    </row>
    <row r="1441" customFormat="false" ht="15" hidden="false" customHeight="false" outlineLevel="0" collapsed="false">
      <c r="A1441" s="4" t="s">
        <v>15</v>
      </c>
      <c r="B1441" s="4" t="s">
        <v>1136</v>
      </c>
      <c r="C1441" s="4" t="s">
        <v>1148</v>
      </c>
      <c r="D1441" s="4" t="s">
        <v>97</v>
      </c>
      <c r="E1441" s="4" t="s">
        <v>63</v>
      </c>
      <c r="F1441" s="4" t="s">
        <v>63</v>
      </c>
      <c r="G1441" s="4" t="s">
        <v>1193</v>
      </c>
      <c r="H1441" s="4"/>
      <c r="I1441" s="4" t="n">
        <v>1.2925</v>
      </c>
      <c r="J1441" s="4" t="str">
        <f aca="false">TRIM(E1441) &amp; TRIM(C1441) &amp; TRIM(D1441)</f>
        <v>First ReviewPro Account ProductBR</v>
      </c>
      <c r="K1441" s="4" t="n">
        <f aca="false">IFERROR(I1441*60,"")</f>
        <v>77.55</v>
      </c>
    </row>
    <row r="1442" customFormat="false" ht="15" hidden="false" customHeight="false" outlineLevel="0" collapsed="false">
      <c r="A1442" s="4" t="s">
        <v>15</v>
      </c>
      <c r="B1442" s="4" t="s">
        <v>1136</v>
      </c>
      <c r="C1442" s="4" t="s">
        <v>1137</v>
      </c>
      <c r="D1442" s="4" t="s">
        <v>154</v>
      </c>
      <c r="E1442" s="4" t="s">
        <v>63</v>
      </c>
      <c r="F1442" s="4" t="s">
        <v>63</v>
      </c>
      <c r="G1442" s="4" t="s">
        <v>1194</v>
      </c>
      <c r="H1442" s="4"/>
      <c r="I1442" s="4" t="n">
        <v>1.5909</v>
      </c>
      <c r="J1442" s="4" t="str">
        <f aca="false">TRIM(E1442) &amp; TRIM(C1442) &amp; TRIM(D1442)</f>
        <v>First ReviewBA Ecomm Community VideoES</v>
      </c>
      <c r="K1442" s="4" t="n">
        <f aca="false">IFERROR(I1442*60,"")</f>
        <v>95.454</v>
      </c>
    </row>
    <row r="1443" customFormat="false" ht="15" hidden="false" customHeight="false" outlineLevel="0" collapsed="false">
      <c r="A1443" s="4" t="s">
        <v>15</v>
      </c>
      <c r="B1443" s="4" t="s">
        <v>1136</v>
      </c>
      <c r="C1443" s="4" t="s">
        <v>1139</v>
      </c>
      <c r="D1443" s="4" t="s">
        <v>102</v>
      </c>
      <c r="E1443" s="4" t="s">
        <v>63</v>
      </c>
      <c r="F1443" s="4" t="s">
        <v>63</v>
      </c>
      <c r="G1443" s="4" t="s">
        <v>1195</v>
      </c>
      <c r="H1443" s="4"/>
      <c r="I1443" s="4" t="n">
        <v>1.4221</v>
      </c>
      <c r="J1443" s="4" t="str">
        <f aca="false">TRIM(E1443) &amp; TRIM(C1443) &amp; TRIM(D1443)</f>
        <v>First ReviewPro Account ROI2 VideoSE</v>
      </c>
      <c r="K1443" s="4" t="n">
        <f aca="false">IFERROR(I1443*60,"")</f>
        <v>85.326</v>
      </c>
    </row>
    <row r="1444" customFormat="false" ht="15" hidden="false" customHeight="false" outlineLevel="0" collapsed="false">
      <c r="A1444" s="4" t="s">
        <v>15</v>
      </c>
      <c r="B1444" s="4" t="s">
        <v>1136</v>
      </c>
      <c r="C1444" s="4" t="s">
        <v>1137</v>
      </c>
      <c r="D1444" s="4" t="s">
        <v>102</v>
      </c>
      <c r="E1444" s="4" t="s">
        <v>63</v>
      </c>
      <c r="F1444" s="4" t="s">
        <v>63</v>
      </c>
      <c r="G1444" s="4" t="s">
        <v>1196</v>
      </c>
      <c r="H1444" s="4"/>
      <c r="I1444" s="4" t="n">
        <v>0.963</v>
      </c>
      <c r="J1444" s="4" t="str">
        <f aca="false">TRIM(E1444) &amp; TRIM(C1444) &amp; TRIM(D1444)</f>
        <v>First ReviewBA Ecomm Community VideoSE</v>
      </c>
      <c r="K1444" s="4" t="n">
        <f aca="false">IFERROR(I1444*60,"")</f>
        <v>57.78</v>
      </c>
    </row>
    <row r="1445" customFormat="false" ht="15" hidden="false" customHeight="false" outlineLevel="0" collapsed="false">
      <c r="A1445" s="4" t="s">
        <v>15</v>
      </c>
      <c r="B1445" s="4" t="s">
        <v>1136</v>
      </c>
      <c r="C1445" s="4" t="s">
        <v>1148</v>
      </c>
      <c r="D1445" s="4" t="s">
        <v>308</v>
      </c>
      <c r="E1445" s="4" t="s">
        <v>63</v>
      </c>
      <c r="F1445" s="4" t="s">
        <v>63</v>
      </c>
      <c r="G1445" s="4" t="s">
        <v>1197</v>
      </c>
      <c r="H1445" s="4"/>
      <c r="I1445" s="4" t="n">
        <v>2.8582</v>
      </c>
      <c r="J1445" s="4" t="str">
        <f aca="false">TRIM(E1445) &amp; TRIM(C1445) &amp; TRIM(D1445)</f>
        <v>First ReviewPro Account ProductPL</v>
      </c>
      <c r="K1445" s="4" t="n">
        <f aca="false">IFERROR(I1445*60,"")</f>
        <v>171.492</v>
      </c>
    </row>
    <row r="1446" customFormat="false" ht="15" hidden="false" customHeight="false" outlineLevel="0" collapsed="false">
      <c r="A1446" s="4" t="s">
        <v>15</v>
      </c>
      <c r="B1446" s="4" t="s">
        <v>1136</v>
      </c>
      <c r="C1446" s="4" t="s">
        <v>1141</v>
      </c>
      <c r="D1446" s="4" t="s">
        <v>308</v>
      </c>
      <c r="E1446" s="4" t="s">
        <v>63</v>
      </c>
      <c r="F1446" s="4" t="s">
        <v>63</v>
      </c>
      <c r="G1446" s="4" t="s">
        <v>1198</v>
      </c>
      <c r="H1446" s="4"/>
      <c r="I1446" s="4" t="n">
        <v>1.6669</v>
      </c>
      <c r="J1446" s="4" t="str">
        <f aca="false">TRIM(E1446) &amp; TRIM(C1446) &amp; TRIM(D1446)</f>
        <v>First ReviewPro Account 3P Lead Gen AnchorPL</v>
      </c>
      <c r="K1446" s="4" t="n">
        <f aca="false">IFERROR(I1446*60,"")</f>
        <v>100.014</v>
      </c>
    </row>
    <row r="1447" customFormat="false" ht="15" hidden="false" customHeight="false" outlineLevel="0" collapsed="false">
      <c r="A1447" s="4" t="s">
        <v>15</v>
      </c>
      <c r="B1447" s="4" t="s">
        <v>1136</v>
      </c>
      <c r="C1447" s="4" t="s">
        <v>1139</v>
      </c>
      <c r="D1447" s="4" t="s">
        <v>251</v>
      </c>
      <c r="E1447" s="4" t="s">
        <v>63</v>
      </c>
      <c r="F1447" s="4" t="s">
        <v>63</v>
      </c>
      <c r="G1447" s="4" t="s">
        <v>1199</v>
      </c>
      <c r="H1447" s="4"/>
      <c r="I1447" s="4" t="n">
        <v>1.9455</v>
      </c>
      <c r="J1447" s="4" t="str">
        <f aca="false">TRIM(E1447) &amp; TRIM(C1447) &amp; TRIM(D1447)</f>
        <v>First ReviewPro Account ROI2 VideoRO</v>
      </c>
      <c r="K1447" s="4" t="n">
        <f aca="false">IFERROR(I1447*60,"")</f>
        <v>116.73</v>
      </c>
    </row>
    <row r="1448" customFormat="false" ht="15" hidden="false" customHeight="false" outlineLevel="0" collapsed="false">
      <c r="A1448" s="4" t="s">
        <v>15</v>
      </c>
      <c r="B1448" s="4" t="s">
        <v>1136</v>
      </c>
      <c r="C1448" s="4" t="s">
        <v>1139</v>
      </c>
      <c r="D1448" s="4" t="s">
        <v>111</v>
      </c>
      <c r="E1448" s="4" t="s">
        <v>63</v>
      </c>
      <c r="F1448" s="4" t="s">
        <v>63</v>
      </c>
      <c r="G1448" s="4" t="s">
        <v>1200</v>
      </c>
      <c r="H1448" s="4"/>
      <c r="I1448" s="4" t="n">
        <v>1.2423</v>
      </c>
      <c r="J1448" s="4" t="str">
        <f aca="false">TRIM(E1448) &amp; TRIM(C1448) &amp; TRIM(D1448)</f>
        <v>First ReviewPro Account ROI2 VideoUS</v>
      </c>
      <c r="K1448" s="4" t="n">
        <f aca="false">IFERROR(I1448*60,"")</f>
        <v>74.538</v>
      </c>
    </row>
    <row r="1449" customFormat="false" ht="15" hidden="false" customHeight="false" outlineLevel="0" collapsed="false">
      <c r="A1449" s="4" t="s">
        <v>15</v>
      </c>
      <c r="B1449" s="4" t="s">
        <v>1136</v>
      </c>
      <c r="C1449" s="4" t="s">
        <v>1153</v>
      </c>
      <c r="D1449" s="4" t="s">
        <v>58</v>
      </c>
      <c r="E1449" s="4" t="s">
        <v>63</v>
      </c>
      <c r="F1449" s="4" t="s">
        <v>63</v>
      </c>
      <c r="G1449" s="4" t="s">
        <v>1201</v>
      </c>
      <c r="H1449" s="4"/>
      <c r="I1449" s="4" t="n">
        <v>0.4856</v>
      </c>
      <c r="J1449" s="4" t="str">
        <f aca="false">TRIM(E1449) &amp; TRIM(C1449) &amp; TRIM(D1449)</f>
        <v>First ReviewPro Account Web Conversion AnchorSG</v>
      </c>
      <c r="K1449" s="4" t="n">
        <f aca="false">IFERROR(I1449*60,"")</f>
        <v>29.136</v>
      </c>
    </row>
    <row r="1450" customFormat="false" ht="15" hidden="false" customHeight="false" outlineLevel="0" collapsed="false">
      <c r="A1450" s="4" t="s">
        <v>15</v>
      </c>
      <c r="B1450" s="4" t="s">
        <v>1136</v>
      </c>
      <c r="C1450" s="4" t="s">
        <v>1150</v>
      </c>
      <c r="D1450" s="4" t="s">
        <v>154</v>
      </c>
      <c r="E1450" s="4" t="s">
        <v>63</v>
      </c>
      <c r="F1450" s="4" t="s">
        <v>63</v>
      </c>
      <c r="G1450" s="4" t="s">
        <v>1202</v>
      </c>
      <c r="H1450" s="4"/>
      <c r="I1450" s="4" t="n">
        <v>1.1394</v>
      </c>
      <c r="J1450" s="4" t="str">
        <f aca="false">TRIM(E1450) &amp; TRIM(C1450) &amp; TRIM(D1450)</f>
        <v>First ReviewPro Account App Download AnchorES</v>
      </c>
      <c r="K1450" s="4" t="n">
        <f aca="false">IFERROR(I1450*60,"")</f>
        <v>68.364</v>
      </c>
    </row>
    <row r="1451" customFormat="false" ht="15" hidden="false" customHeight="false" outlineLevel="0" collapsed="false">
      <c r="A1451" s="4" t="s">
        <v>15</v>
      </c>
      <c r="B1451" s="4" t="s">
        <v>1136</v>
      </c>
      <c r="C1451" s="4" t="s">
        <v>1139</v>
      </c>
      <c r="D1451" s="4" t="s">
        <v>106</v>
      </c>
      <c r="E1451" s="4" t="s">
        <v>63</v>
      </c>
      <c r="F1451" s="4" t="s">
        <v>63</v>
      </c>
      <c r="G1451" s="4" t="s">
        <v>1203</v>
      </c>
      <c r="H1451" s="4"/>
      <c r="I1451" s="4" t="n">
        <v>1.196</v>
      </c>
      <c r="J1451" s="4" t="str">
        <f aca="false">TRIM(E1451) &amp; TRIM(C1451) &amp; TRIM(D1451)</f>
        <v>First ReviewPro Account ROI2 VideoMY</v>
      </c>
      <c r="K1451" s="4" t="n">
        <f aca="false">IFERROR(I1451*60,"")</f>
        <v>71.76</v>
      </c>
    </row>
    <row r="1452" customFormat="false" ht="15" hidden="false" customHeight="false" outlineLevel="0" collapsed="false">
      <c r="A1452" s="4" t="s">
        <v>15</v>
      </c>
      <c r="B1452" s="4" t="s">
        <v>1136</v>
      </c>
      <c r="C1452" s="4" t="s">
        <v>1137</v>
      </c>
      <c r="D1452" s="4" t="s">
        <v>235</v>
      </c>
      <c r="E1452" s="4" t="s">
        <v>63</v>
      </c>
      <c r="F1452" s="4" t="s">
        <v>63</v>
      </c>
      <c r="G1452" s="4" t="s">
        <v>1204</v>
      </c>
      <c r="H1452" s="4"/>
      <c r="I1452" s="4" t="n">
        <v>2.1375</v>
      </c>
      <c r="J1452" s="4" t="str">
        <f aca="false">TRIM(E1452) &amp; TRIM(C1452) &amp; TRIM(D1452)</f>
        <v>First ReviewBA Ecomm Community VideoJP</v>
      </c>
      <c r="K1452" s="4" t="n">
        <f aca="false">IFERROR(I1452*60,"")</f>
        <v>128.25</v>
      </c>
    </row>
    <row r="1453" customFormat="false" ht="15" hidden="false" customHeight="false" outlineLevel="0" collapsed="false">
      <c r="A1453" s="4" t="s">
        <v>15</v>
      </c>
      <c r="B1453" s="4" t="s">
        <v>1136</v>
      </c>
      <c r="C1453" s="4" t="s">
        <v>1141</v>
      </c>
      <c r="D1453" s="4" t="s">
        <v>102</v>
      </c>
      <c r="E1453" s="4" t="s">
        <v>63</v>
      </c>
      <c r="F1453" s="4" t="s">
        <v>63</v>
      </c>
      <c r="G1453" s="4" t="s">
        <v>1205</v>
      </c>
      <c r="H1453" s="4"/>
      <c r="I1453" s="4" t="n">
        <v>1.0952</v>
      </c>
      <c r="J1453" s="4" t="str">
        <f aca="false">TRIM(E1453) &amp; TRIM(C1453) &amp; TRIM(D1453)</f>
        <v>First ReviewPro Account 3P Lead Gen AnchorSE</v>
      </c>
      <c r="K1453" s="4" t="n">
        <f aca="false">IFERROR(I1453*60,"")</f>
        <v>65.712</v>
      </c>
    </row>
    <row r="1454" customFormat="false" ht="15" hidden="false" customHeight="false" outlineLevel="0" collapsed="false">
      <c r="A1454" s="4" t="s">
        <v>15</v>
      </c>
      <c r="B1454" s="4" t="s">
        <v>1136</v>
      </c>
      <c r="C1454" s="4" t="s">
        <v>1137</v>
      </c>
      <c r="D1454" s="4" t="s">
        <v>136</v>
      </c>
      <c r="E1454" s="4" t="s">
        <v>63</v>
      </c>
      <c r="F1454" s="4" t="s">
        <v>63</v>
      </c>
      <c r="G1454" s="4" t="s">
        <v>1206</v>
      </c>
      <c r="H1454" s="4"/>
      <c r="I1454" s="4" t="n">
        <v>0.8632</v>
      </c>
      <c r="J1454" s="4" t="str">
        <f aca="false">TRIM(E1454) &amp; TRIM(C1454) &amp; TRIM(D1454)</f>
        <v>First ReviewBA Ecomm Community VideoPE</v>
      </c>
      <c r="K1454" s="4" t="n">
        <f aca="false">IFERROR(I1454*60,"")</f>
        <v>51.792</v>
      </c>
    </row>
    <row r="1455" customFormat="false" ht="15" hidden="false" customHeight="false" outlineLevel="0" collapsed="false">
      <c r="A1455" s="4" t="s">
        <v>15</v>
      </c>
      <c r="B1455" s="4" t="s">
        <v>1136</v>
      </c>
      <c r="C1455" s="4" t="s">
        <v>1141</v>
      </c>
      <c r="D1455" s="4" t="s">
        <v>106</v>
      </c>
      <c r="E1455" s="4" t="s">
        <v>63</v>
      </c>
      <c r="F1455" s="4" t="s">
        <v>63</v>
      </c>
      <c r="G1455" s="4" t="s">
        <v>1189</v>
      </c>
      <c r="H1455" s="4"/>
      <c r="I1455" s="4" t="n">
        <v>0.587</v>
      </c>
      <c r="J1455" s="4" t="str">
        <f aca="false">TRIM(E1455) &amp; TRIM(C1455) &amp; TRIM(D1455)</f>
        <v>First ReviewPro Account 3P Lead Gen AnchorMY</v>
      </c>
      <c r="K1455" s="4" t="n">
        <f aca="false">IFERROR(I1455*60,"")</f>
        <v>35.22</v>
      </c>
    </row>
    <row r="1456" customFormat="false" ht="15" hidden="false" customHeight="false" outlineLevel="0" collapsed="false">
      <c r="A1456" s="4" t="s">
        <v>15</v>
      </c>
      <c r="B1456" s="4" t="s">
        <v>1136</v>
      </c>
      <c r="C1456" s="4" t="s">
        <v>1150</v>
      </c>
      <c r="D1456" s="4" t="s">
        <v>121</v>
      </c>
      <c r="E1456" s="4" t="s">
        <v>63</v>
      </c>
      <c r="F1456" s="4" t="s">
        <v>63</v>
      </c>
      <c r="G1456" s="4" t="s">
        <v>1207</v>
      </c>
      <c r="H1456" s="4"/>
      <c r="I1456" s="4" t="n">
        <v>1.5731</v>
      </c>
      <c r="J1456" s="4" t="str">
        <f aca="false">TRIM(E1456) &amp; TRIM(C1456) &amp; TRIM(D1456)</f>
        <v>First ReviewPro Account App Download AnchorKR</v>
      </c>
      <c r="K1456" s="4" t="n">
        <f aca="false">IFERROR(I1456*60,"")</f>
        <v>94.386</v>
      </c>
    </row>
    <row r="1457" customFormat="false" ht="15" hidden="false" customHeight="false" outlineLevel="0" collapsed="false">
      <c r="A1457" s="4" t="s">
        <v>15</v>
      </c>
      <c r="B1457" s="4" t="s">
        <v>1136</v>
      </c>
      <c r="C1457" s="4" t="s">
        <v>1139</v>
      </c>
      <c r="D1457" s="4" t="s">
        <v>235</v>
      </c>
      <c r="E1457" s="4" t="s">
        <v>63</v>
      </c>
      <c r="F1457" s="4" t="s">
        <v>63</v>
      </c>
      <c r="G1457" s="4" t="s">
        <v>1208</v>
      </c>
      <c r="H1457" s="4"/>
      <c r="I1457" s="4" t="n">
        <v>1.4279</v>
      </c>
      <c r="J1457" s="4" t="str">
        <f aca="false">TRIM(E1457) &amp; TRIM(C1457) &amp; TRIM(D1457)</f>
        <v>First ReviewPro Account ROI2 VideoJP</v>
      </c>
      <c r="K1457" s="4" t="n">
        <f aca="false">IFERROR(I1457*60,"")</f>
        <v>85.674</v>
      </c>
    </row>
    <row r="1458" customFormat="false" ht="15" hidden="false" customHeight="false" outlineLevel="0" collapsed="false">
      <c r="A1458" s="4" t="s">
        <v>15</v>
      </c>
      <c r="B1458" s="4" t="s">
        <v>1136</v>
      </c>
      <c r="C1458" s="4" t="s">
        <v>1141</v>
      </c>
      <c r="D1458" s="4" t="s">
        <v>235</v>
      </c>
      <c r="E1458" s="4" t="s">
        <v>63</v>
      </c>
      <c r="F1458" s="4" t="s">
        <v>63</v>
      </c>
      <c r="G1458" s="4" t="s">
        <v>1209</v>
      </c>
      <c r="H1458" s="4"/>
      <c r="I1458" s="4" t="n">
        <v>0.9904</v>
      </c>
      <c r="J1458" s="4" t="str">
        <f aca="false">TRIM(E1458) &amp; TRIM(C1458) &amp; TRIM(D1458)</f>
        <v>First ReviewPro Account 3P Lead Gen AnchorJP</v>
      </c>
      <c r="K1458" s="4" t="n">
        <f aca="false">IFERROR(I1458*60,"")</f>
        <v>59.424</v>
      </c>
    </row>
    <row r="1459" customFormat="false" ht="15" hidden="false" customHeight="false" outlineLevel="0" collapsed="false">
      <c r="A1459" s="4" t="s">
        <v>15</v>
      </c>
      <c r="B1459" s="4" t="s">
        <v>1136</v>
      </c>
      <c r="C1459" s="4" t="s">
        <v>1139</v>
      </c>
      <c r="D1459" s="4" t="s">
        <v>306</v>
      </c>
      <c r="E1459" s="4" t="s">
        <v>63</v>
      </c>
      <c r="F1459" s="4" t="s">
        <v>63</v>
      </c>
      <c r="G1459" s="4" t="s">
        <v>1210</v>
      </c>
      <c r="H1459" s="4"/>
      <c r="I1459" s="4" t="n">
        <v>1.1914</v>
      </c>
      <c r="J1459" s="4" t="str">
        <f aca="false">TRIM(E1459) &amp; TRIM(C1459) &amp; TRIM(D1459)</f>
        <v>First ReviewPro Account ROI2 VideoTH</v>
      </c>
      <c r="K1459" s="4" t="n">
        <f aca="false">IFERROR(I1459*60,"")</f>
        <v>71.484</v>
      </c>
    </row>
    <row r="1460" customFormat="false" ht="15" hidden="false" customHeight="false" outlineLevel="0" collapsed="false">
      <c r="A1460" s="4" t="s">
        <v>15</v>
      </c>
      <c r="B1460" s="4" t="s">
        <v>1136</v>
      </c>
      <c r="C1460" s="4" t="s">
        <v>1148</v>
      </c>
      <c r="D1460" s="4" t="s">
        <v>100</v>
      </c>
      <c r="E1460" s="4" t="s">
        <v>63</v>
      </c>
      <c r="F1460" s="4" t="s">
        <v>63</v>
      </c>
      <c r="G1460" s="4" t="s">
        <v>1211</v>
      </c>
      <c r="H1460" s="4"/>
      <c r="I1460" s="4" t="n">
        <v>1.0623</v>
      </c>
      <c r="J1460" s="4" t="str">
        <f aca="false">TRIM(E1460) &amp; TRIM(C1460) &amp; TRIM(D1460)</f>
        <v>First ReviewPro Account ProductAU</v>
      </c>
      <c r="K1460" s="4" t="n">
        <f aca="false">IFERROR(I1460*60,"")</f>
        <v>63.738</v>
      </c>
    </row>
    <row r="1461" customFormat="false" ht="15" hidden="false" customHeight="false" outlineLevel="0" collapsed="false">
      <c r="A1461" s="4" t="s">
        <v>15</v>
      </c>
      <c r="B1461" s="4" t="s">
        <v>1136</v>
      </c>
      <c r="C1461" s="4" t="s">
        <v>1141</v>
      </c>
      <c r="D1461" s="4" t="s">
        <v>100</v>
      </c>
      <c r="E1461" s="4" t="s">
        <v>63</v>
      </c>
      <c r="F1461" s="4" t="s">
        <v>63</v>
      </c>
      <c r="G1461" s="4" t="s">
        <v>1212</v>
      </c>
      <c r="H1461" s="4"/>
      <c r="I1461" s="4" t="n">
        <v>0.6661</v>
      </c>
      <c r="J1461" s="4" t="str">
        <f aca="false">TRIM(E1461) &amp; TRIM(C1461) &amp; TRIM(D1461)</f>
        <v>First ReviewPro Account 3P Lead Gen AnchorAU</v>
      </c>
      <c r="K1461" s="4" t="n">
        <f aca="false">IFERROR(I1461*60,"")</f>
        <v>39.966</v>
      </c>
    </row>
    <row r="1462" customFormat="false" ht="15" hidden="false" customHeight="false" outlineLevel="0" collapsed="false">
      <c r="A1462" s="4" t="s">
        <v>15</v>
      </c>
      <c r="B1462" s="4" t="s">
        <v>1136</v>
      </c>
      <c r="C1462" s="4" t="s">
        <v>1141</v>
      </c>
      <c r="D1462" s="4" t="s">
        <v>203</v>
      </c>
      <c r="E1462" s="4" t="s">
        <v>63</v>
      </c>
      <c r="F1462" s="4" t="s">
        <v>63</v>
      </c>
      <c r="G1462" s="4" t="s">
        <v>1213</v>
      </c>
      <c r="H1462" s="4"/>
      <c r="I1462" s="4" t="n">
        <v>0.4228</v>
      </c>
      <c r="J1462" s="4" t="str">
        <f aca="false">TRIM(E1462) &amp; TRIM(C1462) &amp; TRIM(D1462)</f>
        <v>First ReviewPro Account 3P Lead Gen AnchorCA</v>
      </c>
      <c r="K1462" s="4" t="n">
        <f aca="false">IFERROR(I1462*60,"")</f>
        <v>25.368</v>
      </c>
    </row>
    <row r="1463" customFormat="false" ht="15" hidden="false" customHeight="false" outlineLevel="0" collapsed="false">
      <c r="A1463" s="4" t="s">
        <v>15</v>
      </c>
      <c r="B1463" s="4" t="s">
        <v>1136</v>
      </c>
      <c r="C1463" s="4" t="s">
        <v>1150</v>
      </c>
      <c r="D1463" s="4" t="s">
        <v>190</v>
      </c>
      <c r="E1463" s="4" t="s">
        <v>63</v>
      </c>
      <c r="F1463" s="4" t="s">
        <v>63</v>
      </c>
      <c r="G1463" s="4" t="s">
        <v>1214</v>
      </c>
      <c r="H1463" s="4"/>
      <c r="I1463" s="4" t="n">
        <v>0.2766</v>
      </c>
      <c r="J1463" s="4" t="str">
        <f aca="false">TRIM(E1463) &amp; TRIM(C1463) &amp; TRIM(D1463)</f>
        <v>First ReviewPro Account App Download AnchorPH</v>
      </c>
      <c r="K1463" s="4" t="n">
        <f aca="false">IFERROR(I1463*60,"")</f>
        <v>16.596</v>
      </c>
    </row>
    <row r="1464" customFormat="false" ht="15" hidden="false" customHeight="false" outlineLevel="0" collapsed="false">
      <c r="A1464" s="4" t="s">
        <v>15</v>
      </c>
      <c r="B1464" s="4" t="s">
        <v>1136</v>
      </c>
      <c r="C1464" s="4" t="s">
        <v>1141</v>
      </c>
      <c r="D1464" s="4" t="s">
        <v>267</v>
      </c>
      <c r="E1464" s="4" t="s">
        <v>63</v>
      </c>
      <c r="F1464" s="4" t="s">
        <v>63</v>
      </c>
      <c r="G1464" s="4" t="s">
        <v>1215</v>
      </c>
      <c r="H1464" s="4"/>
      <c r="I1464" s="4" t="n">
        <v>0.5431</v>
      </c>
      <c r="J1464" s="4" t="str">
        <f aca="false">TRIM(E1464) &amp; TRIM(C1464) &amp; TRIM(D1464)</f>
        <v>First ReviewPro Account 3P Lead Gen AnchorID</v>
      </c>
      <c r="K1464" s="4" t="n">
        <f aca="false">IFERROR(I1464*60,"")</f>
        <v>32.586</v>
      </c>
    </row>
    <row r="1465" customFormat="false" ht="15" hidden="false" customHeight="false" outlineLevel="0" collapsed="false">
      <c r="A1465" s="4" t="s">
        <v>15</v>
      </c>
      <c r="B1465" s="4" t="s">
        <v>1136</v>
      </c>
      <c r="C1465" s="4" t="s">
        <v>1139</v>
      </c>
      <c r="D1465" s="4" t="s">
        <v>100</v>
      </c>
      <c r="E1465" s="4" t="s">
        <v>63</v>
      </c>
      <c r="F1465" s="4" t="s">
        <v>63</v>
      </c>
      <c r="G1465" s="4" t="s">
        <v>1216</v>
      </c>
      <c r="H1465" s="4"/>
      <c r="I1465" s="4" t="n">
        <v>0.6551</v>
      </c>
      <c r="J1465" s="4" t="str">
        <f aca="false">TRIM(E1465) &amp; TRIM(C1465) &amp; TRIM(D1465)</f>
        <v>First ReviewPro Account ROI2 VideoAU</v>
      </c>
      <c r="K1465" s="4" t="n">
        <f aca="false">IFERROR(I1465*60,"")</f>
        <v>39.306</v>
      </c>
    </row>
    <row r="1466" customFormat="false" ht="15" hidden="false" customHeight="false" outlineLevel="0" collapsed="false">
      <c r="A1466" s="4" t="s">
        <v>15</v>
      </c>
      <c r="B1466" s="4" t="s">
        <v>1136</v>
      </c>
      <c r="C1466" s="4" t="s">
        <v>1150</v>
      </c>
      <c r="D1466" s="4" t="s">
        <v>113</v>
      </c>
      <c r="E1466" s="4" t="s">
        <v>63</v>
      </c>
      <c r="F1466" s="4" t="s">
        <v>63</v>
      </c>
      <c r="G1466" s="4" t="s">
        <v>1217</v>
      </c>
      <c r="H1466" s="4"/>
      <c r="I1466" s="4" t="n">
        <v>0.889</v>
      </c>
      <c r="J1466" s="4" t="str">
        <f aca="false">TRIM(E1466) &amp; TRIM(C1466) &amp; TRIM(D1466)</f>
        <v>First ReviewPro Account App Download AnchorNL</v>
      </c>
      <c r="K1466" s="4" t="n">
        <f aca="false">IFERROR(I1466*60,"")</f>
        <v>53.34</v>
      </c>
    </row>
    <row r="1467" customFormat="false" ht="15" hidden="false" customHeight="false" outlineLevel="0" collapsed="false">
      <c r="A1467" s="4" t="s">
        <v>15</v>
      </c>
      <c r="B1467" s="4" t="s">
        <v>1136</v>
      </c>
      <c r="C1467" s="4" t="s">
        <v>1141</v>
      </c>
      <c r="D1467" s="4" t="s">
        <v>162</v>
      </c>
      <c r="E1467" s="4" t="s">
        <v>63</v>
      </c>
      <c r="F1467" s="4" t="s">
        <v>63</v>
      </c>
      <c r="G1467" s="4" t="s">
        <v>1218</v>
      </c>
      <c r="H1467" s="4"/>
      <c r="I1467" s="4" t="n">
        <v>0.417</v>
      </c>
      <c r="J1467" s="4" t="str">
        <f aca="false">TRIM(E1467) &amp; TRIM(C1467) &amp; TRIM(D1467)</f>
        <v>First ReviewPro Account 3P Lead Gen AnchorJO</v>
      </c>
      <c r="K1467" s="4" t="n">
        <f aca="false">IFERROR(I1467*60,"")</f>
        <v>25.02</v>
      </c>
    </row>
    <row r="1468" customFormat="false" ht="15" hidden="false" customHeight="false" outlineLevel="0" collapsed="false">
      <c r="A1468" s="4" t="s">
        <v>15</v>
      </c>
      <c r="B1468" s="4" t="s">
        <v>1136</v>
      </c>
      <c r="C1468" s="4" t="s">
        <v>1139</v>
      </c>
      <c r="D1468" s="4" t="s">
        <v>208</v>
      </c>
      <c r="E1468" s="4" t="s">
        <v>63</v>
      </c>
      <c r="F1468" s="4" t="s">
        <v>63</v>
      </c>
      <c r="G1468" s="4" t="s">
        <v>1219</v>
      </c>
      <c r="H1468" s="4"/>
      <c r="I1468" s="4" t="n">
        <v>1.3275</v>
      </c>
      <c r="J1468" s="4" t="str">
        <f aca="false">TRIM(E1468) &amp; TRIM(C1468) &amp; TRIM(D1468)</f>
        <v>First ReviewPro Account ROI2 VideoCO</v>
      </c>
      <c r="K1468" s="4" t="n">
        <f aca="false">IFERROR(I1468*60,"")</f>
        <v>79.65</v>
      </c>
    </row>
    <row r="1469" customFormat="false" ht="15" hidden="false" customHeight="false" outlineLevel="0" collapsed="false">
      <c r="A1469" s="4" t="s">
        <v>15</v>
      </c>
      <c r="B1469" s="4" t="s">
        <v>1136</v>
      </c>
      <c r="C1469" s="4" t="s">
        <v>1137</v>
      </c>
      <c r="D1469" s="4" t="s">
        <v>197</v>
      </c>
      <c r="E1469" s="4" t="s">
        <v>63</v>
      </c>
      <c r="F1469" s="4" t="s">
        <v>63</v>
      </c>
      <c r="G1469" s="4" t="s">
        <v>1220</v>
      </c>
      <c r="H1469" s="4"/>
      <c r="I1469" s="4" t="n">
        <v>1.2488</v>
      </c>
      <c r="J1469" s="4" t="str">
        <f aca="false">TRIM(E1469) &amp; TRIM(C1469) &amp; TRIM(D1469)</f>
        <v>First ReviewBA Ecomm Community VideoGR</v>
      </c>
      <c r="K1469" s="4" t="n">
        <f aca="false">IFERROR(I1469*60,"")</f>
        <v>74.928</v>
      </c>
    </row>
    <row r="1470" customFormat="false" ht="15" hidden="false" customHeight="false" outlineLevel="0" collapsed="false">
      <c r="A1470" s="4" t="s">
        <v>15</v>
      </c>
      <c r="B1470" s="4" t="s">
        <v>1136</v>
      </c>
      <c r="C1470" s="4" t="s">
        <v>1139</v>
      </c>
      <c r="D1470" s="4" t="s">
        <v>458</v>
      </c>
      <c r="E1470" s="4" t="s">
        <v>63</v>
      </c>
      <c r="F1470" s="4" t="s">
        <v>63</v>
      </c>
      <c r="G1470" s="4" t="s">
        <v>1221</v>
      </c>
      <c r="H1470" s="4"/>
      <c r="I1470" s="4" t="n">
        <v>1.9525</v>
      </c>
      <c r="J1470" s="4" t="str">
        <f aca="false">TRIM(E1470) &amp; TRIM(C1470) &amp; TRIM(D1470)</f>
        <v>First ReviewPro Account ROI2 VideoTW</v>
      </c>
      <c r="K1470" s="4" t="n">
        <f aca="false">IFERROR(I1470*60,"")</f>
        <v>117.15</v>
      </c>
    </row>
    <row r="1471" customFormat="false" ht="15" hidden="false" customHeight="false" outlineLevel="0" collapsed="false">
      <c r="A1471" s="4" t="s">
        <v>15</v>
      </c>
      <c r="B1471" s="4" t="s">
        <v>1136</v>
      </c>
      <c r="C1471" s="4" t="s">
        <v>1139</v>
      </c>
      <c r="D1471" s="4" t="s">
        <v>95</v>
      </c>
      <c r="E1471" s="4" t="s">
        <v>63</v>
      </c>
      <c r="F1471" s="4" t="s">
        <v>63</v>
      </c>
      <c r="G1471" s="4" t="s">
        <v>1222</v>
      </c>
      <c r="H1471" s="4"/>
      <c r="I1471" s="4" t="n">
        <v>3.0025</v>
      </c>
      <c r="J1471" s="4" t="str">
        <f aca="false">TRIM(E1471) &amp; TRIM(C1471) &amp; TRIM(D1471)</f>
        <v>First ReviewPro Account ROI2 VideoVN</v>
      </c>
      <c r="K1471" s="4" t="n">
        <f aca="false">IFERROR(I1471*60,"")</f>
        <v>180.15</v>
      </c>
    </row>
    <row r="1472" customFormat="false" ht="15" hidden="false" customHeight="false" outlineLevel="0" collapsed="false">
      <c r="A1472" s="4" t="s">
        <v>15</v>
      </c>
      <c r="B1472" s="4" t="s">
        <v>1136</v>
      </c>
      <c r="C1472" s="4" t="s">
        <v>1141</v>
      </c>
      <c r="D1472" s="4" t="s">
        <v>154</v>
      </c>
      <c r="E1472" s="4" t="s">
        <v>63</v>
      </c>
      <c r="F1472" s="4" t="s">
        <v>63</v>
      </c>
      <c r="G1472" s="4" t="s">
        <v>1223</v>
      </c>
      <c r="H1472" s="4"/>
      <c r="I1472" s="4" t="n">
        <v>0.8375</v>
      </c>
      <c r="J1472" s="4" t="str">
        <f aca="false">TRIM(E1472) &amp; TRIM(C1472) &amp; TRIM(D1472)</f>
        <v>First ReviewPro Account 3P Lead Gen AnchorES</v>
      </c>
      <c r="K1472" s="4" t="n">
        <f aca="false">IFERROR(I1472*60,"")</f>
        <v>50.25</v>
      </c>
    </row>
    <row r="1473" customFormat="false" ht="15" hidden="false" customHeight="false" outlineLevel="0" collapsed="false">
      <c r="A1473" s="4" t="s">
        <v>15</v>
      </c>
      <c r="B1473" s="4" t="s">
        <v>1136</v>
      </c>
      <c r="C1473" s="4" t="s">
        <v>1137</v>
      </c>
      <c r="D1473" s="4" t="s">
        <v>208</v>
      </c>
      <c r="E1473" s="4" t="s">
        <v>63</v>
      </c>
      <c r="F1473" s="4" t="s">
        <v>63</v>
      </c>
      <c r="G1473" s="4" t="s">
        <v>1224</v>
      </c>
      <c r="H1473" s="4"/>
      <c r="I1473" s="4" t="n">
        <v>1.5546</v>
      </c>
      <c r="J1473" s="4" t="str">
        <f aca="false">TRIM(E1473) &amp; TRIM(C1473) &amp; TRIM(D1473)</f>
        <v>First ReviewBA Ecomm Community VideoCO</v>
      </c>
      <c r="K1473" s="4" t="n">
        <f aca="false">IFERROR(I1473*60,"")</f>
        <v>93.276</v>
      </c>
    </row>
    <row r="1474" customFormat="false" ht="15" hidden="false" customHeight="false" outlineLevel="0" collapsed="false">
      <c r="A1474" s="4" t="s">
        <v>15</v>
      </c>
      <c r="B1474" s="4" t="s">
        <v>1136</v>
      </c>
      <c r="C1474" s="4" t="s">
        <v>1153</v>
      </c>
      <c r="D1474" s="4" t="s">
        <v>126</v>
      </c>
      <c r="E1474" s="4" t="s">
        <v>63</v>
      </c>
      <c r="F1474" s="4" t="s">
        <v>63</v>
      </c>
      <c r="G1474" s="4" t="s">
        <v>1225</v>
      </c>
      <c r="H1474" s="4"/>
      <c r="I1474" s="4" t="n">
        <v>1.7613</v>
      </c>
      <c r="J1474" s="4" t="str">
        <f aca="false">TRIM(E1474) &amp; TRIM(C1474) &amp; TRIM(D1474)</f>
        <v>First ReviewPro Account Web Conversion AnchorMX</v>
      </c>
      <c r="K1474" s="4" t="n">
        <f aca="false">IFERROR(I1474*60,"")</f>
        <v>105.678</v>
      </c>
    </row>
    <row r="1475" customFormat="false" ht="15" hidden="false" customHeight="false" outlineLevel="0" collapsed="false">
      <c r="A1475" s="4" t="s">
        <v>15</v>
      </c>
      <c r="B1475" s="4" t="s">
        <v>1136</v>
      </c>
      <c r="C1475" s="4" t="s">
        <v>1148</v>
      </c>
      <c r="D1475" s="4" t="s">
        <v>210</v>
      </c>
      <c r="E1475" s="4" t="s">
        <v>63</v>
      </c>
      <c r="F1475" s="4" t="s">
        <v>63</v>
      </c>
      <c r="G1475" s="4" t="s">
        <v>1226</v>
      </c>
      <c r="H1475" s="4"/>
      <c r="I1475" s="4" t="n">
        <v>1.1421</v>
      </c>
      <c r="J1475" s="4" t="str">
        <f aca="false">TRIM(E1475) &amp; TRIM(C1475) &amp; TRIM(D1475)</f>
        <v>First ReviewPro Account ProductPK</v>
      </c>
      <c r="K1475" s="4" t="n">
        <f aca="false">IFERROR(I1475*60,"")</f>
        <v>68.526</v>
      </c>
    </row>
    <row r="1476" customFormat="false" ht="15" hidden="false" customHeight="false" outlineLevel="0" collapsed="false">
      <c r="A1476" s="4" t="s">
        <v>15</v>
      </c>
      <c r="B1476" s="4" t="s">
        <v>1136</v>
      </c>
      <c r="C1476" s="4" t="s">
        <v>1150</v>
      </c>
      <c r="D1476" s="4" t="s">
        <v>70</v>
      </c>
      <c r="E1476" s="4" t="s">
        <v>63</v>
      </c>
      <c r="F1476" s="4" t="s">
        <v>63</v>
      </c>
      <c r="G1476" s="4" t="s">
        <v>1227</v>
      </c>
      <c r="H1476" s="4"/>
      <c r="I1476" s="4" t="n">
        <v>0.5773</v>
      </c>
      <c r="J1476" s="4" t="str">
        <f aca="false">TRIM(E1476) &amp; TRIM(C1476) &amp; TRIM(D1476)</f>
        <v>First ReviewPro Account App Download AnchorBE</v>
      </c>
      <c r="K1476" s="4" t="n">
        <f aca="false">IFERROR(I1476*60,"")</f>
        <v>34.638</v>
      </c>
    </row>
    <row r="1477" customFormat="false" ht="15" hidden="false" customHeight="false" outlineLevel="0" collapsed="false">
      <c r="A1477" s="4" t="s">
        <v>15</v>
      </c>
      <c r="B1477" s="4" t="s">
        <v>1136</v>
      </c>
      <c r="C1477" s="4" t="s">
        <v>1153</v>
      </c>
      <c r="D1477" s="4" t="s">
        <v>150</v>
      </c>
      <c r="E1477" s="4" t="s">
        <v>63</v>
      </c>
      <c r="F1477" s="4" t="s">
        <v>63</v>
      </c>
      <c r="G1477" s="4" t="s">
        <v>1228</v>
      </c>
      <c r="H1477" s="4"/>
      <c r="I1477" s="4" t="n">
        <v>1.8839</v>
      </c>
      <c r="J1477" s="4" t="str">
        <f aca="false">TRIM(E1477) &amp; TRIM(C1477) &amp; TRIM(D1477)</f>
        <v>First ReviewPro Account Web Conversion AnchorDE</v>
      </c>
      <c r="K1477" s="4" t="n">
        <f aca="false">IFERROR(I1477*60,"")</f>
        <v>113.034</v>
      </c>
    </row>
    <row r="1478" customFormat="false" ht="15" hidden="false" customHeight="false" outlineLevel="0" collapsed="false">
      <c r="A1478" s="4" t="s">
        <v>15</v>
      </c>
      <c r="B1478" s="4" t="s">
        <v>1136</v>
      </c>
      <c r="C1478" s="4" t="s">
        <v>1141</v>
      </c>
      <c r="D1478" s="4" t="s">
        <v>255</v>
      </c>
      <c r="E1478" s="4" t="s">
        <v>63</v>
      </c>
      <c r="F1478" s="4" t="s">
        <v>63</v>
      </c>
      <c r="G1478" s="4" t="s">
        <v>1229</v>
      </c>
      <c r="H1478" s="4"/>
      <c r="I1478" s="4" t="n">
        <v>0.6933</v>
      </c>
      <c r="J1478" s="4" t="str">
        <f aca="false">TRIM(E1478) &amp; TRIM(C1478) &amp; TRIM(D1478)</f>
        <v>First ReviewPro Account 3P Lead Gen AnchorNZ</v>
      </c>
      <c r="K1478" s="4" t="n">
        <f aca="false">IFERROR(I1478*60,"")</f>
        <v>41.598</v>
      </c>
    </row>
    <row r="1479" customFormat="false" ht="15" hidden="false" customHeight="false" outlineLevel="0" collapsed="false">
      <c r="A1479" s="4" t="s">
        <v>15</v>
      </c>
      <c r="B1479" s="4" t="s">
        <v>1136</v>
      </c>
      <c r="C1479" s="4" t="s">
        <v>1141</v>
      </c>
      <c r="D1479" s="4" t="s">
        <v>121</v>
      </c>
      <c r="E1479" s="4" t="s">
        <v>63</v>
      </c>
      <c r="F1479" s="4" t="s">
        <v>63</v>
      </c>
      <c r="G1479" s="4" t="s">
        <v>1230</v>
      </c>
      <c r="H1479" s="4"/>
      <c r="I1479" s="4" t="n">
        <v>1.6676</v>
      </c>
      <c r="J1479" s="4" t="str">
        <f aca="false">TRIM(E1479) &amp; TRIM(C1479) &amp; TRIM(D1479)</f>
        <v>First ReviewPro Account 3P Lead Gen AnchorKR</v>
      </c>
      <c r="K1479" s="4" t="n">
        <f aca="false">IFERROR(I1479*60,"")</f>
        <v>100.056</v>
      </c>
    </row>
    <row r="1480" customFormat="false" ht="15" hidden="false" customHeight="false" outlineLevel="0" collapsed="false">
      <c r="A1480" s="4" t="s">
        <v>15</v>
      </c>
      <c r="B1480" s="4" t="s">
        <v>1136</v>
      </c>
      <c r="C1480" s="4" t="s">
        <v>1148</v>
      </c>
      <c r="D1480" s="4" t="s">
        <v>113</v>
      </c>
      <c r="E1480" s="4" t="s">
        <v>63</v>
      </c>
      <c r="F1480" s="4" t="s">
        <v>63</v>
      </c>
      <c r="G1480" s="4" t="s">
        <v>1231</v>
      </c>
      <c r="H1480" s="4"/>
      <c r="I1480" s="4" t="n">
        <v>1.2778</v>
      </c>
      <c r="J1480" s="4" t="str">
        <f aca="false">TRIM(E1480) &amp; TRIM(C1480) &amp; TRIM(D1480)</f>
        <v>First ReviewPro Account ProductNL</v>
      </c>
      <c r="K1480" s="4" t="n">
        <f aca="false">IFERROR(I1480*60,"")</f>
        <v>76.668</v>
      </c>
    </row>
    <row r="1481" customFormat="false" ht="15" hidden="false" customHeight="false" outlineLevel="0" collapsed="false">
      <c r="A1481" s="4" t="s">
        <v>15</v>
      </c>
      <c r="B1481" s="4" t="s">
        <v>1136</v>
      </c>
      <c r="C1481" s="4" t="s">
        <v>1153</v>
      </c>
      <c r="D1481" s="4" t="s">
        <v>458</v>
      </c>
      <c r="E1481" s="4" t="s">
        <v>63</v>
      </c>
      <c r="F1481" s="4" t="s">
        <v>63</v>
      </c>
      <c r="G1481" s="4" t="s">
        <v>1232</v>
      </c>
      <c r="H1481" s="4"/>
      <c r="I1481" s="4" t="n">
        <v>2.778</v>
      </c>
      <c r="J1481" s="4" t="str">
        <f aca="false">TRIM(E1481) &amp; TRIM(C1481) &amp; TRIM(D1481)</f>
        <v>First ReviewPro Account Web Conversion AnchorTW</v>
      </c>
      <c r="K1481" s="4" t="n">
        <f aca="false">IFERROR(I1481*60,"")</f>
        <v>166.68</v>
      </c>
    </row>
    <row r="1482" customFormat="false" ht="15" hidden="false" customHeight="false" outlineLevel="0" collapsed="false">
      <c r="A1482" s="4" t="s">
        <v>15</v>
      </c>
      <c r="B1482" s="4" t="s">
        <v>1136</v>
      </c>
      <c r="C1482" s="4" t="s">
        <v>1137</v>
      </c>
      <c r="D1482" s="4" t="s">
        <v>284</v>
      </c>
      <c r="E1482" s="4" t="s">
        <v>66</v>
      </c>
      <c r="F1482" s="4" t="s">
        <v>67</v>
      </c>
      <c r="G1482" s="4" t="s">
        <v>1233</v>
      </c>
      <c r="H1482" s="4"/>
      <c r="I1482" s="4" t="n">
        <v>1.4661</v>
      </c>
      <c r="J1482" s="4" t="str">
        <f aca="false">TRIM(E1482) &amp; TRIM(C1482) &amp; TRIM(D1482)</f>
        <v>Posted RecallBA Ecomm Community VideoTR</v>
      </c>
      <c r="K1482" s="4" t="n">
        <f aca="false">IFERROR(I1482*60,"")</f>
        <v>87.966</v>
      </c>
    </row>
    <row r="1483" customFormat="false" ht="15" hidden="false" customHeight="false" outlineLevel="0" collapsed="false">
      <c r="A1483" s="4" t="s">
        <v>15</v>
      </c>
      <c r="B1483" s="4" t="s">
        <v>1136</v>
      </c>
      <c r="C1483" s="4" t="s">
        <v>1153</v>
      </c>
      <c r="D1483" s="4" t="s">
        <v>111</v>
      </c>
      <c r="E1483" s="4" t="s">
        <v>63</v>
      </c>
      <c r="F1483" s="4" t="s">
        <v>63</v>
      </c>
      <c r="G1483" s="4" t="s">
        <v>1234</v>
      </c>
      <c r="H1483" s="4"/>
      <c r="I1483" s="4" t="n">
        <v>1.4606</v>
      </c>
      <c r="J1483" s="4" t="str">
        <f aca="false">TRIM(E1483) &amp; TRIM(C1483) &amp; TRIM(D1483)</f>
        <v>First ReviewPro Account Web Conversion AnchorUS</v>
      </c>
      <c r="K1483" s="4" t="n">
        <f aca="false">IFERROR(I1483*60,"")</f>
        <v>87.636</v>
      </c>
    </row>
    <row r="1484" customFormat="false" ht="15" hidden="false" customHeight="false" outlineLevel="0" collapsed="false">
      <c r="A1484" s="4" t="s">
        <v>15</v>
      </c>
      <c r="B1484" s="4" t="s">
        <v>1136</v>
      </c>
      <c r="C1484" s="4" t="s">
        <v>1137</v>
      </c>
      <c r="D1484" s="4" t="s">
        <v>126</v>
      </c>
      <c r="E1484" s="4" t="s">
        <v>63</v>
      </c>
      <c r="F1484" s="4" t="s">
        <v>63</v>
      </c>
      <c r="G1484" s="4" t="s">
        <v>1235</v>
      </c>
      <c r="H1484" s="4"/>
      <c r="I1484" s="4" t="n">
        <v>1.3962</v>
      </c>
      <c r="J1484" s="4" t="str">
        <f aca="false">TRIM(E1484) &amp; TRIM(C1484) &amp; TRIM(D1484)</f>
        <v>First ReviewBA Ecomm Community VideoMX</v>
      </c>
      <c r="K1484" s="4" t="n">
        <f aca="false">IFERROR(I1484*60,"")</f>
        <v>83.772</v>
      </c>
    </row>
    <row r="1485" customFormat="false" ht="15" hidden="false" customHeight="false" outlineLevel="0" collapsed="false">
      <c r="A1485" s="4" t="s">
        <v>15</v>
      </c>
      <c r="B1485" s="4" t="s">
        <v>1136</v>
      </c>
      <c r="C1485" s="4" t="s">
        <v>1141</v>
      </c>
      <c r="D1485" s="4" t="s">
        <v>231</v>
      </c>
      <c r="E1485" s="4" t="s">
        <v>63</v>
      </c>
      <c r="F1485" s="4" t="s">
        <v>63</v>
      </c>
      <c r="G1485" s="4" t="s">
        <v>1236</v>
      </c>
      <c r="H1485" s="4"/>
      <c r="I1485" s="4" t="n">
        <v>1.3602</v>
      </c>
      <c r="J1485" s="4" t="str">
        <f aca="false">TRIM(E1485) &amp; TRIM(C1485) &amp; TRIM(D1485)</f>
        <v>First ReviewPro Account 3P Lead Gen AnchorIL</v>
      </c>
      <c r="K1485" s="4" t="n">
        <f aca="false">IFERROR(I1485*60,"")</f>
        <v>81.612</v>
      </c>
    </row>
    <row r="1486" customFormat="false" ht="15" hidden="false" customHeight="false" outlineLevel="0" collapsed="false">
      <c r="A1486" s="4" t="s">
        <v>15</v>
      </c>
      <c r="B1486" s="4" t="s">
        <v>1136</v>
      </c>
      <c r="C1486" s="4" t="s">
        <v>1148</v>
      </c>
      <c r="D1486" s="4" t="s">
        <v>255</v>
      </c>
      <c r="E1486" s="4" t="s">
        <v>63</v>
      </c>
      <c r="F1486" s="4" t="s">
        <v>63</v>
      </c>
      <c r="G1486" s="4" t="s">
        <v>1237</v>
      </c>
      <c r="H1486" s="4"/>
      <c r="I1486" s="4" t="n">
        <v>0.9778</v>
      </c>
      <c r="J1486" s="4" t="str">
        <f aca="false">TRIM(E1486) &amp; TRIM(C1486) &amp; TRIM(D1486)</f>
        <v>First ReviewPro Account ProductNZ</v>
      </c>
      <c r="K1486" s="4" t="n">
        <f aca="false">IFERROR(I1486*60,"")</f>
        <v>58.668</v>
      </c>
    </row>
    <row r="1487" customFormat="false" ht="15" hidden="false" customHeight="false" outlineLevel="0" collapsed="false">
      <c r="A1487" s="4" t="s">
        <v>15</v>
      </c>
      <c r="B1487" s="4" t="s">
        <v>1136</v>
      </c>
      <c r="C1487" s="4" t="s">
        <v>1148</v>
      </c>
      <c r="D1487" s="4" t="s">
        <v>89</v>
      </c>
      <c r="E1487" s="4" t="s">
        <v>63</v>
      </c>
      <c r="F1487" s="4" t="s">
        <v>63</v>
      </c>
      <c r="G1487" s="4" t="s">
        <v>1238</v>
      </c>
      <c r="H1487" s="4"/>
      <c r="I1487" s="4" t="n">
        <v>2.2258</v>
      </c>
      <c r="J1487" s="4" t="str">
        <f aca="false">TRIM(E1487) &amp; TRIM(C1487) &amp; TRIM(D1487)</f>
        <v>First ReviewPro Account ProductFI</v>
      </c>
      <c r="K1487" s="4" t="n">
        <f aca="false">IFERROR(I1487*60,"")</f>
        <v>133.548</v>
      </c>
    </row>
    <row r="1488" customFormat="false" ht="15" hidden="false" customHeight="false" outlineLevel="0" collapsed="false">
      <c r="A1488" s="4" t="s">
        <v>15</v>
      </c>
      <c r="B1488" s="4" t="s">
        <v>1136</v>
      </c>
      <c r="C1488" s="4" t="s">
        <v>1141</v>
      </c>
      <c r="D1488" s="4" t="s">
        <v>58</v>
      </c>
      <c r="E1488" s="4" t="s">
        <v>63</v>
      </c>
      <c r="F1488" s="4" t="s">
        <v>63</v>
      </c>
      <c r="G1488" s="4" t="s">
        <v>1239</v>
      </c>
      <c r="H1488" s="4"/>
      <c r="I1488" s="4" t="n">
        <v>0.7153</v>
      </c>
      <c r="J1488" s="4" t="str">
        <f aca="false">TRIM(E1488) &amp; TRIM(C1488) &amp; TRIM(D1488)</f>
        <v>First ReviewPro Account 3P Lead Gen AnchorSG</v>
      </c>
      <c r="K1488" s="4" t="n">
        <f aca="false">IFERROR(I1488*60,"")</f>
        <v>42.918</v>
      </c>
    </row>
    <row r="1489" customFormat="false" ht="15" hidden="false" customHeight="false" outlineLevel="0" collapsed="false">
      <c r="A1489" s="4" t="s">
        <v>15</v>
      </c>
      <c r="B1489" s="4" t="s">
        <v>1136</v>
      </c>
      <c r="C1489" s="4" t="s">
        <v>1141</v>
      </c>
      <c r="D1489" s="4" t="s">
        <v>306</v>
      </c>
      <c r="E1489" s="4" t="s">
        <v>63</v>
      </c>
      <c r="F1489" s="4" t="s">
        <v>63</v>
      </c>
      <c r="G1489" s="4" t="s">
        <v>1192</v>
      </c>
      <c r="H1489" s="4"/>
      <c r="I1489" s="4" t="n">
        <v>0.2644</v>
      </c>
      <c r="J1489" s="4" t="str">
        <f aca="false">TRIM(E1489) &amp; TRIM(C1489) &amp; TRIM(D1489)</f>
        <v>First ReviewPro Account 3P Lead Gen AnchorTH</v>
      </c>
      <c r="K1489" s="4" t="n">
        <f aca="false">IFERROR(I1489*60,"")</f>
        <v>15.864</v>
      </c>
    </row>
    <row r="1490" customFormat="false" ht="15" hidden="false" customHeight="false" outlineLevel="0" collapsed="false">
      <c r="A1490" s="4" t="s">
        <v>15</v>
      </c>
      <c r="B1490" s="4" t="s">
        <v>1136</v>
      </c>
      <c r="C1490" s="4" t="s">
        <v>1141</v>
      </c>
      <c r="D1490" s="4" t="s">
        <v>157</v>
      </c>
      <c r="E1490" s="4" t="s">
        <v>63</v>
      </c>
      <c r="F1490" s="4" t="s">
        <v>63</v>
      </c>
      <c r="G1490" s="4" t="s">
        <v>1240</v>
      </c>
      <c r="H1490" s="4"/>
      <c r="I1490" s="4" t="n">
        <v>0.4849</v>
      </c>
      <c r="J1490" s="4" t="str">
        <f aca="false">TRIM(E1490) &amp; TRIM(C1490) &amp; TRIM(D1490)</f>
        <v>First ReviewPro Account 3P Lead Gen AnchorSA</v>
      </c>
      <c r="K1490" s="4" t="n">
        <f aca="false">IFERROR(I1490*60,"")</f>
        <v>29.094</v>
      </c>
    </row>
    <row r="1491" customFormat="false" ht="15" hidden="false" customHeight="false" outlineLevel="0" collapsed="false">
      <c r="A1491" s="4" t="s">
        <v>15</v>
      </c>
      <c r="B1491" s="4" t="s">
        <v>1136</v>
      </c>
      <c r="C1491" s="4" t="s">
        <v>1150</v>
      </c>
      <c r="D1491" s="4" t="s">
        <v>267</v>
      </c>
      <c r="E1491" s="4" t="s">
        <v>63</v>
      </c>
      <c r="F1491" s="4" t="s">
        <v>63</v>
      </c>
      <c r="G1491" s="4" t="s">
        <v>1241</v>
      </c>
      <c r="H1491" s="4"/>
      <c r="I1491" s="4" t="n">
        <v>0.5363</v>
      </c>
      <c r="J1491" s="4" t="str">
        <f aca="false">TRIM(E1491) &amp; TRIM(C1491) &amp; TRIM(D1491)</f>
        <v>First ReviewPro Account App Download AnchorID</v>
      </c>
      <c r="K1491" s="4" t="n">
        <f aca="false">IFERROR(I1491*60,"")</f>
        <v>32.178</v>
      </c>
    </row>
    <row r="1492" customFormat="false" ht="15" hidden="false" customHeight="false" outlineLevel="0" collapsed="false">
      <c r="A1492" s="4" t="s">
        <v>15</v>
      </c>
      <c r="B1492" s="4" t="s">
        <v>1136</v>
      </c>
      <c r="C1492" s="4" t="s">
        <v>1148</v>
      </c>
      <c r="D1492" s="4" t="s">
        <v>203</v>
      </c>
      <c r="E1492" s="4" t="s">
        <v>63</v>
      </c>
      <c r="F1492" s="4" t="s">
        <v>63</v>
      </c>
      <c r="G1492" s="4" t="s">
        <v>1242</v>
      </c>
      <c r="H1492" s="4"/>
      <c r="I1492" s="4" t="n">
        <v>1.9401</v>
      </c>
      <c r="J1492" s="4" t="str">
        <f aca="false">TRIM(E1492) &amp; TRIM(C1492) &amp; TRIM(D1492)</f>
        <v>First ReviewPro Account ProductCA</v>
      </c>
      <c r="K1492" s="4" t="n">
        <f aca="false">IFERROR(I1492*60,"")</f>
        <v>116.406</v>
      </c>
    </row>
    <row r="1493" customFormat="false" ht="15" hidden="false" customHeight="false" outlineLevel="0" collapsed="false">
      <c r="A1493" s="4" t="s">
        <v>15</v>
      </c>
      <c r="B1493" s="4" t="s">
        <v>1136</v>
      </c>
      <c r="C1493" s="4" t="s">
        <v>1141</v>
      </c>
      <c r="D1493" s="4" t="s">
        <v>213</v>
      </c>
      <c r="E1493" s="4" t="s">
        <v>63</v>
      </c>
      <c r="F1493" s="4" t="s">
        <v>63</v>
      </c>
      <c r="G1493" s="4" t="s">
        <v>1243</v>
      </c>
      <c r="H1493" s="4"/>
      <c r="I1493" s="4" t="n">
        <v>0.4814</v>
      </c>
      <c r="J1493" s="4" t="str">
        <f aca="false">TRIM(E1493) &amp; TRIM(C1493) &amp; TRIM(D1493)</f>
        <v>First ReviewPro Account 3P Lead Gen AnchorFR</v>
      </c>
      <c r="K1493" s="4" t="n">
        <f aca="false">IFERROR(I1493*60,"")</f>
        <v>28.884</v>
      </c>
    </row>
    <row r="1494" customFormat="false" ht="15" hidden="false" customHeight="false" outlineLevel="0" collapsed="false">
      <c r="A1494" s="4" t="s">
        <v>15</v>
      </c>
      <c r="B1494" s="4" t="s">
        <v>1136</v>
      </c>
      <c r="C1494" s="4" t="s">
        <v>1153</v>
      </c>
      <c r="D1494" s="4" t="s">
        <v>267</v>
      </c>
      <c r="E1494" s="4" t="s">
        <v>63</v>
      </c>
      <c r="F1494" s="4" t="s">
        <v>63</v>
      </c>
      <c r="G1494" s="4" t="s">
        <v>1244</v>
      </c>
      <c r="H1494" s="4"/>
      <c r="I1494" s="4" t="n">
        <v>0.7612</v>
      </c>
      <c r="J1494" s="4" t="str">
        <f aca="false">TRIM(E1494) &amp; TRIM(C1494) &amp; TRIM(D1494)</f>
        <v>First ReviewPro Account Web Conversion AnchorID</v>
      </c>
      <c r="K1494" s="4" t="n">
        <f aca="false">IFERROR(I1494*60,"")</f>
        <v>45.672</v>
      </c>
    </row>
    <row r="1495" customFormat="false" ht="15" hidden="false" customHeight="false" outlineLevel="0" collapsed="false">
      <c r="A1495" s="4" t="s">
        <v>15</v>
      </c>
      <c r="B1495" s="4" t="s">
        <v>1136</v>
      </c>
      <c r="C1495" s="4" t="s">
        <v>1139</v>
      </c>
      <c r="D1495" s="4" t="s">
        <v>157</v>
      </c>
      <c r="E1495" s="4" t="s">
        <v>63</v>
      </c>
      <c r="F1495" s="4" t="s">
        <v>63</v>
      </c>
      <c r="G1495" s="4" t="s">
        <v>1245</v>
      </c>
      <c r="H1495" s="4"/>
      <c r="I1495" s="4" t="n">
        <v>0.5704</v>
      </c>
      <c r="J1495" s="4" t="str">
        <f aca="false">TRIM(E1495) &amp; TRIM(C1495) &amp; TRIM(D1495)</f>
        <v>First ReviewPro Account ROI2 VideoSA</v>
      </c>
      <c r="K1495" s="4" t="n">
        <f aca="false">IFERROR(I1495*60,"")</f>
        <v>34.224</v>
      </c>
    </row>
    <row r="1496" customFormat="false" ht="15" hidden="false" customHeight="false" outlineLevel="0" collapsed="false">
      <c r="A1496" s="4" t="s">
        <v>15</v>
      </c>
      <c r="B1496" s="4" t="s">
        <v>1136</v>
      </c>
      <c r="C1496" s="4" t="s">
        <v>1141</v>
      </c>
      <c r="D1496" s="4" t="s">
        <v>208</v>
      </c>
      <c r="E1496" s="4" t="s">
        <v>63</v>
      </c>
      <c r="F1496" s="4" t="s">
        <v>63</v>
      </c>
      <c r="G1496" s="4" t="s">
        <v>1246</v>
      </c>
      <c r="H1496" s="4"/>
      <c r="I1496" s="4" t="n">
        <v>0.3613</v>
      </c>
      <c r="J1496" s="4" t="str">
        <f aca="false">TRIM(E1496) &amp; TRIM(C1496) &amp; TRIM(D1496)</f>
        <v>First ReviewPro Account 3P Lead Gen AnchorCO</v>
      </c>
      <c r="K1496" s="4" t="n">
        <f aca="false">IFERROR(I1496*60,"")</f>
        <v>21.678</v>
      </c>
    </row>
    <row r="1497" customFormat="false" ht="15" hidden="false" customHeight="false" outlineLevel="0" collapsed="false">
      <c r="A1497" s="4" t="s">
        <v>15</v>
      </c>
      <c r="B1497" s="4" t="s">
        <v>1136</v>
      </c>
      <c r="C1497" s="4" t="s">
        <v>1148</v>
      </c>
      <c r="D1497" s="4" t="s">
        <v>87</v>
      </c>
      <c r="E1497" s="4" t="s">
        <v>63</v>
      </c>
      <c r="F1497" s="4" t="s">
        <v>63</v>
      </c>
      <c r="G1497" s="4" t="s">
        <v>1247</v>
      </c>
      <c r="H1497" s="4"/>
      <c r="I1497" s="4" t="n">
        <v>1.0959</v>
      </c>
      <c r="J1497" s="4" t="str">
        <f aca="false">TRIM(E1497) &amp; TRIM(C1497) &amp; TRIM(D1497)</f>
        <v>First ReviewPro Account ProductAE</v>
      </c>
      <c r="K1497" s="4" t="n">
        <f aca="false">IFERROR(I1497*60,"")</f>
        <v>65.754</v>
      </c>
    </row>
    <row r="1498" customFormat="false" ht="15" hidden="false" customHeight="false" outlineLevel="0" collapsed="false">
      <c r="A1498" s="4" t="s">
        <v>15</v>
      </c>
      <c r="B1498" s="4" t="s">
        <v>1136</v>
      </c>
      <c r="C1498" s="4" t="s">
        <v>1137</v>
      </c>
      <c r="D1498" s="4" t="s">
        <v>231</v>
      </c>
      <c r="E1498" s="4" t="s">
        <v>63</v>
      </c>
      <c r="F1498" s="4" t="s">
        <v>63</v>
      </c>
      <c r="G1498" s="4" t="s">
        <v>1191</v>
      </c>
      <c r="H1498" s="4"/>
      <c r="I1498" s="4" t="n">
        <v>0.6266</v>
      </c>
      <c r="J1498" s="4" t="str">
        <f aca="false">TRIM(E1498) &amp; TRIM(C1498) &amp; TRIM(D1498)</f>
        <v>First ReviewBA Ecomm Community VideoIL</v>
      </c>
      <c r="K1498" s="4" t="n">
        <f aca="false">IFERROR(I1498*60,"")</f>
        <v>37.596</v>
      </c>
    </row>
    <row r="1499" customFormat="false" ht="15" hidden="false" customHeight="false" outlineLevel="0" collapsed="false">
      <c r="A1499" s="4" t="s">
        <v>15</v>
      </c>
      <c r="B1499" s="4" t="s">
        <v>1136</v>
      </c>
      <c r="C1499" s="4" t="s">
        <v>1148</v>
      </c>
      <c r="D1499" s="4" t="s">
        <v>195</v>
      </c>
      <c r="E1499" s="4" t="s">
        <v>63</v>
      </c>
      <c r="F1499" s="4" t="s">
        <v>63</v>
      </c>
      <c r="G1499" s="4" t="s">
        <v>1248</v>
      </c>
      <c r="H1499" s="4"/>
      <c r="I1499" s="4" t="n">
        <v>1.6008</v>
      </c>
      <c r="J1499" s="4" t="str">
        <f aca="false">TRIM(E1499) &amp; TRIM(C1499) &amp; TRIM(D1499)</f>
        <v>First ReviewPro Account ProductIT</v>
      </c>
      <c r="K1499" s="4" t="n">
        <f aca="false">IFERROR(I1499*60,"")</f>
        <v>96.048</v>
      </c>
    </row>
    <row r="1500" customFormat="false" ht="15" hidden="false" customHeight="false" outlineLevel="0" collapsed="false">
      <c r="A1500" s="4" t="s">
        <v>15</v>
      </c>
      <c r="B1500" s="4" t="s">
        <v>1136</v>
      </c>
      <c r="C1500" s="4" t="s">
        <v>1141</v>
      </c>
      <c r="D1500" s="4" t="s">
        <v>70</v>
      </c>
      <c r="E1500" s="4" t="s">
        <v>63</v>
      </c>
      <c r="F1500" s="4" t="s">
        <v>63</v>
      </c>
      <c r="G1500" s="4" t="s">
        <v>1249</v>
      </c>
      <c r="H1500" s="4"/>
      <c r="I1500" s="4" t="n">
        <v>0.6047</v>
      </c>
      <c r="J1500" s="4" t="str">
        <f aca="false">TRIM(E1500) &amp; TRIM(C1500) &amp; TRIM(D1500)</f>
        <v>First ReviewPro Account 3P Lead Gen AnchorBE</v>
      </c>
      <c r="K1500" s="4" t="n">
        <f aca="false">IFERROR(I1500*60,"")</f>
        <v>36.282</v>
      </c>
    </row>
    <row r="1501" customFormat="false" ht="15" hidden="false" customHeight="false" outlineLevel="0" collapsed="false">
      <c r="A1501" s="4" t="s">
        <v>15</v>
      </c>
      <c r="B1501" s="4" t="s">
        <v>1136</v>
      </c>
      <c r="C1501" s="4" t="s">
        <v>1137</v>
      </c>
      <c r="D1501" s="4" t="s">
        <v>284</v>
      </c>
      <c r="E1501" s="4" t="s">
        <v>63</v>
      </c>
      <c r="F1501" s="4" t="s">
        <v>63</v>
      </c>
      <c r="G1501" s="4" t="s">
        <v>1233</v>
      </c>
      <c r="H1501" s="4"/>
      <c r="I1501" s="4" t="n">
        <v>0.919</v>
      </c>
      <c r="J1501" s="4" t="str">
        <f aca="false">TRIM(E1501) &amp; TRIM(C1501) &amp; TRIM(D1501)</f>
        <v>First ReviewBA Ecomm Community VideoTR</v>
      </c>
      <c r="K1501" s="4" t="n">
        <f aca="false">IFERROR(I1501*60,"")</f>
        <v>55.14</v>
      </c>
    </row>
    <row r="1502" customFormat="false" ht="15" hidden="false" customHeight="false" outlineLevel="0" collapsed="false">
      <c r="A1502" s="4" t="s">
        <v>15</v>
      </c>
      <c r="B1502" s="4" t="s">
        <v>1136</v>
      </c>
      <c r="C1502" s="4" t="s">
        <v>1150</v>
      </c>
      <c r="D1502" s="4" t="s">
        <v>203</v>
      </c>
      <c r="E1502" s="4" t="s">
        <v>63</v>
      </c>
      <c r="F1502" s="4" t="s">
        <v>63</v>
      </c>
      <c r="G1502" s="4" t="s">
        <v>1250</v>
      </c>
      <c r="H1502" s="4"/>
      <c r="I1502" s="4" t="n">
        <v>0.775</v>
      </c>
      <c r="J1502" s="4" t="str">
        <f aca="false">TRIM(E1502) &amp; TRIM(C1502) &amp; TRIM(D1502)</f>
        <v>First ReviewPro Account App Download AnchorCA</v>
      </c>
      <c r="K1502" s="4" t="n">
        <f aca="false">IFERROR(I1502*60,"")</f>
        <v>46.5</v>
      </c>
    </row>
    <row r="1503" customFormat="false" ht="15" hidden="false" customHeight="false" outlineLevel="0" collapsed="false">
      <c r="A1503" s="4" t="s">
        <v>15</v>
      </c>
      <c r="B1503" s="4" t="s">
        <v>1136</v>
      </c>
      <c r="C1503" s="4" t="s">
        <v>1141</v>
      </c>
      <c r="D1503" s="4" t="s">
        <v>210</v>
      </c>
      <c r="E1503" s="4" t="s">
        <v>63</v>
      </c>
      <c r="F1503" s="4" t="s">
        <v>63</v>
      </c>
      <c r="G1503" s="4" t="s">
        <v>1251</v>
      </c>
      <c r="H1503" s="4"/>
      <c r="I1503" s="4" t="n">
        <v>0.5733</v>
      </c>
      <c r="J1503" s="4" t="str">
        <f aca="false">TRIM(E1503) &amp; TRIM(C1503) &amp; TRIM(D1503)</f>
        <v>First ReviewPro Account 3P Lead Gen AnchorPK</v>
      </c>
      <c r="K1503" s="4" t="n">
        <f aca="false">IFERROR(I1503*60,"")</f>
        <v>34.398</v>
      </c>
    </row>
    <row r="1504" customFormat="false" ht="15" hidden="false" customHeight="false" outlineLevel="0" collapsed="false">
      <c r="A1504" s="4" t="s">
        <v>15</v>
      </c>
      <c r="B1504" s="4" t="s">
        <v>1136</v>
      </c>
      <c r="C1504" s="4" t="s">
        <v>1137</v>
      </c>
      <c r="D1504" s="4" t="s">
        <v>115</v>
      </c>
      <c r="E1504" s="4" t="s">
        <v>66</v>
      </c>
      <c r="F1504" s="4" t="s">
        <v>67</v>
      </c>
      <c r="G1504" s="4" t="s">
        <v>1252</v>
      </c>
      <c r="H1504" s="4"/>
      <c r="I1504" s="4" t="n">
        <v>0.9612</v>
      </c>
      <c r="J1504" s="4" t="str">
        <f aca="false">TRIM(E1504) &amp; TRIM(C1504) &amp; TRIM(D1504)</f>
        <v>Posted RecallBA Ecomm Community VideoAT</v>
      </c>
      <c r="K1504" s="4" t="n">
        <f aca="false">IFERROR(I1504*60,"")</f>
        <v>57.672</v>
      </c>
    </row>
    <row r="1505" customFormat="false" ht="15" hidden="false" customHeight="false" outlineLevel="0" collapsed="false">
      <c r="A1505" s="4" t="s">
        <v>15</v>
      </c>
      <c r="B1505" s="4" t="s">
        <v>1136</v>
      </c>
      <c r="C1505" s="4" t="s">
        <v>1150</v>
      </c>
      <c r="D1505" s="4" t="s">
        <v>97</v>
      </c>
      <c r="E1505" s="4" t="s">
        <v>63</v>
      </c>
      <c r="F1505" s="4" t="s">
        <v>63</v>
      </c>
      <c r="G1505" s="4" t="s">
        <v>1253</v>
      </c>
      <c r="H1505" s="4"/>
      <c r="I1505" s="4" t="n">
        <v>0.5004</v>
      </c>
      <c r="J1505" s="4" t="str">
        <f aca="false">TRIM(E1505) &amp; TRIM(C1505) &amp; TRIM(D1505)</f>
        <v>First ReviewPro Account App Download AnchorBR</v>
      </c>
      <c r="K1505" s="4" t="n">
        <f aca="false">IFERROR(I1505*60,"")</f>
        <v>30.024</v>
      </c>
    </row>
    <row r="1506" customFormat="false" ht="15" hidden="false" customHeight="false" outlineLevel="0" collapsed="false">
      <c r="A1506" s="4" t="s">
        <v>15</v>
      </c>
      <c r="B1506" s="4" t="s">
        <v>1136</v>
      </c>
      <c r="C1506" s="4" t="s">
        <v>1153</v>
      </c>
      <c r="D1506" s="4" t="s">
        <v>203</v>
      </c>
      <c r="E1506" s="4" t="s">
        <v>63</v>
      </c>
      <c r="F1506" s="4" t="s">
        <v>63</v>
      </c>
      <c r="G1506" s="4" t="s">
        <v>1254</v>
      </c>
      <c r="H1506" s="4"/>
      <c r="I1506" s="4" t="n">
        <v>1.304</v>
      </c>
      <c r="J1506" s="4" t="str">
        <f aca="false">TRIM(E1506) &amp; TRIM(C1506) &amp; TRIM(D1506)</f>
        <v>First ReviewPro Account Web Conversion AnchorCA</v>
      </c>
      <c r="K1506" s="4" t="n">
        <f aca="false">IFERROR(I1506*60,"")</f>
        <v>78.24</v>
      </c>
    </row>
    <row r="1507" customFormat="false" ht="15" hidden="false" customHeight="false" outlineLevel="0" collapsed="false">
      <c r="A1507" s="4" t="s">
        <v>15</v>
      </c>
      <c r="B1507" s="4" t="s">
        <v>1136</v>
      </c>
      <c r="C1507" s="4" t="s">
        <v>1137</v>
      </c>
      <c r="D1507" s="4" t="s">
        <v>97</v>
      </c>
      <c r="E1507" s="4" t="s">
        <v>66</v>
      </c>
      <c r="F1507" s="4" t="s">
        <v>67</v>
      </c>
      <c r="G1507" s="4" t="s">
        <v>1255</v>
      </c>
      <c r="H1507" s="4"/>
      <c r="I1507" s="4" t="n">
        <v>0.5649</v>
      </c>
      <c r="J1507" s="4" t="str">
        <f aca="false">TRIM(E1507) &amp; TRIM(C1507) &amp; TRIM(D1507)</f>
        <v>Posted RecallBA Ecomm Community VideoBR</v>
      </c>
      <c r="K1507" s="4" t="n">
        <f aca="false">IFERROR(I1507*60,"")</f>
        <v>33.894</v>
      </c>
    </row>
    <row r="1508" customFormat="false" ht="15" hidden="false" customHeight="false" outlineLevel="0" collapsed="false">
      <c r="A1508" s="4" t="s">
        <v>15</v>
      </c>
      <c r="B1508" s="4" t="s">
        <v>1136</v>
      </c>
      <c r="C1508" s="4" t="s">
        <v>1141</v>
      </c>
      <c r="D1508" s="4" t="s">
        <v>95</v>
      </c>
      <c r="E1508" s="4" t="s">
        <v>63</v>
      </c>
      <c r="F1508" s="4" t="s">
        <v>63</v>
      </c>
      <c r="G1508" s="4" t="s">
        <v>1256</v>
      </c>
      <c r="H1508" s="4"/>
      <c r="I1508" s="4" t="n">
        <v>0.6096</v>
      </c>
      <c r="J1508" s="4" t="str">
        <f aca="false">TRIM(E1508) &amp; TRIM(C1508) &amp; TRIM(D1508)</f>
        <v>First ReviewPro Account 3P Lead Gen AnchorVN</v>
      </c>
      <c r="K1508" s="4" t="n">
        <f aca="false">IFERROR(I1508*60,"")</f>
        <v>36.576</v>
      </c>
    </row>
    <row r="1509" customFormat="false" ht="15" hidden="false" customHeight="false" outlineLevel="0" collapsed="false">
      <c r="A1509" s="4" t="s">
        <v>15</v>
      </c>
      <c r="B1509" s="4" t="s">
        <v>1136</v>
      </c>
      <c r="C1509" s="4" t="s">
        <v>1137</v>
      </c>
      <c r="D1509" s="4" t="s">
        <v>70</v>
      </c>
      <c r="E1509" s="4" t="s">
        <v>63</v>
      </c>
      <c r="F1509" s="4" t="s">
        <v>63</v>
      </c>
      <c r="G1509" s="4" t="s">
        <v>1257</v>
      </c>
      <c r="H1509" s="4"/>
      <c r="I1509" s="4" t="n">
        <v>1.0421</v>
      </c>
      <c r="J1509" s="4" t="str">
        <f aca="false">TRIM(E1509) &amp; TRIM(C1509) &amp; TRIM(D1509)</f>
        <v>First ReviewBA Ecomm Community VideoBE</v>
      </c>
      <c r="K1509" s="4" t="n">
        <f aca="false">IFERROR(I1509*60,"")</f>
        <v>62.526</v>
      </c>
    </row>
    <row r="1510" customFormat="false" ht="15" hidden="false" customHeight="false" outlineLevel="0" collapsed="false">
      <c r="A1510" s="4" t="s">
        <v>15</v>
      </c>
      <c r="B1510" s="4" t="s">
        <v>1136</v>
      </c>
      <c r="C1510" s="4" t="s">
        <v>1148</v>
      </c>
      <c r="D1510" s="4" t="s">
        <v>79</v>
      </c>
      <c r="E1510" s="4" t="s">
        <v>63</v>
      </c>
      <c r="F1510" s="4" t="s">
        <v>63</v>
      </c>
      <c r="G1510" s="4" t="s">
        <v>1258</v>
      </c>
      <c r="H1510" s="4"/>
      <c r="I1510" s="4" t="n">
        <v>1.7493</v>
      </c>
      <c r="J1510" s="4" t="str">
        <f aca="false">TRIM(E1510) &amp; TRIM(C1510) &amp; TRIM(D1510)</f>
        <v>First ReviewPro Account ProductZA</v>
      </c>
      <c r="K1510" s="4" t="n">
        <f aca="false">IFERROR(I1510*60,"")</f>
        <v>104.958</v>
      </c>
    </row>
    <row r="1511" customFormat="false" ht="15" hidden="false" customHeight="false" outlineLevel="0" collapsed="false">
      <c r="A1511" s="4" t="s">
        <v>15</v>
      </c>
      <c r="B1511" s="4" t="s">
        <v>1136</v>
      </c>
      <c r="C1511" s="4" t="s">
        <v>1153</v>
      </c>
      <c r="D1511" s="4" t="s">
        <v>275</v>
      </c>
      <c r="E1511" s="4" t="s">
        <v>63</v>
      </c>
      <c r="F1511" s="4" t="s">
        <v>63</v>
      </c>
      <c r="G1511" s="4" t="s">
        <v>1259</v>
      </c>
      <c r="H1511" s="4"/>
      <c r="I1511" s="4" t="n">
        <v>0.6096</v>
      </c>
      <c r="J1511" s="4" t="str">
        <f aca="false">TRIM(E1511) &amp; TRIM(C1511) &amp; TRIM(D1511)</f>
        <v>First ReviewPro Account Web Conversion AnchorGB</v>
      </c>
      <c r="K1511" s="4" t="n">
        <f aca="false">IFERROR(I1511*60,"")</f>
        <v>36.576</v>
      </c>
    </row>
    <row r="1512" customFormat="false" ht="15" hidden="false" customHeight="false" outlineLevel="0" collapsed="false">
      <c r="A1512" s="4" t="s">
        <v>15</v>
      </c>
      <c r="B1512" s="4" t="s">
        <v>1136</v>
      </c>
      <c r="C1512" s="4" t="s">
        <v>1148</v>
      </c>
      <c r="D1512" s="4" t="s">
        <v>235</v>
      </c>
      <c r="E1512" s="4" t="s">
        <v>63</v>
      </c>
      <c r="F1512" s="4" t="s">
        <v>63</v>
      </c>
      <c r="G1512" s="4" t="s">
        <v>1260</v>
      </c>
      <c r="H1512" s="4"/>
      <c r="I1512" s="4" t="n">
        <v>2.0113</v>
      </c>
      <c r="J1512" s="4" t="str">
        <f aca="false">TRIM(E1512) &amp; TRIM(C1512) &amp; TRIM(D1512)</f>
        <v>First ReviewPro Account ProductJP</v>
      </c>
      <c r="K1512" s="4" t="n">
        <f aca="false">IFERROR(I1512*60,"")</f>
        <v>120.678</v>
      </c>
    </row>
    <row r="1513" customFormat="false" ht="15" hidden="false" customHeight="false" outlineLevel="0" collapsed="false">
      <c r="A1513" s="4" t="s">
        <v>15</v>
      </c>
      <c r="B1513" s="4" t="s">
        <v>1136</v>
      </c>
      <c r="C1513" s="4" t="s">
        <v>1150</v>
      </c>
      <c r="D1513" s="4" t="s">
        <v>195</v>
      </c>
      <c r="E1513" s="4" t="s">
        <v>63</v>
      </c>
      <c r="F1513" s="4" t="s">
        <v>63</v>
      </c>
      <c r="G1513" s="4" t="s">
        <v>1261</v>
      </c>
      <c r="H1513" s="4"/>
      <c r="I1513" s="4" t="n">
        <v>1.3411</v>
      </c>
      <c r="J1513" s="4" t="str">
        <f aca="false">TRIM(E1513) &amp; TRIM(C1513) &amp; TRIM(D1513)</f>
        <v>First ReviewPro Account App Download AnchorIT</v>
      </c>
      <c r="K1513" s="4" t="n">
        <f aca="false">IFERROR(I1513*60,"")</f>
        <v>80.466</v>
      </c>
    </row>
    <row r="1514" customFormat="false" ht="15" hidden="false" customHeight="false" outlineLevel="0" collapsed="false">
      <c r="A1514" s="4" t="s">
        <v>15</v>
      </c>
      <c r="B1514" s="4" t="s">
        <v>1136</v>
      </c>
      <c r="C1514" s="4" t="s">
        <v>1148</v>
      </c>
      <c r="D1514" s="4" t="s">
        <v>121</v>
      </c>
      <c r="E1514" s="4" t="s">
        <v>63</v>
      </c>
      <c r="F1514" s="4" t="s">
        <v>63</v>
      </c>
      <c r="G1514" s="4" t="s">
        <v>1262</v>
      </c>
      <c r="H1514" s="4"/>
      <c r="I1514" s="4" t="n">
        <v>2.0081</v>
      </c>
      <c r="J1514" s="4" t="str">
        <f aca="false">TRIM(E1514) &amp; TRIM(C1514) &amp; TRIM(D1514)</f>
        <v>First ReviewPro Account ProductKR</v>
      </c>
      <c r="K1514" s="4" t="n">
        <f aca="false">IFERROR(I1514*60,"")</f>
        <v>120.486</v>
      </c>
    </row>
    <row r="1515" customFormat="false" ht="15" hidden="false" customHeight="false" outlineLevel="0" collapsed="false">
      <c r="A1515" s="4" t="s">
        <v>15</v>
      </c>
      <c r="B1515" s="4" t="s">
        <v>1136</v>
      </c>
      <c r="C1515" s="4" t="s">
        <v>1150</v>
      </c>
      <c r="D1515" s="4" t="s">
        <v>251</v>
      </c>
      <c r="E1515" s="4" t="s">
        <v>63</v>
      </c>
      <c r="F1515" s="4" t="s">
        <v>63</v>
      </c>
      <c r="G1515" s="4" t="s">
        <v>1263</v>
      </c>
      <c r="H1515" s="4"/>
      <c r="I1515" s="4" t="n">
        <v>0.9977</v>
      </c>
      <c r="J1515" s="4" t="str">
        <f aca="false">TRIM(E1515) &amp; TRIM(C1515) &amp; TRIM(D1515)</f>
        <v>First ReviewPro Account App Download AnchorRO</v>
      </c>
      <c r="K1515" s="4" t="n">
        <f aca="false">IFERROR(I1515*60,"")</f>
        <v>59.862</v>
      </c>
    </row>
    <row r="1516" customFormat="false" ht="15" hidden="false" customHeight="false" outlineLevel="0" collapsed="false">
      <c r="A1516" s="4" t="s">
        <v>15</v>
      </c>
      <c r="B1516" s="4" t="s">
        <v>1136</v>
      </c>
      <c r="C1516" s="4" t="s">
        <v>1148</v>
      </c>
      <c r="D1516" s="4" t="s">
        <v>102</v>
      </c>
      <c r="E1516" s="4" t="s">
        <v>63</v>
      </c>
      <c r="F1516" s="4" t="s">
        <v>63</v>
      </c>
      <c r="G1516" s="4" t="s">
        <v>1264</v>
      </c>
      <c r="H1516" s="4"/>
      <c r="I1516" s="4" t="n">
        <v>2.2031</v>
      </c>
      <c r="J1516" s="4" t="str">
        <f aca="false">TRIM(E1516) &amp; TRIM(C1516) &amp; TRIM(D1516)</f>
        <v>First ReviewPro Account ProductSE</v>
      </c>
      <c r="K1516" s="4" t="n">
        <f aca="false">IFERROR(I1516*60,"")</f>
        <v>132.186</v>
      </c>
    </row>
    <row r="1517" customFormat="false" ht="15" hidden="false" customHeight="false" outlineLevel="0" collapsed="false">
      <c r="A1517" s="4" t="s">
        <v>15</v>
      </c>
      <c r="B1517" s="4" t="s">
        <v>1136</v>
      </c>
      <c r="C1517" s="4" t="s">
        <v>1137</v>
      </c>
      <c r="D1517" s="4" t="s">
        <v>115</v>
      </c>
      <c r="E1517" s="4" t="s">
        <v>63</v>
      </c>
      <c r="F1517" s="4" t="s">
        <v>63</v>
      </c>
      <c r="G1517" s="4" t="s">
        <v>1252</v>
      </c>
      <c r="H1517" s="4"/>
      <c r="I1517" s="4" t="n">
        <v>0.9946</v>
      </c>
      <c r="J1517" s="4" t="str">
        <f aca="false">TRIM(E1517) &amp; TRIM(C1517) &amp; TRIM(D1517)</f>
        <v>First ReviewBA Ecomm Community VideoAT</v>
      </c>
      <c r="K1517" s="4" t="n">
        <f aca="false">IFERROR(I1517*60,"")</f>
        <v>59.676</v>
      </c>
    </row>
    <row r="1518" customFormat="false" ht="15" hidden="false" customHeight="false" outlineLevel="0" collapsed="false">
      <c r="A1518" s="4" t="s">
        <v>15</v>
      </c>
      <c r="B1518" s="4" t="s">
        <v>1136</v>
      </c>
      <c r="C1518" s="4" t="s">
        <v>1141</v>
      </c>
      <c r="D1518" s="4" t="s">
        <v>87</v>
      </c>
      <c r="E1518" s="4" t="s">
        <v>63</v>
      </c>
      <c r="F1518" s="4" t="s">
        <v>63</v>
      </c>
      <c r="G1518" s="4" t="s">
        <v>1265</v>
      </c>
      <c r="H1518" s="4"/>
      <c r="I1518" s="4" t="n">
        <v>0.4156</v>
      </c>
      <c r="J1518" s="4" t="str">
        <f aca="false">TRIM(E1518) &amp; TRIM(C1518) &amp; TRIM(D1518)</f>
        <v>First ReviewPro Account 3P Lead Gen AnchorAE</v>
      </c>
      <c r="K1518" s="4" t="n">
        <f aca="false">IFERROR(I1518*60,"")</f>
        <v>24.936</v>
      </c>
    </row>
    <row r="1519" customFormat="false" ht="15" hidden="false" customHeight="false" outlineLevel="0" collapsed="false">
      <c r="A1519" s="4" t="s">
        <v>15</v>
      </c>
      <c r="B1519" s="4" t="s">
        <v>1136</v>
      </c>
      <c r="C1519" s="4" t="s">
        <v>1141</v>
      </c>
      <c r="D1519" s="4" t="s">
        <v>195</v>
      </c>
      <c r="E1519" s="4" t="s">
        <v>63</v>
      </c>
      <c r="F1519" s="4" t="s">
        <v>63</v>
      </c>
      <c r="G1519" s="4" t="s">
        <v>1266</v>
      </c>
      <c r="H1519" s="4"/>
      <c r="I1519" s="4" t="n">
        <v>0.9949</v>
      </c>
      <c r="J1519" s="4" t="str">
        <f aca="false">TRIM(E1519) &amp; TRIM(C1519) &amp; TRIM(D1519)</f>
        <v>First ReviewPro Account 3P Lead Gen AnchorIT</v>
      </c>
      <c r="K1519" s="4" t="n">
        <f aca="false">IFERROR(I1519*60,"")</f>
        <v>59.694</v>
      </c>
    </row>
    <row r="1520" customFormat="false" ht="15" hidden="false" customHeight="false" outlineLevel="0" collapsed="false">
      <c r="A1520" s="4" t="s">
        <v>15</v>
      </c>
      <c r="B1520" s="4" t="s">
        <v>1136</v>
      </c>
      <c r="C1520" s="4" t="s">
        <v>1137</v>
      </c>
      <c r="D1520" s="4" t="s">
        <v>197</v>
      </c>
      <c r="E1520" s="4" t="s">
        <v>66</v>
      </c>
      <c r="F1520" s="4" t="s">
        <v>67</v>
      </c>
      <c r="G1520" s="4" t="s">
        <v>1220</v>
      </c>
      <c r="H1520" s="4"/>
      <c r="I1520" s="4" t="n">
        <v>0.6667</v>
      </c>
      <c r="J1520" s="4" t="str">
        <f aca="false">TRIM(E1520) &amp; TRIM(C1520) &amp; TRIM(D1520)</f>
        <v>Posted RecallBA Ecomm Community VideoGR</v>
      </c>
      <c r="K1520" s="4" t="n">
        <f aca="false">IFERROR(I1520*60,"")</f>
        <v>40.002</v>
      </c>
    </row>
    <row r="1521" customFormat="false" ht="15" hidden="false" customHeight="false" outlineLevel="0" collapsed="false">
      <c r="A1521" s="4" t="s">
        <v>15</v>
      </c>
      <c r="B1521" s="4" t="s">
        <v>1136</v>
      </c>
      <c r="C1521" s="4" t="s">
        <v>1139</v>
      </c>
      <c r="D1521" s="4" t="s">
        <v>195</v>
      </c>
      <c r="E1521" s="4" t="s">
        <v>63</v>
      </c>
      <c r="F1521" s="4" t="s">
        <v>63</v>
      </c>
      <c r="G1521" s="4" t="s">
        <v>1267</v>
      </c>
      <c r="H1521" s="4"/>
      <c r="I1521" s="4" t="n">
        <v>1.5797</v>
      </c>
      <c r="J1521" s="4" t="str">
        <f aca="false">TRIM(E1521) &amp; TRIM(C1521) &amp; TRIM(D1521)</f>
        <v>First ReviewPro Account ROI2 VideoIT</v>
      </c>
      <c r="K1521" s="4" t="n">
        <f aca="false">IFERROR(I1521*60,"")</f>
        <v>94.782</v>
      </c>
    </row>
    <row r="1522" customFormat="false" ht="15" hidden="false" customHeight="false" outlineLevel="0" collapsed="false">
      <c r="A1522" s="4" t="s">
        <v>15</v>
      </c>
      <c r="B1522" s="4" t="s">
        <v>1136</v>
      </c>
      <c r="C1522" s="4" t="s">
        <v>1148</v>
      </c>
      <c r="D1522" s="4" t="s">
        <v>231</v>
      </c>
      <c r="E1522" s="4" t="s">
        <v>63</v>
      </c>
      <c r="F1522" s="4" t="s">
        <v>63</v>
      </c>
      <c r="G1522" s="4" t="s">
        <v>1268</v>
      </c>
      <c r="H1522" s="4"/>
      <c r="I1522" s="4" t="n">
        <v>1.2349</v>
      </c>
      <c r="J1522" s="4" t="str">
        <f aca="false">TRIM(E1522) &amp; TRIM(C1522) &amp; TRIM(D1522)</f>
        <v>First ReviewPro Account ProductIL</v>
      </c>
      <c r="K1522" s="4" t="n">
        <f aca="false">IFERROR(I1522*60,"")</f>
        <v>74.094</v>
      </c>
    </row>
    <row r="1523" customFormat="false" ht="15" hidden="false" customHeight="false" outlineLevel="0" collapsed="false">
      <c r="A1523" s="4" t="s">
        <v>15</v>
      </c>
      <c r="B1523" s="4" t="s">
        <v>1136</v>
      </c>
      <c r="C1523" s="4" t="s">
        <v>1141</v>
      </c>
      <c r="D1523" s="4" t="s">
        <v>113</v>
      </c>
      <c r="E1523" s="4" t="s">
        <v>63</v>
      </c>
      <c r="F1523" s="4" t="s">
        <v>63</v>
      </c>
      <c r="G1523" s="4" t="s">
        <v>1269</v>
      </c>
      <c r="H1523" s="4"/>
      <c r="I1523" s="4" t="n">
        <v>0.6081</v>
      </c>
      <c r="J1523" s="4" t="str">
        <f aca="false">TRIM(E1523) &amp; TRIM(C1523) &amp; TRIM(D1523)</f>
        <v>First ReviewPro Account 3P Lead Gen AnchorNL</v>
      </c>
      <c r="K1523" s="4" t="n">
        <f aca="false">IFERROR(I1523*60,"")</f>
        <v>36.486</v>
      </c>
    </row>
    <row r="1524" customFormat="false" ht="15" hidden="false" customHeight="false" outlineLevel="0" collapsed="false">
      <c r="A1524" s="4" t="s">
        <v>15</v>
      </c>
      <c r="B1524" s="4" t="s">
        <v>1136</v>
      </c>
      <c r="C1524" s="4" t="s">
        <v>1141</v>
      </c>
      <c r="D1524" s="4" t="s">
        <v>275</v>
      </c>
      <c r="E1524" s="4" t="s">
        <v>63</v>
      </c>
      <c r="F1524" s="4" t="s">
        <v>63</v>
      </c>
      <c r="G1524" s="4" t="s">
        <v>1270</v>
      </c>
      <c r="H1524" s="4"/>
      <c r="I1524" s="4" t="n">
        <v>0.6219</v>
      </c>
      <c r="J1524" s="4" t="str">
        <f aca="false">TRIM(E1524) &amp; TRIM(C1524) &amp; TRIM(D1524)</f>
        <v>First ReviewPro Account 3P Lead Gen AnchorGB</v>
      </c>
      <c r="K1524" s="4" t="n">
        <f aca="false">IFERROR(I1524*60,"")</f>
        <v>37.314</v>
      </c>
    </row>
    <row r="1525" customFormat="false" ht="15" hidden="false" customHeight="false" outlineLevel="0" collapsed="false">
      <c r="A1525" s="4" t="s">
        <v>15</v>
      </c>
      <c r="B1525" s="4" t="s">
        <v>1136</v>
      </c>
      <c r="C1525" s="4" t="s">
        <v>1148</v>
      </c>
      <c r="D1525" s="4" t="s">
        <v>185</v>
      </c>
      <c r="E1525" s="4" t="s">
        <v>63</v>
      </c>
      <c r="F1525" s="4" t="s">
        <v>63</v>
      </c>
      <c r="G1525" s="4" t="s">
        <v>1271</v>
      </c>
      <c r="H1525" s="4"/>
      <c r="I1525" s="4" t="n">
        <v>2.0412</v>
      </c>
      <c r="J1525" s="4" t="str">
        <f aca="false">TRIM(E1525) &amp; TRIM(C1525) &amp; TRIM(D1525)</f>
        <v>First ReviewPro Account ProductDK</v>
      </c>
      <c r="K1525" s="4" t="n">
        <f aca="false">IFERROR(I1525*60,"")</f>
        <v>122.472</v>
      </c>
    </row>
    <row r="1526" customFormat="false" ht="15" hidden="false" customHeight="false" outlineLevel="0" collapsed="false">
      <c r="A1526" s="4" t="s">
        <v>15</v>
      </c>
      <c r="B1526" s="4" t="s">
        <v>1136</v>
      </c>
      <c r="C1526" s="4" t="s">
        <v>1141</v>
      </c>
      <c r="D1526" s="4" t="s">
        <v>150</v>
      </c>
      <c r="E1526" s="4" t="s">
        <v>63</v>
      </c>
      <c r="F1526" s="4" t="s">
        <v>63</v>
      </c>
      <c r="G1526" s="4" t="s">
        <v>1272</v>
      </c>
      <c r="H1526" s="4"/>
      <c r="I1526" s="4" t="n">
        <v>0.5816</v>
      </c>
      <c r="J1526" s="4" t="str">
        <f aca="false">TRIM(E1526) &amp; TRIM(C1526) &amp; TRIM(D1526)</f>
        <v>First ReviewPro Account 3P Lead Gen AnchorDE</v>
      </c>
      <c r="K1526" s="4" t="n">
        <f aca="false">IFERROR(I1526*60,"")</f>
        <v>34.896</v>
      </c>
    </row>
    <row r="1527" customFormat="false" ht="15" hidden="false" customHeight="false" outlineLevel="0" collapsed="false">
      <c r="A1527" s="4" t="s">
        <v>15</v>
      </c>
      <c r="B1527" s="4" t="s">
        <v>1136</v>
      </c>
      <c r="C1527" s="4" t="s">
        <v>1148</v>
      </c>
      <c r="D1527" s="4" t="s">
        <v>208</v>
      </c>
      <c r="E1527" s="4" t="s">
        <v>63</v>
      </c>
      <c r="F1527" s="4" t="s">
        <v>63</v>
      </c>
      <c r="G1527" s="4" t="s">
        <v>1273</v>
      </c>
      <c r="H1527" s="4"/>
      <c r="I1527" s="4" t="n">
        <v>1.1751</v>
      </c>
      <c r="J1527" s="4" t="str">
        <f aca="false">TRIM(E1527) &amp; TRIM(C1527) &amp; TRIM(D1527)</f>
        <v>First ReviewPro Account ProductCO</v>
      </c>
      <c r="K1527" s="4" t="n">
        <f aca="false">IFERROR(I1527*60,"")</f>
        <v>70.506</v>
      </c>
    </row>
    <row r="1528" customFormat="false" ht="15" hidden="false" customHeight="false" outlineLevel="0" collapsed="false">
      <c r="A1528" s="4" t="s">
        <v>15</v>
      </c>
      <c r="B1528" s="4" t="s">
        <v>1136</v>
      </c>
      <c r="C1528" s="4" t="s">
        <v>1141</v>
      </c>
      <c r="D1528" s="4" t="s">
        <v>82</v>
      </c>
      <c r="E1528" s="4" t="s">
        <v>63</v>
      </c>
      <c r="F1528" s="4" t="s">
        <v>63</v>
      </c>
      <c r="G1528" s="4" t="s">
        <v>1274</v>
      </c>
      <c r="H1528" s="4"/>
      <c r="I1528" s="4" t="n">
        <v>0.297</v>
      </c>
      <c r="J1528" s="4" t="str">
        <f aca="false">TRIM(E1528) &amp; TRIM(C1528) &amp; TRIM(D1528)</f>
        <v>First ReviewPro Account 3P Lead Gen AnchorKH</v>
      </c>
      <c r="K1528" s="4" t="n">
        <f aca="false">IFERROR(I1528*60,"")</f>
        <v>17.82</v>
      </c>
    </row>
    <row r="1529" customFormat="false" ht="15" hidden="false" customHeight="false" outlineLevel="0" collapsed="false">
      <c r="A1529" s="4" t="s">
        <v>15</v>
      </c>
      <c r="B1529" s="4" t="s">
        <v>1136</v>
      </c>
      <c r="C1529" s="4" t="s">
        <v>1153</v>
      </c>
      <c r="D1529" s="4" t="s">
        <v>106</v>
      </c>
      <c r="E1529" s="4" t="s">
        <v>63</v>
      </c>
      <c r="F1529" s="4" t="s">
        <v>63</v>
      </c>
      <c r="G1529" s="4" t="s">
        <v>1275</v>
      </c>
      <c r="H1529" s="4"/>
      <c r="I1529" s="4" t="n">
        <v>0.829</v>
      </c>
      <c r="J1529" s="4" t="str">
        <f aca="false">TRIM(E1529) &amp; TRIM(C1529) &amp; TRIM(D1529)</f>
        <v>First ReviewPro Account Web Conversion AnchorMY</v>
      </c>
      <c r="K1529" s="4" t="n">
        <f aca="false">IFERROR(I1529*60,"")</f>
        <v>49.74</v>
      </c>
    </row>
    <row r="1530" customFormat="false" ht="15" hidden="false" customHeight="false" outlineLevel="0" collapsed="false">
      <c r="A1530" s="4" t="s">
        <v>15</v>
      </c>
      <c r="B1530" s="4" t="s">
        <v>1136</v>
      </c>
      <c r="C1530" s="4" t="s">
        <v>1148</v>
      </c>
      <c r="D1530" s="4" t="s">
        <v>62</v>
      </c>
      <c r="E1530" s="4" t="s">
        <v>63</v>
      </c>
      <c r="F1530" s="4" t="s">
        <v>63</v>
      </c>
      <c r="G1530" s="4" t="s">
        <v>1276</v>
      </c>
      <c r="H1530" s="4"/>
      <c r="I1530" s="4" t="n">
        <v>1.7932</v>
      </c>
      <c r="J1530" s="4" t="str">
        <f aca="false">TRIM(E1530) &amp; TRIM(C1530) &amp; TRIM(D1530)</f>
        <v>First ReviewPro Account ProductCL</v>
      </c>
      <c r="K1530" s="4" t="n">
        <f aca="false">IFERROR(I1530*60,"")</f>
        <v>107.592</v>
      </c>
    </row>
    <row r="1531" customFormat="false" ht="15" hidden="false" customHeight="false" outlineLevel="0" collapsed="false">
      <c r="A1531" s="4" t="s">
        <v>15</v>
      </c>
      <c r="B1531" s="4" t="s">
        <v>1136</v>
      </c>
      <c r="C1531" s="4" t="s">
        <v>1141</v>
      </c>
      <c r="D1531" s="4" t="s">
        <v>97</v>
      </c>
      <c r="E1531" s="4" t="s">
        <v>63</v>
      </c>
      <c r="F1531" s="4" t="s">
        <v>63</v>
      </c>
      <c r="G1531" s="4" t="s">
        <v>1277</v>
      </c>
      <c r="H1531" s="4"/>
      <c r="I1531" s="4" t="n">
        <v>0.4845</v>
      </c>
      <c r="J1531" s="4" t="str">
        <f aca="false">TRIM(E1531) &amp; TRIM(C1531) &amp; TRIM(D1531)</f>
        <v>First ReviewPro Account 3P Lead Gen AnchorBR</v>
      </c>
      <c r="K1531" s="4" t="n">
        <f aca="false">IFERROR(I1531*60,"")</f>
        <v>29.07</v>
      </c>
    </row>
    <row r="1532" customFormat="false" ht="15" hidden="false" customHeight="false" outlineLevel="0" collapsed="false">
      <c r="A1532" s="4" t="s">
        <v>15</v>
      </c>
      <c r="B1532" s="4" t="s">
        <v>1136</v>
      </c>
      <c r="C1532" s="4" t="s">
        <v>1148</v>
      </c>
      <c r="D1532" s="4" t="s">
        <v>115</v>
      </c>
      <c r="E1532" s="4" t="s">
        <v>63</v>
      </c>
      <c r="F1532" s="4" t="s">
        <v>63</v>
      </c>
      <c r="G1532" s="4" t="s">
        <v>1278</v>
      </c>
      <c r="H1532" s="4"/>
      <c r="I1532" s="4" t="n">
        <v>2.3215</v>
      </c>
      <c r="J1532" s="4" t="str">
        <f aca="false">TRIM(E1532) &amp; TRIM(C1532) &amp; TRIM(D1532)</f>
        <v>First ReviewPro Account ProductAT</v>
      </c>
      <c r="K1532" s="4" t="n">
        <f aca="false">IFERROR(I1532*60,"")</f>
        <v>139.29</v>
      </c>
    </row>
    <row r="1533" customFormat="false" ht="15" hidden="false" customHeight="false" outlineLevel="0" collapsed="false">
      <c r="A1533" s="4" t="s">
        <v>15</v>
      </c>
      <c r="B1533" s="4" t="s">
        <v>1136</v>
      </c>
      <c r="C1533" s="4" t="s">
        <v>1150</v>
      </c>
      <c r="D1533" s="4" t="s">
        <v>197</v>
      </c>
      <c r="E1533" s="4" t="s">
        <v>63</v>
      </c>
      <c r="F1533" s="4" t="s">
        <v>63</v>
      </c>
      <c r="G1533" s="4" t="s">
        <v>1279</v>
      </c>
      <c r="H1533" s="4"/>
      <c r="I1533" s="4" t="n">
        <v>0.6872</v>
      </c>
      <c r="J1533" s="4" t="str">
        <f aca="false">TRIM(E1533) &amp; TRIM(C1533) &amp; TRIM(D1533)</f>
        <v>First ReviewPro Account App Download AnchorGR</v>
      </c>
      <c r="K1533" s="4" t="n">
        <f aca="false">IFERROR(I1533*60,"")</f>
        <v>41.232</v>
      </c>
    </row>
    <row r="1534" customFormat="false" ht="15" hidden="false" customHeight="false" outlineLevel="0" collapsed="false">
      <c r="A1534" s="4" t="s">
        <v>15</v>
      </c>
      <c r="B1534" s="4" t="s">
        <v>1136</v>
      </c>
      <c r="C1534" s="4" t="s">
        <v>1150</v>
      </c>
      <c r="D1534" s="4" t="s">
        <v>284</v>
      </c>
      <c r="E1534" s="4" t="s">
        <v>63</v>
      </c>
      <c r="F1534" s="4" t="s">
        <v>63</v>
      </c>
      <c r="G1534" s="4" t="s">
        <v>1280</v>
      </c>
      <c r="H1534" s="4"/>
      <c r="I1534" s="4" t="n">
        <v>0.7392</v>
      </c>
      <c r="J1534" s="4" t="str">
        <f aca="false">TRIM(E1534) &amp; TRIM(C1534) &amp; TRIM(D1534)</f>
        <v>First ReviewPro Account App Download AnchorTR</v>
      </c>
      <c r="K1534" s="4" t="n">
        <f aca="false">IFERROR(I1534*60,"")</f>
        <v>44.352</v>
      </c>
    </row>
    <row r="1535" customFormat="false" ht="15" hidden="false" customHeight="false" outlineLevel="0" collapsed="false">
      <c r="A1535" s="4" t="s">
        <v>15</v>
      </c>
      <c r="B1535" s="4" t="s">
        <v>1136</v>
      </c>
      <c r="C1535" s="4" t="s">
        <v>1141</v>
      </c>
      <c r="D1535" s="4" t="s">
        <v>111</v>
      </c>
      <c r="E1535" s="4" t="s">
        <v>63</v>
      </c>
      <c r="F1535" s="4" t="s">
        <v>63</v>
      </c>
      <c r="G1535" s="4" t="s">
        <v>1281</v>
      </c>
      <c r="H1535" s="4"/>
      <c r="I1535" s="4" t="n">
        <v>0.3966</v>
      </c>
      <c r="J1535" s="4" t="str">
        <f aca="false">TRIM(E1535) &amp; TRIM(C1535) &amp; TRIM(D1535)</f>
        <v>First ReviewPro Account 3P Lead Gen AnchorUS</v>
      </c>
      <c r="K1535" s="4" t="n">
        <f aca="false">IFERROR(I1535*60,"")</f>
        <v>23.796</v>
      </c>
    </row>
    <row r="1536" customFormat="false" ht="15" hidden="false" customHeight="false" outlineLevel="0" collapsed="false">
      <c r="A1536" s="4" t="s">
        <v>15</v>
      </c>
      <c r="B1536" s="4" t="s">
        <v>1136</v>
      </c>
      <c r="C1536" s="4" t="s">
        <v>1141</v>
      </c>
      <c r="D1536" s="4" t="s">
        <v>89</v>
      </c>
      <c r="E1536" s="4" t="s">
        <v>63</v>
      </c>
      <c r="F1536" s="4" t="s">
        <v>63</v>
      </c>
      <c r="G1536" s="4" t="s">
        <v>1282</v>
      </c>
      <c r="H1536" s="4"/>
      <c r="I1536" s="4" t="n">
        <v>0.7504</v>
      </c>
      <c r="J1536" s="4" t="str">
        <f aca="false">TRIM(E1536) &amp; TRIM(C1536) &amp; TRIM(D1536)</f>
        <v>First ReviewPro Account 3P Lead Gen AnchorFI</v>
      </c>
      <c r="K1536" s="4" t="n">
        <f aca="false">IFERROR(I1536*60,"")</f>
        <v>45.024</v>
      </c>
    </row>
    <row r="1537" customFormat="false" ht="15" hidden="false" customHeight="false" outlineLevel="0" collapsed="false">
      <c r="A1537" s="4" t="s">
        <v>15</v>
      </c>
      <c r="B1537" s="4" t="s">
        <v>1136</v>
      </c>
      <c r="C1537" s="4" t="s">
        <v>1150</v>
      </c>
      <c r="D1537" s="4" t="s">
        <v>87</v>
      </c>
      <c r="E1537" s="4" t="s">
        <v>63</v>
      </c>
      <c r="F1537" s="4" t="s">
        <v>63</v>
      </c>
      <c r="G1537" s="4" t="s">
        <v>1283</v>
      </c>
      <c r="H1537" s="4"/>
      <c r="I1537" s="4" t="n">
        <v>0.5946</v>
      </c>
      <c r="J1537" s="4" t="str">
        <f aca="false">TRIM(E1537) &amp; TRIM(C1537) &amp; TRIM(D1537)</f>
        <v>First ReviewPro Account App Download AnchorAE</v>
      </c>
      <c r="K1537" s="4" t="n">
        <f aca="false">IFERROR(I1537*60,"")</f>
        <v>35.676</v>
      </c>
    </row>
    <row r="1538" customFormat="false" ht="15" hidden="false" customHeight="false" outlineLevel="0" collapsed="false">
      <c r="A1538" s="4" t="s">
        <v>15</v>
      </c>
      <c r="B1538" s="4" t="s">
        <v>1136</v>
      </c>
      <c r="C1538" s="4" t="s">
        <v>1137</v>
      </c>
      <c r="D1538" s="4" t="s">
        <v>121</v>
      </c>
      <c r="E1538" s="4" t="s">
        <v>66</v>
      </c>
      <c r="F1538" s="4" t="s">
        <v>67</v>
      </c>
      <c r="G1538" s="4" t="s">
        <v>1165</v>
      </c>
      <c r="H1538" s="4"/>
      <c r="I1538" s="4" t="n">
        <v>1.4448</v>
      </c>
      <c r="J1538" s="4" t="str">
        <f aca="false">TRIM(E1538) &amp; TRIM(C1538) &amp; TRIM(D1538)</f>
        <v>Posted RecallBA Ecomm Community VideoKR</v>
      </c>
      <c r="K1538" s="4" t="n">
        <f aca="false">IFERROR(I1538*60,"")</f>
        <v>86.688</v>
      </c>
    </row>
    <row r="1539" customFormat="false" ht="15" hidden="false" customHeight="false" outlineLevel="0" collapsed="false">
      <c r="A1539" s="4" t="s">
        <v>15</v>
      </c>
      <c r="B1539" s="4" t="s">
        <v>1136</v>
      </c>
      <c r="C1539" s="4" t="s">
        <v>1148</v>
      </c>
      <c r="D1539" s="4" t="s">
        <v>284</v>
      </c>
      <c r="E1539" s="4" t="s">
        <v>63</v>
      </c>
      <c r="F1539" s="4" t="s">
        <v>63</v>
      </c>
      <c r="G1539" s="4" t="s">
        <v>1284</v>
      </c>
      <c r="H1539" s="4"/>
      <c r="I1539" s="4" t="n">
        <v>1.2142</v>
      </c>
      <c r="J1539" s="4" t="str">
        <f aca="false">TRIM(E1539) &amp; TRIM(C1539) &amp; TRIM(D1539)</f>
        <v>First ReviewPro Account ProductTR</v>
      </c>
      <c r="K1539" s="4" t="n">
        <f aca="false">IFERROR(I1539*60,"")</f>
        <v>72.852</v>
      </c>
    </row>
    <row r="1540" customFormat="false" ht="15" hidden="false" customHeight="false" outlineLevel="0" collapsed="false">
      <c r="A1540" s="4" t="s">
        <v>15</v>
      </c>
      <c r="B1540" s="4" t="s">
        <v>1136</v>
      </c>
      <c r="C1540" s="4" t="s">
        <v>1148</v>
      </c>
      <c r="D1540" s="4" t="s">
        <v>166</v>
      </c>
      <c r="E1540" s="4" t="s">
        <v>63</v>
      </c>
      <c r="F1540" s="4" t="s">
        <v>63</v>
      </c>
      <c r="G1540" s="4" t="s">
        <v>1285</v>
      </c>
      <c r="H1540" s="4"/>
      <c r="I1540" s="4" t="n">
        <v>1.7744</v>
      </c>
      <c r="J1540" s="4" t="str">
        <f aca="false">TRIM(E1540) &amp; TRIM(C1540) &amp; TRIM(D1540)</f>
        <v>First ReviewPro Account ProductCZ</v>
      </c>
      <c r="K1540" s="4" t="n">
        <f aca="false">IFERROR(I1540*60,"")</f>
        <v>106.464</v>
      </c>
    </row>
    <row r="1541" customFormat="false" ht="15" hidden="false" customHeight="false" outlineLevel="0" collapsed="false">
      <c r="A1541" s="4" t="s">
        <v>15</v>
      </c>
      <c r="B1541" s="4" t="s">
        <v>1136</v>
      </c>
      <c r="C1541" s="4" t="s">
        <v>1141</v>
      </c>
      <c r="D1541" s="4" t="s">
        <v>458</v>
      </c>
      <c r="E1541" s="4" t="s">
        <v>63</v>
      </c>
      <c r="F1541" s="4" t="s">
        <v>63</v>
      </c>
      <c r="G1541" s="4" t="s">
        <v>1286</v>
      </c>
      <c r="H1541" s="4"/>
      <c r="I1541" s="4" t="n">
        <v>0.7259</v>
      </c>
      <c r="J1541" s="4" t="str">
        <f aca="false">TRIM(E1541) &amp; TRIM(C1541) &amp; TRIM(D1541)</f>
        <v>First ReviewPro Account 3P Lead Gen AnchorTW</v>
      </c>
      <c r="K1541" s="4" t="n">
        <f aca="false">IFERROR(I1541*60,"")</f>
        <v>43.554</v>
      </c>
    </row>
    <row r="1542" customFormat="false" ht="15" hidden="false" customHeight="false" outlineLevel="0" collapsed="false">
      <c r="A1542" s="4" t="s">
        <v>15</v>
      </c>
      <c r="B1542" s="4" t="s">
        <v>1136</v>
      </c>
      <c r="C1542" s="4" t="s">
        <v>1148</v>
      </c>
      <c r="D1542" s="4" t="s">
        <v>130</v>
      </c>
      <c r="E1542" s="4" t="s">
        <v>63</v>
      </c>
      <c r="F1542" s="4" t="s">
        <v>63</v>
      </c>
      <c r="G1542" s="4" t="s">
        <v>1287</v>
      </c>
      <c r="H1542" s="4"/>
      <c r="I1542" s="4" t="n">
        <v>0.8412</v>
      </c>
      <c r="J1542" s="4" t="str">
        <f aca="false">TRIM(E1542) &amp; TRIM(C1542) &amp; TRIM(D1542)</f>
        <v>First ReviewPro Account ProductMA</v>
      </c>
      <c r="K1542" s="4" t="n">
        <f aca="false">IFERROR(I1542*60,"")</f>
        <v>50.472</v>
      </c>
    </row>
    <row r="1543" customFormat="false" ht="15" hidden="false" customHeight="false" outlineLevel="0" collapsed="false">
      <c r="A1543" s="4" t="s">
        <v>15</v>
      </c>
      <c r="B1543" s="4" t="s">
        <v>1136</v>
      </c>
      <c r="C1543" s="4" t="s">
        <v>1150</v>
      </c>
      <c r="D1543" s="4" t="s">
        <v>306</v>
      </c>
      <c r="E1543" s="4" t="s">
        <v>63</v>
      </c>
      <c r="F1543" s="4" t="s">
        <v>63</v>
      </c>
      <c r="G1543" s="4" t="s">
        <v>1288</v>
      </c>
      <c r="H1543" s="4"/>
      <c r="I1543" s="4" t="n">
        <v>0.7235</v>
      </c>
      <c r="J1543" s="4" t="str">
        <f aca="false">TRIM(E1543) &amp; TRIM(C1543) &amp; TRIM(D1543)</f>
        <v>First ReviewPro Account App Download AnchorTH</v>
      </c>
      <c r="K1543" s="4" t="n">
        <f aca="false">IFERROR(I1543*60,"")</f>
        <v>43.41</v>
      </c>
    </row>
    <row r="1544" customFormat="false" ht="15" hidden="false" customHeight="false" outlineLevel="0" collapsed="false">
      <c r="A1544" s="4" t="s">
        <v>15</v>
      </c>
      <c r="B1544" s="4" t="s">
        <v>1136</v>
      </c>
      <c r="C1544" s="4" t="s">
        <v>1139</v>
      </c>
      <c r="D1544" s="4" t="s">
        <v>121</v>
      </c>
      <c r="E1544" s="4" t="s">
        <v>63</v>
      </c>
      <c r="F1544" s="4" t="s">
        <v>63</v>
      </c>
      <c r="G1544" s="4" t="s">
        <v>1161</v>
      </c>
      <c r="H1544" s="4"/>
      <c r="I1544" s="4" t="n">
        <v>2.0085</v>
      </c>
      <c r="J1544" s="4" t="str">
        <f aca="false">TRIM(E1544) &amp; TRIM(C1544) &amp; TRIM(D1544)</f>
        <v>First ReviewPro Account ROI2 VideoKR</v>
      </c>
      <c r="K1544" s="4" t="n">
        <f aca="false">IFERROR(I1544*60,"")</f>
        <v>120.51</v>
      </c>
    </row>
    <row r="1545" customFormat="false" ht="15" hidden="false" customHeight="false" outlineLevel="0" collapsed="false">
      <c r="A1545" s="4" t="s">
        <v>15</v>
      </c>
      <c r="B1545" s="4" t="s">
        <v>1136</v>
      </c>
      <c r="C1545" s="4" t="s">
        <v>1148</v>
      </c>
      <c r="D1545" s="4" t="s">
        <v>251</v>
      </c>
      <c r="E1545" s="4" t="s">
        <v>63</v>
      </c>
      <c r="F1545" s="4" t="s">
        <v>63</v>
      </c>
      <c r="G1545" s="4" t="s">
        <v>1289</v>
      </c>
      <c r="H1545" s="4"/>
      <c r="I1545" s="4" t="n">
        <v>1.6948</v>
      </c>
      <c r="J1545" s="4" t="str">
        <f aca="false">TRIM(E1545) &amp; TRIM(C1545) &amp; TRIM(D1545)</f>
        <v>First ReviewPro Account ProductRO</v>
      </c>
      <c r="K1545" s="4" t="n">
        <f aca="false">IFERROR(I1545*60,"")</f>
        <v>101.688</v>
      </c>
    </row>
    <row r="1546" customFormat="false" ht="15" hidden="false" customHeight="false" outlineLevel="0" collapsed="false">
      <c r="A1546" s="4" t="s">
        <v>15</v>
      </c>
      <c r="B1546" s="4" t="s">
        <v>1136</v>
      </c>
      <c r="C1546" s="4" t="s">
        <v>1153</v>
      </c>
      <c r="D1546" s="4" t="s">
        <v>121</v>
      </c>
      <c r="E1546" s="4" t="s">
        <v>63</v>
      </c>
      <c r="F1546" s="4" t="s">
        <v>63</v>
      </c>
      <c r="G1546" s="4" t="s">
        <v>1290</v>
      </c>
      <c r="H1546" s="4"/>
      <c r="I1546" s="4" t="n">
        <v>0.998</v>
      </c>
      <c r="J1546" s="4" t="str">
        <f aca="false">TRIM(E1546) &amp; TRIM(C1546) &amp; TRIM(D1546)</f>
        <v>First ReviewPro Account Web Conversion AnchorKR</v>
      </c>
      <c r="K1546" s="4" t="n">
        <f aca="false">IFERROR(I1546*60,"")</f>
        <v>59.88</v>
      </c>
    </row>
    <row r="1547" customFormat="false" ht="15" hidden="false" customHeight="false" outlineLevel="0" collapsed="false">
      <c r="A1547" s="4" t="s">
        <v>15</v>
      </c>
      <c r="B1547" s="4" t="s">
        <v>1136</v>
      </c>
      <c r="C1547" s="4" t="s">
        <v>1148</v>
      </c>
      <c r="D1547" s="4" t="s">
        <v>150</v>
      </c>
      <c r="E1547" s="4" t="s">
        <v>63</v>
      </c>
      <c r="F1547" s="4" t="s">
        <v>63</v>
      </c>
      <c r="G1547" s="4" t="s">
        <v>1291</v>
      </c>
      <c r="H1547" s="4"/>
      <c r="I1547" s="4" t="n">
        <v>1.4965</v>
      </c>
      <c r="J1547" s="4" t="str">
        <f aca="false">TRIM(E1547) &amp; TRIM(C1547) &amp; TRIM(D1547)</f>
        <v>First ReviewPro Account ProductDE</v>
      </c>
      <c r="K1547" s="4" t="n">
        <f aca="false">IFERROR(I1547*60,"")</f>
        <v>89.79</v>
      </c>
    </row>
    <row r="1548" customFormat="false" ht="15" hidden="false" customHeight="false" outlineLevel="0" collapsed="false">
      <c r="A1548" s="4" t="s">
        <v>15</v>
      </c>
      <c r="B1548" s="4" t="s">
        <v>1136</v>
      </c>
      <c r="C1548" s="4" t="s">
        <v>1139</v>
      </c>
      <c r="D1548" s="4" t="s">
        <v>308</v>
      </c>
      <c r="E1548" s="4" t="s">
        <v>63</v>
      </c>
      <c r="F1548" s="4" t="s">
        <v>63</v>
      </c>
      <c r="G1548" s="4" t="s">
        <v>1292</v>
      </c>
      <c r="H1548" s="4"/>
      <c r="I1548" s="4" t="n">
        <v>2.0615</v>
      </c>
      <c r="J1548" s="4" t="str">
        <f aca="false">TRIM(E1548) &amp; TRIM(C1548) &amp; TRIM(D1548)</f>
        <v>First ReviewPro Account ROI2 VideoPL</v>
      </c>
      <c r="K1548" s="4" t="n">
        <f aca="false">IFERROR(I1548*60,"")</f>
        <v>123.69</v>
      </c>
    </row>
    <row r="1549" customFormat="false" ht="15" hidden="false" customHeight="false" outlineLevel="0" collapsed="false">
      <c r="A1549" s="4" t="s">
        <v>15</v>
      </c>
      <c r="B1549" s="4" t="s">
        <v>1136</v>
      </c>
      <c r="C1549" s="4" t="s">
        <v>1148</v>
      </c>
      <c r="D1549" s="4" t="s">
        <v>117</v>
      </c>
      <c r="E1549" s="4" t="s">
        <v>63</v>
      </c>
      <c r="F1549" s="4" t="s">
        <v>63</v>
      </c>
      <c r="G1549" s="4" t="s">
        <v>1293</v>
      </c>
      <c r="H1549" s="4"/>
      <c r="I1549" s="4" t="n">
        <v>1.4636</v>
      </c>
      <c r="J1549" s="4" t="str">
        <f aca="false">TRIM(E1549) &amp; TRIM(C1549) &amp; TRIM(D1549)</f>
        <v>First ReviewPro Account ProductAR</v>
      </c>
      <c r="K1549" s="4" t="n">
        <f aca="false">IFERROR(I1549*60,"")</f>
        <v>87.816</v>
      </c>
    </row>
    <row r="1550" customFormat="false" ht="15" hidden="false" customHeight="false" outlineLevel="0" collapsed="false">
      <c r="A1550" s="4" t="s">
        <v>15</v>
      </c>
      <c r="B1550" s="4" t="s">
        <v>1136</v>
      </c>
      <c r="C1550" s="4" t="s">
        <v>1139</v>
      </c>
      <c r="D1550" s="4" t="s">
        <v>213</v>
      </c>
      <c r="E1550" s="4" t="s">
        <v>63</v>
      </c>
      <c r="F1550" s="4" t="s">
        <v>63</v>
      </c>
      <c r="G1550" s="4" t="s">
        <v>1294</v>
      </c>
      <c r="H1550" s="4"/>
      <c r="I1550" s="4" t="n">
        <v>0.8388</v>
      </c>
      <c r="J1550" s="4" t="str">
        <f aca="false">TRIM(E1550) &amp; TRIM(C1550) &amp; TRIM(D1550)</f>
        <v>First ReviewPro Account ROI2 VideoFR</v>
      </c>
      <c r="K1550" s="4" t="n">
        <f aca="false">IFERROR(I1550*60,"")</f>
        <v>50.328</v>
      </c>
    </row>
    <row r="1551" customFormat="false" ht="15" hidden="false" customHeight="false" outlineLevel="0" collapsed="false">
      <c r="A1551" s="4" t="s">
        <v>15</v>
      </c>
      <c r="B1551" s="4" t="s">
        <v>1136</v>
      </c>
      <c r="C1551" s="4" t="s">
        <v>1139</v>
      </c>
      <c r="D1551" s="4" t="s">
        <v>267</v>
      </c>
      <c r="E1551" s="4" t="s">
        <v>66</v>
      </c>
      <c r="F1551" s="4" t="s">
        <v>67</v>
      </c>
      <c r="G1551" s="4" t="s">
        <v>1179</v>
      </c>
      <c r="H1551" s="4"/>
      <c r="I1551" s="4" t="n">
        <v>3.9932</v>
      </c>
      <c r="J1551" s="4" t="str">
        <f aca="false">TRIM(E1551) &amp; TRIM(C1551) &amp; TRIM(D1551)</f>
        <v>Posted RecallPro Account ROI2 VideoID</v>
      </c>
      <c r="K1551" s="4" t="n">
        <f aca="false">IFERROR(I1551*60,"")</f>
        <v>239.592</v>
      </c>
    </row>
    <row r="1552" customFormat="false" ht="15" hidden="false" customHeight="false" outlineLevel="0" collapsed="false">
      <c r="A1552" s="4" t="s">
        <v>15</v>
      </c>
      <c r="B1552" s="4" t="s">
        <v>1136</v>
      </c>
      <c r="C1552" s="4" t="s">
        <v>1137</v>
      </c>
      <c r="D1552" s="4" t="s">
        <v>111</v>
      </c>
      <c r="E1552" s="4" t="s">
        <v>63</v>
      </c>
      <c r="F1552" s="4" t="s">
        <v>63</v>
      </c>
      <c r="G1552" s="4" t="s">
        <v>1295</v>
      </c>
      <c r="H1552" s="4"/>
      <c r="I1552" s="4" t="n">
        <v>0.7225</v>
      </c>
      <c r="J1552" s="4" t="str">
        <f aca="false">TRIM(E1552) &amp; TRIM(C1552) &amp; TRIM(D1552)</f>
        <v>First ReviewBA Ecomm Community VideoUS</v>
      </c>
      <c r="K1552" s="4" t="n">
        <f aca="false">IFERROR(I1552*60,"")</f>
        <v>43.35</v>
      </c>
    </row>
    <row r="1553" customFormat="false" ht="15" hidden="false" customHeight="false" outlineLevel="0" collapsed="false">
      <c r="A1553" s="4" t="s">
        <v>15</v>
      </c>
      <c r="B1553" s="4" t="s">
        <v>1136</v>
      </c>
      <c r="C1553" s="4" t="s">
        <v>1153</v>
      </c>
      <c r="D1553" s="4" t="s">
        <v>100</v>
      </c>
      <c r="E1553" s="4" t="s">
        <v>63</v>
      </c>
      <c r="F1553" s="4" t="s">
        <v>63</v>
      </c>
      <c r="G1553" s="4" t="s">
        <v>1296</v>
      </c>
      <c r="H1553" s="4"/>
      <c r="I1553" s="4" t="n">
        <v>1.3282</v>
      </c>
      <c r="J1553" s="4" t="str">
        <f aca="false">TRIM(E1553) &amp; TRIM(C1553) &amp; TRIM(D1553)</f>
        <v>First ReviewPro Account Web Conversion AnchorAU</v>
      </c>
      <c r="K1553" s="4" t="n">
        <f aca="false">IFERROR(I1553*60,"")</f>
        <v>79.692</v>
      </c>
    </row>
    <row r="1554" customFormat="false" ht="15" hidden="false" customHeight="false" outlineLevel="0" collapsed="false">
      <c r="A1554" s="4" t="s">
        <v>15</v>
      </c>
      <c r="B1554" s="4" t="s">
        <v>1136</v>
      </c>
      <c r="C1554" s="4" t="s">
        <v>1153</v>
      </c>
      <c r="D1554" s="4" t="s">
        <v>97</v>
      </c>
      <c r="E1554" s="4" t="s">
        <v>63</v>
      </c>
      <c r="F1554" s="4" t="s">
        <v>63</v>
      </c>
      <c r="G1554" s="4" t="s">
        <v>1297</v>
      </c>
      <c r="H1554" s="4"/>
      <c r="I1554" s="4" t="n">
        <v>1.907</v>
      </c>
      <c r="J1554" s="4" t="str">
        <f aca="false">TRIM(E1554) &amp; TRIM(C1554) &amp; TRIM(D1554)</f>
        <v>First ReviewPro Account Web Conversion AnchorBR</v>
      </c>
      <c r="K1554" s="4" t="n">
        <f aca="false">IFERROR(I1554*60,"")</f>
        <v>114.42</v>
      </c>
    </row>
    <row r="1555" customFormat="false" ht="15" hidden="false" customHeight="false" outlineLevel="0" collapsed="false">
      <c r="A1555" s="4" t="s">
        <v>15</v>
      </c>
      <c r="B1555" s="4" t="s">
        <v>1136</v>
      </c>
      <c r="C1555" s="4" t="s">
        <v>1148</v>
      </c>
      <c r="D1555" s="4" t="s">
        <v>357</v>
      </c>
      <c r="E1555" s="4" t="s">
        <v>63</v>
      </c>
      <c r="F1555" s="4" t="s">
        <v>63</v>
      </c>
      <c r="G1555" s="4" t="s">
        <v>1298</v>
      </c>
      <c r="H1555" s="4"/>
      <c r="I1555" s="4" t="n">
        <v>2.1156</v>
      </c>
      <c r="J1555" s="4" t="str">
        <f aca="false">TRIM(E1555) &amp; TRIM(C1555) &amp; TRIM(D1555)</f>
        <v>First ReviewPro Account ProductHU</v>
      </c>
      <c r="K1555" s="4" t="n">
        <f aca="false">IFERROR(I1555*60,"")</f>
        <v>126.936</v>
      </c>
    </row>
    <row r="1556" customFormat="false" ht="15" hidden="false" customHeight="false" outlineLevel="0" collapsed="false">
      <c r="A1556" s="4" t="s">
        <v>15</v>
      </c>
      <c r="B1556" s="4" t="s">
        <v>1136</v>
      </c>
      <c r="C1556" s="4" t="s">
        <v>1153</v>
      </c>
      <c r="D1556" s="4" t="s">
        <v>95</v>
      </c>
      <c r="E1556" s="4" t="s">
        <v>63</v>
      </c>
      <c r="F1556" s="4" t="s">
        <v>63</v>
      </c>
      <c r="G1556" s="4" t="s">
        <v>1299</v>
      </c>
      <c r="H1556" s="4"/>
      <c r="I1556" s="4" t="n">
        <v>2.9704</v>
      </c>
      <c r="J1556" s="4" t="str">
        <f aca="false">TRIM(E1556) &amp; TRIM(C1556) &amp; TRIM(D1556)</f>
        <v>First ReviewPro Account Web Conversion AnchorVN</v>
      </c>
      <c r="K1556" s="4" t="n">
        <f aca="false">IFERROR(I1556*60,"")</f>
        <v>178.224</v>
      </c>
    </row>
    <row r="1557" customFormat="false" ht="15" hidden="false" customHeight="false" outlineLevel="0" collapsed="false">
      <c r="A1557" s="4" t="s">
        <v>15</v>
      </c>
      <c r="B1557" s="4" t="s">
        <v>1136</v>
      </c>
      <c r="C1557" s="4" t="s">
        <v>1137</v>
      </c>
      <c r="D1557" s="4" t="s">
        <v>100</v>
      </c>
      <c r="E1557" s="4" t="s">
        <v>63</v>
      </c>
      <c r="F1557" s="4" t="s">
        <v>63</v>
      </c>
      <c r="G1557" s="4" t="s">
        <v>1300</v>
      </c>
      <c r="H1557" s="4"/>
      <c r="I1557" s="4" t="n">
        <v>0.8316</v>
      </c>
      <c r="J1557" s="4" t="str">
        <f aca="false">TRIM(E1557) &amp; TRIM(C1557) &amp; TRIM(D1557)</f>
        <v>First ReviewBA Ecomm Community VideoAU</v>
      </c>
      <c r="K1557" s="4" t="n">
        <f aca="false">IFERROR(I1557*60,"")</f>
        <v>49.896</v>
      </c>
    </row>
    <row r="1558" customFormat="false" ht="15" hidden="false" customHeight="false" outlineLevel="0" collapsed="false">
      <c r="A1558" s="4" t="s">
        <v>15</v>
      </c>
      <c r="B1558" s="4" t="s">
        <v>1136</v>
      </c>
      <c r="C1558" s="4" t="s">
        <v>1150</v>
      </c>
      <c r="D1558" s="4" t="s">
        <v>106</v>
      </c>
      <c r="E1558" s="4" t="s">
        <v>63</v>
      </c>
      <c r="F1558" s="4" t="s">
        <v>63</v>
      </c>
      <c r="G1558" s="4" t="s">
        <v>1301</v>
      </c>
      <c r="H1558" s="4"/>
      <c r="I1558" s="4" t="n">
        <v>0.8829</v>
      </c>
      <c r="J1558" s="4" t="str">
        <f aca="false">TRIM(E1558) &amp; TRIM(C1558) &amp; TRIM(D1558)</f>
        <v>First ReviewPro Account App Download AnchorMY</v>
      </c>
      <c r="K1558" s="4" t="n">
        <f aca="false">IFERROR(I1558*60,"")</f>
        <v>52.974</v>
      </c>
    </row>
    <row r="1559" customFormat="false" ht="15" hidden="false" customHeight="false" outlineLevel="0" collapsed="false">
      <c r="A1559" s="4" t="s">
        <v>15</v>
      </c>
      <c r="B1559" s="4" t="s">
        <v>1136</v>
      </c>
      <c r="C1559" s="4" t="s">
        <v>1137</v>
      </c>
      <c r="D1559" s="4" t="s">
        <v>308</v>
      </c>
      <c r="E1559" s="4" t="s">
        <v>63</v>
      </c>
      <c r="F1559" s="4" t="s">
        <v>63</v>
      </c>
      <c r="G1559" s="4" t="s">
        <v>1302</v>
      </c>
      <c r="H1559" s="4"/>
      <c r="I1559" s="4" t="n">
        <v>1.9893</v>
      </c>
      <c r="J1559" s="4" t="str">
        <f aca="false">TRIM(E1559) &amp; TRIM(C1559) &amp; TRIM(D1559)</f>
        <v>First ReviewBA Ecomm Community VideoPL</v>
      </c>
      <c r="K1559" s="4" t="n">
        <f aca="false">IFERROR(I1559*60,"")</f>
        <v>119.358</v>
      </c>
    </row>
    <row r="1560" customFormat="false" ht="15" hidden="false" customHeight="false" outlineLevel="0" collapsed="false">
      <c r="A1560" s="4" t="s">
        <v>15</v>
      </c>
      <c r="B1560" s="4" t="s">
        <v>1136</v>
      </c>
      <c r="C1560" s="4" t="s">
        <v>1141</v>
      </c>
      <c r="D1560" s="4" t="s">
        <v>185</v>
      </c>
      <c r="E1560" s="4" t="s">
        <v>63</v>
      </c>
      <c r="F1560" s="4" t="s">
        <v>63</v>
      </c>
      <c r="G1560" s="4" t="s">
        <v>1303</v>
      </c>
      <c r="H1560" s="4"/>
      <c r="I1560" s="4" t="n">
        <v>1.0021</v>
      </c>
      <c r="J1560" s="4" t="str">
        <f aca="false">TRIM(E1560) &amp; TRIM(C1560) &amp; TRIM(D1560)</f>
        <v>First ReviewPro Account 3P Lead Gen AnchorDK</v>
      </c>
      <c r="K1560" s="4" t="n">
        <f aca="false">IFERROR(I1560*60,"")</f>
        <v>60.126</v>
      </c>
    </row>
    <row r="1561" customFormat="false" ht="15" hidden="false" customHeight="false" outlineLevel="0" collapsed="false">
      <c r="A1561" s="4" t="s">
        <v>15</v>
      </c>
      <c r="B1561" s="4" t="s">
        <v>1136</v>
      </c>
      <c r="C1561" s="4" t="s">
        <v>1150</v>
      </c>
      <c r="D1561" s="4" t="s">
        <v>150</v>
      </c>
      <c r="E1561" s="4" t="s">
        <v>63</v>
      </c>
      <c r="F1561" s="4" t="s">
        <v>63</v>
      </c>
      <c r="G1561" s="4" t="s">
        <v>1304</v>
      </c>
      <c r="H1561" s="4"/>
      <c r="I1561" s="4" t="n">
        <v>0.7574</v>
      </c>
      <c r="J1561" s="4" t="str">
        <f aca="false">TRIM(E1561) &amp; TRIM(C1561) &amp; TRIM(D1561)</f>
        <v>First ReviewPro Account App Download AnchorDE</v>
      </c>
      <c r="K1561" s="4" t="n">
        <f aca="false">IFERROR(I1561*60,"")</f>
        <v>45.444</v>
      </c>
    </row>
    <row r="1562" customFormat="false" ht="15" hidden="false" customHeight="false" outlineLevel="0" collapsed="false">
      <c r="A1562" s="4" t="s">
        <v>15</v>
      </c>
      <c r="B1562" s="4" t="s">
        <v>1136</v>
      </c>
      <c r="C1562" s="4" t="s">
        <v>1137</v>
      </c>
      <c r="D1562" s="4" t="s">
        <v>97</v>
      </c>
      <c r="E1562" s="4" t="s">
        <v>63</v>
      </c>
      <c r="F1562" s="4" t="s">
        <v>63</v>
      </c>
      <c r="G1562" s="4" t="s">
        <v>1255</v>
      </c>
      <c r="H1562" s="4"/>
      <c r="I1562" s="4" t="n">
        <v>1.3138</v>
      </c>
      <c r="J1562" s="4" t="str">
        <f aca="false">TRIM(E1562) &amp; TRIM(C1562) &amp; TRIM(D1562)</f>
        <v>First ReviewBA Ecomm Community VideoBR</v>
      </c>
      <c r="K1562" s="4" t="n">
        <f aca="false">IFERROR(I1562*60,"")</f>
        <v>78.828</v>
      </c>
    </row>
    <row r="1563" customFormat="false" ht="15" hidden="false" customHeight="false" outlineLevel="0" collapsed="false">
      <c r="A1563" s="4" t="s">
        <v>15</v>
      </c>
      <c r="B1563" s="4" t="s">
        <v>1136</v>
      </c>
      <c r="C1563" s="4" t="s">
        <v>1148</v>
      </c>
      <c r="D1563" s="4" t="s">
        <v>238</v>
      </c>
      <c r="E1563" s="4" t="s">
        <v>63</v>
      </c>
      <c r="F1563" s="4" t="s">
        <v>63</v>
      </c>
      <c r="G1563" s="4" t="s">
        <v>1305</v>
      </c>
      <c r="H1563" s="4"/>
      <c r="I1563" s="4" t="n">
        <v>1.047</v>
      </c>
      <c r="J1563" s="4" t="str">
        <f aca="false">TRIM(E1563) &amp; TRIM(C1563) &amp; TRIM(D1563)</f>
        <v>First ReviewPro Account ProductCH</v>
      </c>
      <c r="K1563" s="4" t="n">
        <f aca="false">IFERROR(I1563*60,"")</f>
        <v>62.82</v>
      </c>
    </row>
    <row r="1564" customFormat="false" ht="15" hidden="false" customHeight="false" outlineLevel="0" collapsed="false">
      <c r="A1564" s="4" t="s">
        <v>15</v>
      </c>
      <c r="B1564" s="4" t="s">
        <v>1136</v>
      </c>
      <c r="C1564" s="4" t="s">
        <v>1148</v>
      </c>
      <c r="D1564" s="4" t="s">
        <v>154</v>
      </c>
      <c r="E1564" s="4" t="s">
        <v>63</v>
      </c>
      <c r="F1564" s="4" t="s">
        <v>63</v>
      </c>
      <c r="G1564" s="4" t="s">
        <v>1306</v>
      </c>
      <c r="H1564" s="4"/>
      <c r="I1564" s="4" t="n">
        <v>2.1244</v>
      </c>
      <c r="J1564" s="4" t="str">
        <f aca="false">TRIM(E1564) &amp; TRIM(C1564) &amp; TRIM(D1564)</f>
        <v>First ReviewPro Account ProductES</v>
      </c>
      <c r="K1564" s="4" t="n">
        <f aca="false">IFERROR(I1564*60,"")</f>
        <v>127.464</v>
      </c>
    </row>
    <row r="1565" customFormat="false" ht="15" hidden="false" customHeight="false" outlineLevel="0" collapsed="false">
      <c r="A1565" s="4" t="s">
        <v>15</v>
      </c>
      <c r="B1565" s="4" t="s">
        <v>1136</v>
      </c>
      <c r="C1565" s="4" t="s">
        <v>1153</v>
      </c>
      <c r="D1565" s="4" t="s">
        <v>306</v>
      </c>
      <c r="E1565" s="4" t="s">
        <v>63</v>
      </c>
      <c r="F1565" s="4" t="s">
        <v>63</v>
      </c>
      <c r="G1565" s="4" t="s">
        <v>1307</v>
      </c>
      <c r="H1565" s="4"/>
      <c r="I1565" s="4" t="n">
        <v>1.442</v>
      </c>
      <c r="J1565" s="4" t="str">
        <f aca="false">TRIM(E1565) &amp; TRIM(C1565) &amp; TRIM(D1565)</f>
        <v>First ReviewPro Account Web Conversion AnchorTH</v>
      </c>
      <c r="K1565" s="4" t="n">
        <f aca="false">IFERROR(I1565*60,"")</f>
        <v>86.52</v>
      </c>
    </row>
    <row r="1566" customFormat="false" ht="15" hidden="false" customHeight="false" outlineLevel="0" collapsed="false">
      <c r="A1566" s="4" t="s">
        <v>15</v>
      </c>
      <c r="B1566" s="4" t="s">
        <v>1136</v>
      </c>
      <c r="C1566" s="4" t="s">
        <v>1139</v>
      </c>
      <c r="D1566" s="4" t="s">
        <v>87</v>
      </c>
      <c r="E1566" s="4" t="s">
        <v>63</v>
      </c>
      <c r="F1566" s="4" t="s">
        <v>63</v>
      </c>
      <c r="G1566" s="4" t="s">
        <v>1308</v>
      </c>
      <c r="H1566" s="4"/>
      <c r="I1566" s="4" t="n">
        <v>0.6381</v>
      </c>
      <c r="J1566" s="4" t="str">
        <f aca="false">TRIM(E1566) &amp; TRIM(C1566) &amp; TRIM(D1566)</f>
        <v>First ReviewPro Account ROI2 VideoAE</v>
      </c>
      <c r="K1566" s="4" t="n">
        <f aca="false">IFERROR(I1566*60,"")</f>
        <v>38.286</v>
      </c>
    </row>
    <row r="1567" customFormat="false" ht="15" hidden="false" customHeight="false" outlineLevel="0" collapsed="false">
      <c r="A1567" s="4" t="s">
        <v>15</v>
      </c>
      <c r="B1567" s="4" t="s">
        <v>1309</v>
      </c>
      <c r="C1567" s="4" t="s">
        <v>1310</v>
      </c>
      <c r="D1567" s="4" t="s">
        <v>267</v>
      </c>
      <c r="E1567" s="4" t="s">
        <v>63</v>
      </c>
      <c r="F1567" s="4" t="s">
        <v>63</v>
      </c>
      <c r="G1567" s="4" t="s">
        <v>1311</v>
      </c>
      <c r="H1567" s="4"/>
      <c r="I1567" s="4" t="n">
        <v>0.9557</v>
      </c>
      <c r="J1567" s="4" t="str">
        <f aca="false">TRIM(E1567) &amp; TRIM(C1567) &amp; TRIM(D1567)</f>
        <v>First ReviewVideo Safety TaskID</v>
      </c>
      <c r="K1567" s="4" t="n">
        <f aca="false">IFERROR(I1567*60,"")</f>
        <v>57.342</v>
      </c>
    </row>
    <row r="1568" customFormat="false" ht="15" hidden="false" customHeight="false" outlineLevel="0" collapsed="false">
      <c r="A1568" s="4" t="s">
        <v>15</v>
      </c>
      <c r="B1568" s="4" t="s">
        <v>1309</v>
      </c>
      <c r="C1568" s="4" t="s">
        <v>1312</v>
      </c>
      <c r="D1568" s="4" t="s">
        <v>275</v>
      </c>
      <c r="E1568" s="4" t="s">
        <v>63</v>
      </c>
      <c r="F1568" s="4" t="s">
        <v>63</v>
      </c>
      <c r="G1568" s="4" t="s">
        <v>1313</v>
      </c>
      <c r="H1568" s="4"/>
      <c r="I1568" s="4" t="n">
        <v>1.5662</v>
      </c>
      <c r="J1568" s="4" t="str">
        <f aca="false">TRIM(E1568) &amp; TRIM(C1568) &amp; TRIM(D1568)</f>
        <v>First ReviewCFC Requirement TaskGB</v>
      </c>
      <c r="K1568" s="4" t="n">
        <f aca="false">IFERROR(I1568*60,"")</f>
        <v>93.972</v>
      </c>
    </row>
    <row r="1569" customFormat="false" ht="15" hidden="false" customHeight="false" outlineLevel="0" collapsed="false">
      <c r="A1569" s="4" t="s">
        <v>15</v>
      </c>
      <c r="B1569" s="4" t="s">
        <v>1309</v>
      </c>
      <c r="C1569" s="4" t="s">
        <v>1314</v>
      </c>
      <c r="D1569" s="4" t="s">
        <v>306</v>
      </c>
      <c r="E1569" s="4" t="s">
        <v>59</v>
      </c>
      <c r="F1569" s="4" t="s">
        <v>59</v>
      </c>
      <c r="G1569" s="4" t="s">
        <v>1315</v>
      </c>
      <c r="H1569" s="4"/>
      <c r="I1569" s="4" t="n">
        <v>1.0908</v>
      </c>
      <c r="J1569" s="4" t="str">
        <f aca="false">TRIM(E1569) &amp; TRIM(C1569) &amp; TRIM(D1569)</f>
        <v>Re-reviewAdv Requirement TaskTH</v>
      </c>
      <c r="K1569" s="4" t="n">
        <f aca="false">IFERROR(I1569*60,"")</f>
        <v>65.448</v>
      </c>
    </row>
    <row r="1570" customFormat="false" ht="15" hidden="false" customHeight="false" outlineLevel="0" collapsed="false">
      <c r="A1570" s="4" t="s">
        <v>15</v>
      </c>
      <c r="B1570" s="4" t="s">
        <v>1309</v>
      </c>
      <c r="C1570" s="4" t="s">
        <v>1312</v>
      </c>
      <c r="D1570" s="4" t="s">
        <v>267</v>
      </c>
      <c r="E1570" s="4" t="s">
        <v>63</v>
      </c>
      <c r="F1570" s="4" t="s">
        <v>63</v>
      </c>
      <c r="G1570" s="4" t="s">
        <v>1316</v>
      </c>
      <c r="H1570" s="4"/>
      <c r="I1570" s="4" t="n">
        <v>1.0315</v>
      </c>
      <c r="J1570" s="4" t="str">
        <f aca="false">TRIM(E1570) &amp; TRIM(C1570) &amp; TRIM(D1570)</f>
        <v>First ReviewCFC Requirement TaskID</v>
      </c>
      <c r="K1570" s="4" t="n">
        <f aca="false">IFERROR(I1570*60,"")</f>
        <v>61.89</v>
      </c>
    </row>
    <row r="1571" customFormat="false" ht="15" hidden="false" customHeight="false" outlineLevel="0" collapsed="false">
      <c r="A1571" s="4" t="s">
        <v>15</v>
      </c>
      <c r="B1571" s="4" t="s">
        <v>1309</v>
      </c>
      <c r="C1571" s="4" t="s">
        <v>1314</v>
      </c>
      <c r="D1571" s="4" t="s">
        <v>95</v>
      </c>
      <c r="E1571" s="4" t="s">
        <v>63</v>
      </c>
      <c r="F1571" s="4" t="s">
        <v>63</v>
      </c>
      <c r="G1571" s="4" t="s">
        <v>1317</v>
      </c>
      <c r="H1571" s="4"/>
      <c r="I1571" s="4" t="n">
        <v>1.6169</v>
      </c>
      <c r="J1571" s="4" t="str">
        <f aca="false">TRIM(E1571) &amp; TRIM(C1571) &amp; TRIM(D1571)</f>
        <v>First ReviewAdv Requirement TaskVN</v>
      </c>
      <c r="K1571" s="4" t="n">
        <f aca="false">IFERROR(I1571*60,"")</f>
        <v>97.014</v>
      </c>
    </row>
    <row r="1572" customFormat="false" ht="15" hidden="false" customHeight="false" outlineLevel="0" collapsed="false">
      <c r="A1572" s="4" t="s">
        <v>15</v>
      </c>
      <c r="B1572" s="4" t="s">
        <v>1309</v>
      </c>
      <c r="C1572" s="4" t="s">
        <v>1310</v>
      </c>
      <c r="D1572" s="4" t="s">
        <v>150</v>
      </c>
      <c r="E1572" s="4" t="s">
        <v>63</v>
      </c>
      <c r="F1572" s="4" t="s">
        <v>63</v>
      </c>
      <c r="G1572" s="4" t="s">
        <v>1318</v>
      </c>
      <c r="H1572" s="4"/>
      <c r="I1572" s="4" t="n">
        <v>1.1485</v>
      </c>
      <c r="J1572" s="4" t="str">
        <f aca="false">TRIM(E1572) &amp; TRIM(C1572) &amp; TRIM(D1572)</f>
        <v>First ReviewVideo Safety TaskDE</v>
      </c>
      <c r="K1572" s="4" t="n">
        <f aca="false">IFERROR(I1572*60,"")</f>
        <v>68.91</v>
      </c>
    </row>
    <row r="1573" customFormat="false" ht="15" hidden="false" customHeight="false" outlineLevel="0" collapsed="false">
      <c r="A1573" s="4" t="s">
        <v>15</v>
      </c>
      <c r="B1573" s="4" t="s">
        <v>1309</v>
      </c>
      <c r="C1573" s="4" t="s">
        <v>1314</v>
      </c>
      <c r="D1573" s="4" t="s">
        <v>111</v>
      </c>
      <c r="E1573" s="4" t="s">
        <v>59</v>
      </c>
      <c r="F1573" s="4" t="s">
        <v>59</v>
      </c>
      <c r="G1573" s="4" t="s">
        <v>1319</v>
      </c>
      <c r="H1573" s="4"/>
      <c r="I1573" s="4" t="n">
        <v>1.4415</v>
      </c>
      <c r="J1573" s="4" t="str">
        <f aca="false">TRIM(E1573) &amp; TRIM(C1573) &amp; TRIM(D1573)</f>
        <v>Re-reviewAdv Requirement TaskUS</v>
      </c>
      <c r="K1573" s="4" t="n">
        <f aca="false">IFERROR(I1573*60,"")</f>
        <v>86.49</v>
      </c>
    </row>
    <row r="1574" customFormat="false" ht="15" hidden="false" customHeight="false" outlineLevel="0" collapsed="false">
      <c r="A1574" s="4" t="s">
        <v>15</v>
      </c>
      <c r="B1574" s="4" t="s">
        <v>1309</v>
      </c>
      <c r="C1574" s="4" t="s">
        <v>1310</v>
      </c>
      <c r="D1574" s="4" t="s">
        <v>97</v>
      </c>
      <c r="E1574" s="4" t="s">
        <v>63</v>
      </c>
      <c r="F1574" s="4" t="s">
        <v>63</v>
      </c>
      <c r="G1574" s="4" t="s">
        <v>1320</v>
      </c>
      <c r="H1574" s="4"/>
      <c r="I1574" s="4" t="n">
        <v>0.4052</v>
      </c>
      <c r="J1574" s="4" t="str">
        <f aca="false">TRIM(E1574) &amp; TRIM(C1574) &amp; TRIM(D1574)</f>
        <v>First ReviewVideo Safety TaskBR</v>
      </c>
      <c r="K1574" s="4" t="n">
        <f aca="false">IFERROR(I1574*60,"")</f>
        <v>24.312</v>
      </c>
    </row>
    <row r="1575" customFormat="false" ht="15" hidden="false" customHeight="false" outlineLevel="0" collapsed="false">
      <c r="A1575" s="4" t="s">
        <v>15</v>
      </c>
      <c r="B1575" s="4" t="s">
        <v>1309</v>
      </c>
      <c r="C1575" s="4" t="s">
        <v>1312</v>
      </c>
      <c r="D1575" s="4" t="s">
        <v>235</v>
      </c>
      <c r="E1575" s="4" t="s">
        <v>63</v>
      </c>
      <c r="F1575" s="4" t="s">
        <v>63</v>
      </c>
      <c r="G1575" s="4" t="s">
        <v>1321</v>
      </c>
      <c r="H1575" s="4"/>
      <c r="I1575" s="4" t="n">
        <v>1.0819</v>
      </c>
      <c r="J1575" s="4" t="str">
        <f aca="false">TRIM(E1575) &amp; TRIM(C1575) &amp; TRIM(D1575)</f>
        <v>First ReviewCFC Requirement TaskJP</v>
      </c>
      <c r="K1575" s="4" t="n">
        <f aca="false">IFERROR(I1575*60,"")</f>
        <v>64.914</v>
      </c>
    </row>
    <row r="1576" customFormat="false" ht="15" hidden="false" customHeight="false" outlineLevel="0" collapsed="false">
      <c r="A1576" s="4" t="s">
        <v>15</v>
      </c>
      <c r="B1576" s="4" t="s">
        <v>1309</v>
      </c>
      <c r="C1576" s="4" t="s">
        <v>1314</v>
      </c>
      <c r="D1576" s="4" t="s">
        <v>267</v>
      </c>
      <c r="E1576" s="4" t="s">
        <v>63</v>
      </c>
      <c r="F1576" s="4" t="s">
        <v>63</v>
      </c>
      <c r="G1576" s="4" t="s">
        <v>1322</v>
      </c>
      <c r="H1576" s="4"/>
      <c r="I1576" s="4" t="n">
        <v>1.0883</v>
      </c>
      <c r="J1576" s="4" t="str">
        <f aca="false">TRIM(E1576) &amp; TRIM(C1576) &amp; TRIM(D1576)</f>
        <v>First ReviewAdv Requirement TaskID</v>
      </c>
      <c r="K1576" s="4" t="n">
        <f aca="false">IFERROR(I1576*60,"")</f>
        <v>65.298</v>
      </c>
    </row>
    <row r="1577" customFormat="false" ht="15" hidden="false" customHeight="false" outlineLevel="0" collapsed="false">
      <c r="A1577" s="4" t="s">
        <v>15</v>
      </c>
      <c r="B1577" s="4" t="s">
        <v>1309</v>
      </c>
      <c r="C1577" s="4" t="s">
        <v>1314</v>
      </c>
      <c r="D1577" s="4" t="s">
        <v>275</v>
      </c>
      <c r="E1577" s="4" t="s">
        <v>63</v>
      </c>
      <c r="F1577" s="4" t="s">
        <v>63</v>
      </c>
      <c r="G1577" s="4" t="s">
        <v>1323</v>
      </c>
      <c r="H1577" s="4"/>
      <c r="I1577" s="4" t="n">
        <v>1.4078</v>
      </c>
      <c r="J1577" s="4" t="str">
        <f aca="false">TRIM(E1577) &amp; TRIM(C1577) &amp; TRIM(D1577)</f>
        <v>First ReviewAdv Requirement TaskGB</v>
      </c>
      <c r="K1577" s="4" t="n">
        <f aca="false">IFERROR(I1577*60,"")</f>
        <v>84.468</v>
      </c>
    </row>
    <row r="1578" customFormat="false" ht="15" hidden="false" customHeight="false" outlineLevel="0" collapsed="false">
      <c r="A1578" s="4" t="s">
        <v>15</v>
      </c>
      <c r="B1578" s="4" t="s">
        <v>1309</v>
      </c>
      <c r="C1578" s="4" t="s">
        <v>1310</v>
      </c>
      <c r="D1578" s="4" t="s">
        <v>126</v>
      </c>
      <c r="E1578" s="4" t="s">
        <v>63</v>
      </c>
      <c r="F1578" s="4" t="s">
        <v>63</v>
      </c>
      <c r="G1578" s="4" t="s">
        <v>1324</v>
      </c>
      <c r="H1578" s="4"/>
      <c r="I1578" s="4" t="n">
        <v>0.7055</v>
      </c>
      <c r="J1578" s="4" t="str">
        <f aca="false">TRIM(E1578) &amp; TRIM(C1578) &amp; TRIM(D1578)</f>
        <v>First ReviewVideo Safety TaskMX</v>
      </c>
      <c r="K1578" s="4" t="n">
        <f aca="false">IFERROR(I1578*60,"")</f>
        <v>42.33</v>
      </c>
    </row>
    <row r="1579" customFormat="false" ht="15" hidden="false" customHeight="false" outlineLevel="0" collapsed="false">
      <c r="A1579" s="4" t="s">
        <v>15</v>
      </c>
      <c r="B1579" s="4" t="s">
        <v>1309</v>
      </c>
      <c r="C1579" s="4" t="s">
        <v>1314</v>
      </c>
      <c r="D1579" s="4" t="s">
        <v>150</v>
      </c>
      <c r="E1579" s="4" t="s">
        <v>63</v>
      </c>
      <c r="F1579" s="4" t="s">
        <v>63</v>
      </c>
      <c r="G1579" s="4" t="s">
        <v>1325</v>
      </c>
      <c r="H1579" s="4"/>
      <c r="I1579" s="4" t="n">
        <v>1.4383</v>
      </c>
      <c r="J1579" s="4" t="str">
        <f aca="false">TRIM(E1579) &amp; TRIM(C1579) &amp; TRIM(D1579)</f>
        <v>First ReviewAdv Requirement TaskDE</v>
      </c>
      <c r="K1579" s="4" t="n">
        <f aca="false">IFERROR(I1579*60,"")</f>
        <v>86.298</v>
      </c>
    </row>
    <row r="1580" customFormat="false" ht="15" hidden="false" customHeight="false" outlineLevel="0" collapsed="false">
      <c r="A1580" s="4" t="s">
        <v>15</v>
      </c>
      <c r="B1580" s="4" t="s">
        <v>1309</v>
      </c>
      <c r="C1580" s="4" t="s">
        <v>1314</v>
      </c>
      <c r="D1580" s="4" t="s">
        <v>121</v>
      </c>
      <c r="E1580" s="4" t="s">
        <v>63</v>
      </c>
      <c r="F1580" s="4" t="s">
        <v>63</v>
      </c>
      <c r="G1580" s="4" t="s">
        <v>1326</v>
      </c>
      <c r="H1580" s="4"/>
      <c r="I1580" s="4" t="n">
        <v>1.329</v>
      </c>
      <c r="J1580" s="4" t="str">
        <f aca="false">TRIM(E1580) &amp; TRIM(C1580) &amp; TRIM(D1580)</f>
        <v>First ReviewAdv Requirement TaskKR</v>
      </c>
      <c r="K1580" s="4" t="n">
        <f aca="false">IFERROR(I1580*60,"")</f>
        <v>79.74</v>
      </c>
    </row>
    <row r="1581" customFormat="false" ht="15" hidden="false" customHeight="false" outlineLevel="0" collapsed="false">
      <c r="A1581" s="4" t="s">
        <v>15</v>
      </c>
      <c r="B1581" s="4" t="s">
        <v>1309</v>
      </c>
      <c r="C1581" s="4" t="s">
        <v>1314</v>
      </c>
      <c r="D1581" s="4" t="s">
        <v>306</v>
      </c>
      <c r="E1581" s="4" t="s">
        <v>63</v>
      </c>
      <c r="F1581" s="4" t="s">
        <v>63</v>
      </c>
      <c r="G1581" s="4" t="s">
        <v>1315</v>
      </c>
      <c r="H1581" s="4"/>
      <c r="I1581" s="4" t="n">
        <v>1.1185</v>
      </c>
      <c r="J1581" s="4" t="str">
        <f aca="false">TRIM(E1581) &amp; TRIM(C1581) &amp; TRIM(D1581)</f>
        <v>First ReviewAdv Requirement TaskTH</v>
      </c>
      <c r="K1581" s="4" t="n">
        <f aca="false">IFERROR(I1581*60,"")</f>
        <v>67.11</v>
      </c>
    </row>
    <row r="1582" customFormat="false" ht="15" hidden="false" customHeight="false" outlineLevel="0" collapsed="false">
      <c r="A1582" s="4" t="s">
        <v>15</v>
      </c>
      <c r="B1582" s="4" t="s">
        <v>1309</v>
      </c>
      <c r="C1582" s="4" t="s">
        <v>1312</v>
      </c>
      <c r="D1582" s="4" t="s">
        <v>306</v>
      </c>
      <c r="E1582" s="4" t="s">
        <v>63</v>
      </c>
      <c r="F1582" s="4" t="s">
        <v>63</v>
      </c>
      <c r="G1582" s="4" t="s">
        <v>1327</v>
      </c>
      <c r="H1582" s="4"/>
      <c r="I1582" s="4" t="n">
        <v>1.3206</v>
      </c>
      <c r="J1582" s="4" t="str">
        <f aca="false">TRIM(E1582) &amp; TRIM(C1582) &amp; TRIM(D1582)</f>
        <v>First ReviewCFC Requirement TaskTH</v>
      </c>
      <c r="K1582" s="4" t="n">
        <f aca="false">IFERROR(I1582*60,"")</f>
        <v>79.236</v>
      </c>
    </row>
    <row r="1583" customFormat="false" ht="15" hidden="false" customHeight="false" outlineLevel="0" collapsed="false">
      <c r="A1583" s="4" t="s">
        <v>15</v>
      </c>
      <c r="B1583" s="4" t="s">
        <v>1309</v>
      </c>
      <c r="C1583" s="4" t="s">
        <v>1314</v>
      </c>
      <c r="D1583" s="4" t="s">
        <v>157</v>
      </c>
      <c r="E1583" s="4" t="s">
        <v>63</v>
      </c>
      <c r="F1583" s="4" t="s">
        <v>63</v>
      </c>
      <c r="G1583" s="4" t="s">
        <v>1328</v>
      </c>
      <c r="H1583" s="4"/>
      <c r="I1583" s="4" t="n">
        <v>0.964</v>
      </c>
      <c r="J1583" s="4" t="str">
        <f aca="false">TRIM(E1583) &amp; TRIM(C1583) &amp; TRIM(D1583)</f>
        <v>First ReviewAdv Requirement TaskSA</v>
      </c>
      <c r="K1583" s="4" t="n">
        <f aca="false">IFERROR(I1583*60,"")</f>
        <v>57.84</v>
      </c>
    </row>
    <row r="1584" customFormat="false" ht="15" hidden="false" customHeight="false" outlineLevel="0" collapsed="false">
      <c r="A1584" s="4" t="s">
        <v>15</v>
      </c>
      <c r="B1584" s="4" t="s">
        <v>1309</v>
      </c>
      <c r="C1584" s="4" t="s">
        <v>1312</v>
      </c>
      <c r="D1584" s="4" t="s">
        <v>157</v>
      </c>
      <c r="E1584" s="4" t="s">
        <v>63</v>
      </c>
      <c r="F1584" s="4" t="s">
        <v>63</v>
      </c>
      <c r="G1584" s="4" t="s">
        <v>1329</v>
      </c>
      <c r="H1584" s="4"/>
      <c r="I1584" s="4" t="n">
        <v>1.2848</v>
      </c>
      <c r="J1584" s="4" t="str">
        <f aca="false">TRIM(E1584) &amp; TRIM(C1584) &amp; TRIM(D1584)</f>
        <v>First ReviewCFC Requirement TaskSA</v>
      </c>
      <c r="K1584" s="4" t="n">
        <f aca="false">IFERROR(I1584*60,"")</f>
        <v>77.088</v>
      </c>
    </row>
    <row r="1585" customFormat="false" ht="15" hidden="false" customHeight="false" outlineLevel="0" collapsed="false">
      <c r="A1585" s="4" t="s">
        <v>15</v>
      </c>
      <c r="B1585" s="4" t="s">
        <v>1309</v>
      </c>
      <c r="C1585" s="4" t="s">
        <v>1312</v>
      </c>
      <c r="D1585" s="4" t="s">
        <v>150</v>
      </c>
      <c r="E1585" s="4" t="s">
        <v>63</v>
      </c>
      <c r="F1585" s="4" t="s">
        <v>63</v>
      </c>
      <c r="G1585" s="4" t="s">
        <v>1330</v>
      </c>
      <c r="H1585" s="4"/>
      <c r="I1585" s="4" t="n">
        <v>1.7937</v>
      </c>
      <c r="J1585" s="4" t="str">
        <f aca="false">TRIM(E1585) &amp; TRIM(C1585) &amp; TRIM(D1585)</f>
        <v>First ReviewCFC Requirement TaskDE</v>
      </c>
      <c r="K1585" s="4" t="n">
        <f aca="false">IFERROR(I1585*60,"")</f>
        <v>107.622</v>
      </c>
    </row>
    <row r="1586" customFormat="false" ht="15" hidden="false" customHeight="false" outlineLevel="0" collapsed="false">
      <c r="A1586" s="4" t="s">
        <v>15</v>
      </c>
      <c r="B1586" s="4" t="s">
        <v>1309</v>
      </c>
      <c r="C1586" s="4" t="s">
        <v>1312</v>
      </c>
      <c r="D1586" s="4" t="s">
        <v>121</v>
      </c>
      <c r="E1586" s="4" t="s">
        <v>63</v>
      </c>
      <c r="F1586" s="4" t="s">
        <v>63</v>
      </c>
      <c r="G1586" s="4" t="s">
        <v>1331</v>
      </c>
      <c r="H1586" s="4"/>
      <c r="I1586" s="4" t="n">
        <v>1.0472</v>
      </c>
      <c r="J1586" s="4" t="str">
        <f aca="false">TRIM(E1586) &amp; TRIM(C1586) &amp; TRIM(D1586)</f>
        <v>First ReviewCFC Requirement TaskKR</v>
      </c>
      <c r="K1586" s="4" t="n">
        <f aca="false">IFERROR(I1586*60,"")</f>
        <v>62.832</v>
      </c>
    </row>
    <row r="1587" customFormat="false" ht="15" hidden="false" customHeight="false" outlineLevel="0" collapsed="false">
      <c r="A1587" s="4" t="s">
        <v>15</v>
      </c>
      <c r="B1587" s="4" t="s">
        <v>1309</v>
      </c>
      <c r="C1587" s="4" t="s">
        <v>1310</v>
      </c>
      <c r="D1587" s="4" t="s">
        <v>235</v>
      </c>
      <c r="E1587" s="4" t="s">
        <v>63</v>
      </c>
      <c r="F1587" s="4" t="s">
        <v>63</v>
      </c>
      <c r="G1587" s="4" t="s">
        <v>1332</v>
      </c>
      <c r="H1587" s="4"/>
      <c r="I1587" s="4" t="n">
        <v>1.1609</v>
      </c>
      <c r="J1587" s="4" t="str">
        <f aca="false">TRIM(E1587) &amp; TRIM(C1587) &amp; TRIM(D1587)</f>
        <v>First ReviewVideo Safety TaskJP</v>
      </c>
      <c r="K1587" s="4" t="n">
        <f aca="false">IFERROR(I1587*60,"")</f>
        <v>69.654</v>
      </c>
    </row>
    <row r="1588" customFormat="false" ht="15" hidden="false" customHeight="false" outlineLevel="0" collapsed="false">
      <c r="A1588" s="4" t="s">
        <v>15</v>
      </c>
      <c r="B1588" s="4" t="s">
        <v>1309</v>
      </c>
      <c r="C1588" s="4" t="s">
        <v>1314</v>
      </c>
      <c r="D1588" s="4" t="s">
        <v>121</v>
      </c>
      <c r="E1588" s="4" t="s">
        <v>59</v>
      </c>
      <c r="F1588" s="4" t="s">
        <v>59</v>
      </c>
      <c r="G1588" s="4" t="s">
        <v>1326</v>
      </c>
      <c r="H1588" s="4"/>
      <c r="I1588" s="4" t="n">
        <v>1.063</v>
      </c>
      <c r="J1588" s="4" t="str">
        <f aca="false">TRIM(E1588) &amp; TRIM(C1588) &amp; TRIM(D1588)</f>
        <v>Re-reviewAdv Requirement TaskKR</v>
      </c>
      <c r="K1588" s="4" t="n">
        <f aca="false">IFERROR(I1588*60,"")</f>
        <v>63.78</v>
      </c>
    </row>
    <row r="1589" customFormat="false" ht="15" hidden="false" customHeight="false" outlineLevel="0" collapsed="false">
      <c r="A1589" s="4" t="s">
        <v>15</v>
      </c>
      <c r="B1589" s="4" t="s">
        <v>1309</v>
      </c>
      <c r="C1589" s="4" t="s">
        <v>1312</v>
      </c>
      <c r="D1589" s="4" t="s">
        <v>97</v>
      </c>
      <c r="E1589" s="4" t="s">
        <v>63</v>
      </c>
      <c r="F1589" s="4" t="s">
        <v>63</v>
      </c>
      <c r="G1589" s="4" t="s">
        <v>1333</v>
      </c>
      <c r="H1589" s="4"/>
      <c r="I1589" s="4" t="n">
        <v>0.7511</v>
      </c>
      <c r="J1589" s="4" t="str">
        <f aca="false">TRIM(E1589) &amp; TRIM(C1589) &amp; TRIM(D1589)</f>
        <v>First ReviewCFC Requirement TaskBR</v>
      </c>
      <c r="K1589" s="4" t="n">
        <f aca="false">IFERROR(I1589*60,"")</f>
        <v>45.066</v>
      </c>
    </row>
    <row r="1590" customFormat="false" ht="15" hidden="false" customHeight="false" outlineLevel="0" collapsed="false">
      <c r="A1590" s="4" t="s">
        <v>15</v>
      </c>
      <c r="B1590" s="4" t="s">
        <v>1309</v>
      </c>
      <c r="C1590" s="4" t="s">
        <v>1310</v>
      </c>
      <c r="D1590" s="4" t="s">
        <v>111</v>
      </c>
      <c r="E1590" s="4" t="s">
        <v>59</v>
      </c>
      <c r="F1590" s="4" t="s">
        <v>59</v>
      </c>
      <c r="G1590" s="4" t="s">
        <v>1334</v>
      </c>
      <c r="H1590" s="4"/>
      <c r="I1590" s="4" t="n">
        <v>1.4558</v>
      </c>
      <c r="J1590" s="4" t="str">
        <f aca="false">TRIM(E1590) &amp; TRIM(C1590) &amp; TRIM(D1590)</f>
        <v>Re-reviewVideo Safety TaskUS</v>
      </c>
      <c r="K1590" s="4" t="n">
        <f aca="false">IFERROR(I1590*60,"")</f>
        <v>87.348</v>
      </c>
    </row>
    <row r="1591" customFormat="false" ht="15" hidden="false" customHeight="false" outlineLevel="0" collapsed="false">
      <c r="A1591" s="4" t="s">
        <v>15</v>
      </c>
      <c r="B1591" s="4" t="s">
        <v>1309</v>
      </c>
      <c r="C1591" s="4" t="s">
        <v>1314</v>
      </c>
      <c r="D1591" s="4" t="s">
        <v>97</v>
      </c>
      <c r="E1591" s="4" t="s">
        <v>63</v>
      </c>
      <c r="F1591" s="4" t="s">
        <v>63</v>
      </c>
      <c r="G1591" s="4" t="s">
        <v>1335</v>
      </c>
      <c r="H1591" s="4"/>
      <c r="I1591" s="4" t="n">
        <v>0.773</v>
      </c>
      <c r="J1591" s="4" t="str">
        <f aca="false">TRIM(E1591) &amp; TRIM(C1591) &amp; TRIM(D1591)</f>
        <v>First ReviewAdv Requirement TaskBR</v>
      </c>
      <c r="K1591" s="4" t="n">
        <f aca="false">IFERROR(I1591*60,"")</f>
        <v>46.38</v>
      </c>
    </row>
    <row r="1592" customFormat="false" ht="15" hidden="false" customHeight="false" outlineLevel="0" collapsed="false">
      <c r="A1592" s="4" t="s">
        <v>15</v>
      </c>
      <c r="B1592" s="4" t="s">
        <v>1309</v>
      </c>
      <c r="C1592" s="4" t="s">
        <v>1310</v>
      </c>
      <c r="D1592" s="4" t="s">
        <v>275</v>
      </c>
      <c r="E1592" s="4" t="s">
        <v>63</v>
      </c>
      <c r="F1592" s="4" t="s">
        <v>63</v>
      </c>
      <c r="G1592" s="4" t="s">
        <v>1336</v>
      </c>
      <c r="H1592" s="4"/>
      <c r="I1592" s="4" t="n">
        <v>1.0314</v>
      </c>
      <c r="J1592" s="4" t="str">
        <f aca="false">TRIM(E1592) &amp; TRIM(C1592) &amp; TRIM(D1592)</f>
        <v>First ReviewVideo Safety TaskGB</v>
      </c>
      <c r="K1592" s="4" t="n">
        <f aca="false">IFERROR(I1592*60,"")</f>
        <v>61.884</v>
      </c>
    </row>
    <row r="1593" customFormat="false" ht="15" hidden="false" customHeight="false" outlineLevel="0" collapsed="false">
      <c r="A1593" s="4" t="s">
        <v>15</v>
      </c>
      <c r="B1593" s="4" t="s">
        <v>1309</v>
      </c>
      <c r="C1593" s="4" t="s">
        <v>1310</v>
      </c>
      <c r="D1593" s="4" t="s">
        <v>95</v>
      </c>
      <c r="E1593" s="4" t="s">
        <v>63</v>
      </c>
      <c r="F1593" s="4" t="s">
        <v>63</v>
      </c>
      <c r="G1593" s="4" t="s">
        <v>1337</v>
      </c>
      <c r="H1593" s="4"/>
      <c r="I1593" s="4" t="n">
        <v>1.8717</v>
      </c>
      <c r="J1593" s="4" t="str">
        <f aca="false">TRIM(E1593) &amp; TRIM(C1593) &amp; TRIM(D1593)</f>
        <v>First ReviewVideo Safety TaskVN</v>
      </c>
      <c r="K1593" s="4" t="n">
        <f aca="false">IFERROR(I1593*60,"")</f>
        <v>112.302</v>
      </c>
    </row>
    <row r="1594" customFormat="false" ht="15" hidden="false" customHeight="false" outlineLevel="0" collapsed="false">
      <c r="A1594" s="4" t="s">
        <v>15</v>
      </c>
      <c r="B1594" s="4" t="s">
        <v>1309</v>
      </c>
      <c r="C1594" s="4" t="s">
        <v>1314</v>
      </c>
      <c r="D1594" s="4" t="s">
        <v>157</v>
      </c>
      <c r="E1594" s="4" t="s">
        <v>59</v>
      </c>
      <c r="F1594" s="4" t="s">
        <v>59</v>
      </c>
      <c r="G1594" s="4" t="s">
        <v>1328</v>
      </c>
      <c r="H1594" s="4"/>
      <c r="I1594" s="4" t="n">
        <v>2.3546</v>
      </c>
      <c r="J1594" s="4" t="str">
        <f aca="false">TRIM(E1594) &amp; TRIM(C1594) &amp; TRIM(D1594)</f>
        <v>Re-reviewAdv Requirement TaskSA</v>
      </c>
      <c r="K1594" s="4" t="n">
        <f aca="false">IFERROR(I1594*60,"")</f>
        <v>141.276</v>
      </c>
    </row>
    <row r="1595" customFormat="false" ht="15" hidden="false" customHeight="false" outlineLevel="0" collapsed="false">
      <c r="A1595" s="4" t="s">
        <v>15</v>
      </c>
      <c r="B1595" s="4" t="s">
        <v>1309</v>
      </c>
      <c r="C1595" s="4" t="s">
        <v>1310</v>
      </c>
      <c r="D1595" s="4" t="s">
        <v>235</v>
      </c>
      <c r="E1595" s="4" t="s">
        <v>59</v>
      </c>
      <c r="F1595" s="4" t="s">
        <v>59</v>
      </c>
      <c r="G1595" s="4" t="s">
        <v>1332</v>
      </c>
      <c r="H1595" s="4"/>
      <c r="I1595" s="4" t="n">
        <v>1.6756</v>
      </c>
      <c r="J1595" s="4" t="str">
        <f aca="false">TRIM(E1595) &amp; TRIM(C1595) &amp; TRIM(D1595)</f>
        <v>Re-reviewVideo Safety TaskJP</v>
      </c>
      <c r="K1595" s="4" t="n">
        <f aca="false">IFERROR(I1595*60,"")</f>
        <v>100.536</v>
      </c>
    </row>
    <row r="1596" customFormat="false" ht="15" hidden="false" customHeight="false" outlineLevel="0" collapsed="false">
      <c r="A1596" s="4" t="s">
        <v>15</v>
      </c>
      <c r="B1596" s="4" t="s">
        <v>1309</v>
      </c>
      <c r="C1596" s="4" t="s">
        <v>1314</v>
      </c>
      <c r="D1596" s="4" t="s">
        <v>126</v>
      </c>
      <c r="E1596" s="4" t="s">
        <v>63</v>
      </c>
      <c r="F1596" s="4" t="s">
        <v>63</v>
      </c>
      <c r="G1596" s="4" t="s">
        <v>1338</v>
      </c>
      <c r="H1596" s="4"/>
      <c r="I1596" s="4" t="n">
        <v>0.7145</v>
      </c>
      <c r="J1596" s="4" t="str">
        <f aca="false">TRIM(E1596) &amp; TRIM(C1596) &amp; TRIM(D1596)</f>
        <v>First ReviewAdv Requirement TaskMX</v>
      </c>
      <c r="K1596" s="4" t="n">
        <f aca="false">IFERROR(I1596*60,"")</f>
        <v>42.87</v>
      </c>
    </row>
    <row r="1597" customFormat="false" ht="15" hidden="false" customHeight="false" outlineLevel="0" collapsed="false">
      <c r="A1597" s="4" t="s">
        <v>15</v>
      </c>
      <c r="B1597" s="4" t="s">
        <v>1309</v>
      </c>
      <c r="C1597" s="4" t="s">
        <v>1314</v>
      </c>
      <c r="D1597" s="4" t="s">
        <v>111</v>
      </c>
      <c r="E1597" s="4" t="s">
        <v>63</v>
      </c>
      <c r="F1597" s="4" t="s">
        <v>63</v>
      </c>
      <c r="G1597" s="4" t="s">
        <v>1319</v>
      </c>
      <c r="H1597" s="4"/>
      <c r="I1597" s="4" t="n">
        <v>1.0753</v>
      </c>
      <c r="J1597" s="4" t="str">
        <f aca="false">TRIM(E1597) &amp; TRIM(C1597) &amp; TRIM(D1597)</f>
        <v>First ReviewAdv Requirement TaskUS</v>
      </c>
      <c r="K1597" s="4" t="n">
        <f aca="false">IFERROR(I1597*60,"")</f>
        <v>64.518</v>
      </c>
    </row>
    <row r="1598" customFormat="false" ht="15" hidden="false" customHeight="false" outlineLevel="0" collapsed="false">
      <c r="A1598" s="4" t="s">
        <v>15</v>
      </c>
      <c r="B1598" s="4" t="s">
        <v>1309</v>
      </c>
      <c r="C1598" s="4" t="s">
        <v>1310</v>
      </c>
      <c r="D1598" s="4" t="s">
        <v>121</v>
      </c>
      <c r="E1598" s="4" t="s">
        <v>63</v>
      </c>
      <c r="F1598" s="4" t="s">
        <v>63</v>
      </c>
      <c r="G1598" s="4" t="s">
        <v>1339</v>
      </c>
      <c r="H1598" s="4"/>
      <c r="I1598" s="4" t="n">
        <v>1.0179</v>
      </c>
      <c r="J1598" s="4" t="str">
        <f aca="false">TRIM(E1598) &amp; TRIM(C1598) &amp; TRIM(D1598)</f>
        <v>First ReviewVideo Safety TaskKR</v>
      </c>
      <c r="K1598" s="4" t="n">
        <f aca="false">IFERROR(I1598*60,"")</f>
        <v>61.074</v>
      </c>
    </row>
    <row r="1599" customFormat="false" ht="15" hidden="false" customHeight="false" outlineLevel="0" collapsed="false">
      <c r="A1599" s="4" t="s">
        <v>15</v>
      </c>
      <c r="B1599" s="4" t="s">
        <v>1309</v>
      </c>
      <c r="C1599" s="4" t="s">
        <v>1310</v>
      </c>
      <c r="D1599" s="4" t="s">
        <v>157</v>
      </c>
      <c r="E1599" s="4" t="s">
        <v>63</v>
      </c>
      <c r="F1599" s="4" t="s">
        <v>63</v>
      </c>
      <c r="G1599" s="4" t="s">
        <v>1340</v>
      </c>
      <c r="H1599" s="4"/>
      <c r="I1599" s="4" t="n">
        <v>1.0444</v>
      </c>
      <c r="J1599" s="4" t="str">
        <f aca="false">TRIM(E1599) &amp; TRIM(C1599) &amp; TRIM(D1599)</f>
        <v>First ReviewVideo Safety TaskSA</v>
      </c>
      <c r="K1599" s="4" t="n">
        <f aca="false">IFERROR(I1599*60,"")</f>
        <v>62.664</v>
      </c>
    </row>
    <row r="1600" customFormat="false" ht="15" hidden="false" customHeight="false" outlineLevel="0" collapsed="false">
      <c r="A1600" s="4" t="s">
        <v>15</v>
      </c>
      <c r="B1600" s="4" t="s">
        <v>1309</v>
      </c>
      <c r="C1600" s="4" t="s">
        <v>1312</v>
      </c>
      <c r="D1600" s="4" t="s">
        <v>126</v>
      </c>
      <c r="E1600" s="4" t="s">
        <v>63</v>
      </c>
      <c r="F1600" s="4" t="s">
        <v>63</v>
      </c>
      <c r="G1600" s="4" t="s">
        <v>1341</v>
      </c>
      <c r="H1600" s="4"/>
      <c r="I1600" s="4" t="n">
        <v>0.956</v>
      </c>
      <c r="J1600" s="4" t="str">
        <f aca="false">TRIM(E1600) &amp; TRIM(C1600) &amp; TRIM(D1600)</f>
        <v>First ReviewCFC Requirement TaskMX</v>
      </c>
      <c r="K1600" s="4" t="n">
        <f aca="false">IFERROR(I1600*60,"")</f>
        <v>57.36</v>
      </c>
    </row>
    <row r="1601" customFormat="false" ht="15" hidden="false" customHeight="false" outlineLevel="0" collapsed="false">
      <c r="A1601" s="4" t="s">
        <v>15</v>
      </c>
      <c r="B1601" s="4" t="s">
        <v>1309</v>
      </c>
      <c r="C1601" s="4" t="s">
        <v>1312</v>
      </c>
      <c r="D1601" s="4" t="s">
        <v>95</v>
      </c>
      <c r="E1601" s="4" t="s">
        <v>63</v>
      </c>
      <c r="F1601" s="4" t="s">
        <v>63</v>
      </c>
      <c r="G1601" s="4" t="s">
        <v>1342</v>
      </c>
      <c r="H1601" s="4"/>
      <c r="I1601" s="4" t="n">
        <v>1.9202</v>
      </c>
      <c r="J1601" s="4" t="str">
        <f aca="false">TRIM(E1601) &amp; TRIM(C1601) &amp; TRIM(D1601)</f>
        <v>First ReviewCFC Requirement TaskVN</v>
      </c>
      <c r="K1601" s="4" t="n">
        <f aca="false">IFERROR(I1601*60,"")</f>
        <v>115.212</v>
      </c>
    </row>
    <row r="1602" customFormat="false" ht="15" hidden="false" customHeight="false" outlineLevel="0" collapsed="false">
      <c r="A1602" s="4" t="s">
        <v>15</v>
      </c>
      <c r="B1602" s="4" t="s">
        <v>1309</v>
      </c>
      <c r="C1602" s="4" t="s">
        <v>1310</v>
      </c>
      <c r="D1602" s="4" t="s">
        <v>306</v>
      </c>
      <c r="E1602" s="4" t="s">
        <v>63</v>
      </c>
      <c r="F1602" s="4" t="s">
        <v>63</v>
      </c>
      <c r="G1602" s="4" t="s">
        <v>1343</v>
      </c>
      <c r="H1602" s="4"/>
      <c r="I1602" s="4" t="n">
        <v>1.1118</v>
      </c>
      <c r="J1602" s="4" t="str">
        <f aca="false">TRIM(E1602) &amp; TRIM(C1602) &amp; TRIM(D1602)</f>
        <v>First ReviewVideo Safety TaskTH</v>
      </c>
      <c r="K1602" s="4" t="n">
        <f aca="false">IFERROR(I1602*60,"")</f>
        <v>66.708</v>
      </c>
    </row>
    <row r="1603" customFormat="false" ht="15" hidden="false" customHeight="false" outlineLevel="0" collapsed="false">
      <c r="A1603" s="4" t="s">
        <v>15</v>
      </c>
      <c r="B1603" s="4" t="s">
        <v>1309</v>
      </c>
      <c r="C1603" s="4" t="s">
        <v>1314</v>
      </c>
      <c r="D1603" s="4" t="s">
        <v>235</v>
      </c>
      <c r="E1603" s="4" t="s">
        <v>63</v>
      </c>
      <c r="F1603" s="4" t="s">
        <v>63</v>
      </c>
      <c r="G1603" s="4" t="s">
        <v>1344</v>
      </c>
      <c r="H1603" s="4"/>
      <c r="I1603" s="4" t="n">
        <v>0.7164</v>
      </c>
      <c r="J1603" s="4" t="str">
        <f aca="false">TRIM(E1603) &amp; TRIM(C1603) &amp; TRIM(D1603)</f>
        <v>First ReviewAdv Requirement TaskJP</v>
      </c>
      <c r="K1603" s="4" t="n">
        <f aca="false">IFERROR(I1603*60,"")</f>
        <v>42.984</v>
      </c>
    </row>
    <row r="1604" customFormat="false" ht="15" hidden="false" customHeight="false" outlineLevel="0" collapsed="false">
      <c r="A1604" s="4" t="s">
        <v>15</v>
      </c>
      <c r="B1604" s="4" t="s">
        <v>1309</v>
      </c>
      <c r="C1604" s="4" t="s">
        <v>1310</v>
      </c>
      <c r="D1604" s="4" t="s">
        <v>111</v>
      </c>
      <c r="E1604" s="4" t="s">
        <v>63</v>
      </c>
      <c r="F1604" s="4" t="s">
        <v>63</v>
      </c>
      <c r="G1604" s="4" t="s">
        <v>1334</v>
      </c>
      <c r="H1604" s="4"/>
      <c r="I1604" s="4" t="n">
        <v>0.7641</v>
      </c>
      <c r="J1604" s="4" t="str">
        <f aca="false">TRIM(E1604) &amp; TRIM(C1604) &amp; TRIM(D1604)</f>
        <v>First ReviewVideo Safety TaskUS</v>
      </c>
      <c r="K1604" s="4" t="n">
        <f aca="false">IFERROR(I1604*60,"")</f>
        <v>45.846</v>
      </c>
    </row>
    <row r="1605" customFormat="false" ht="15" hidden="false" customHeight="false" outlineLevel="0" collapsed="false">
      <c r="A1605" s="4" t="s">
        <v>15</v>
      </c>
      <c r="B1605" s="4" t="s">
        <v>1309</v>
      </c>
      <c r="C1605" s="4" t="s">
        <v>1314</v>
      </c>
      <c r="D1605" s="4" t="s">
        <v>267</v>
      </c>
      <c r="E1605" s="4" t="s">
        <v>59</v>
      </c>
      <c r="F1605" s="4" t="s">
        <v>59</v>
      </c>
      <c r="G1605" s="4" t="s">
        <v>1322</v>
      </c>
      <c r="H1605" s="4"/>
      <c r="I1605" s="4" t="n">
        <v>0.9522</v>
      </c>
      <c r="J1605" s="4" t="str">
        <f aca="false">TRIM(E1605) &amp; TRIM(C1605) &amp; TRIM(D1605)</f>
        <v>Re-reviewAdv Requirement TaskID</v>
      </c>
      <c r="K1605" s="4" t="n">
        <f aca="false">IFERROR(I1605*60,"")</f>
        <v>57.132</v>
      </c>
    </row>
    <row r="1606" customFormat="false" ht="15" hidden="false" customHeight="false" outlineLevel="0" collapsed="false">
      <c r="A1606" s="4" t="s">
        <v>15</v>
      </c>
      <c r="B1606" s="4" t="s">
        <v>1309</v>
      </c>
      <c r="C1606" s="4" t="s">
        <v>1314</v>
      </c>
      <c r="D1606" s="4" t="s">
        <v>235</v>
      </c>
      <c r="E1606" s="4" t="s">
        <v>59</v>
      </c>
      <c r="F1606" s="4" t="s">
        <v>59</v>
      </c>
      <c r="G1606" s="4" t="s">
        <v>1344</v>
      </c>
      <c r="H1606" s="4"/>
      <c r="I1606" s="4" t="n">
        <v>1.1631</v>
      </c>
      <c r="J1606" s="4" t="str">
        <f aca="false">TRIM(E1606) &amp; TRIM(C1606) &amp; TRIM(D1606)</f>
        <v>Re-reviewAdv Requirement TaskJP</v>
      </c>
      <c r="K1606" s="4" t="n">
        <f aca="false">IFERROR(I1606*60,"")</f>
        <v>69.786</v>
      </c>
    </row>
    <row r="1607" customFormat="false" ht="15" hidden="false" customHeight="false" outlineLevel="0" collapsed="false">
      <c r="A1607" s="4" t="s">
        <v>15</v>
      </c>
      <c r="B1607" s="4" t="s">
        <v>1309</v>
      </c>
      <c r="C1607" s="4" t="s">
        <v>1310</v>
      </c>
      <c r="D1607" s="4" t="s">
        <v>157</v>
      </c>
      <c r="E1607" s="4" t="s">
        <v>59</v>
      </c>
      <c r="F1607" s="4" t="s">
        <v>59</v>
      </c>
      <c r="G1607" s="4" t="s">
        <v>1340</v>
      </c>
      <c r="H1607" s="4"/>
      <c r="I1607" s="4" t="n">
        <v>2.7138</v>
      </c>
      <c r="J1607" s="4" t="str">
        <f aca="false">TRIM(E1607) &amp; TRIM(C1607) &amp; TRIM(D1607)</f>
        <v>Re-reviewVideo Safety TaskSA</v>
      </c>
      <c r="K1607" s="4" t="n">
        <f aca="false">IFERROR(I1607*60,"")</f>
        <v>162.828</v>
      </c>
    </row>
    <row r="1608" customFormat="false" ht="15" hidden="false" customHeight="false" outlineLevel="0" collapsed="false">
      <c r="A1608" s="4" t="s">
        <v>15</v>
      </c>
      <c r="B1608" s="4" t="s">
        <v>1309</v>
      </c>
      <c r="C1608" s="4" t="s">
        <v>1312</v>
      </c>
      <c r="D1608" s="4" t="s">
        <v>111</v>
      </c>
      <c r="E1608" s="4" t="s">
        <v>63</v>
      </c>
      <c r="F1608" s="4" t="s">
        <v>63</v>
      </c>
      <c r="G1608" s="4" t="s">
        <v>1345</v>
      </c>
      <c r="H1608" s="4"/>
      <c r="I1608" s="4" t="n">
        <v>0.9146</v>
      </c>
      <c r="J1608" s="4" t="str">
        <f aca="false">TRIM(E1608) &amp; TRIM(C1608) &amp; TRIM(D1608)</f>
        <v>First ReviewCFC Requirement TaskUS</v>
      </c>
      <c r="K1608" s="4" t="n">
        <f aca="false">IFERROR(I1608*60,"")</f>
        <v>54.876</v>
      </c>
    </row>
    <row r="1609" customFormat="false" ht="15" hidden="false" customHeight="false" outlineLevel="0" collapsed="false">
      <c r="A1609" s="4" t="s">
        <v>15</v>
      </c>
      <c r="B1609" s="4" t="s">
        <v>1346</v>
      </c>
      <c r="C1609" s="4" t="s">
        <v>1347</v>
      </c>
      <c r="D1609" s="4" t="s">
        <v>306</v>
      </c>
      <c r="E1609" s="4" t="s">
        <v>63</v>
      </c>
      <c r="F1609" s="4" t="s">
        <v>63</v>
      </c>
      <c r="G1609" s="4" t="s">
        <v>1348</v>
      </c>
      <c r="H1609" s="4"/>
      <c r="I1609" s="4" t="n">
        <v>1.8893</v>
      </c>
      <c r="J1609" s="4" t="str">
        <f aca="false">TRIM(E1609) &amp; TRIM(C1609) &amp; TRIM(D1609)</f>
        <v>First ReviewFX StudioTH</v>
      </c>
      <c r="K1609" s="4" t="n">
        <f aca="false">IFERROR(I1609*60,"")</f>
        <v>113.358</v>
      </c>
    </row>
    <row r="1610" customFormat="false" ht="15" hidden="false" customHeight="false" outlineLevel="0" collapsed="false">
      <c r="A1610" s="4" t="s">
        <v>15</v>
      </c>
      <c r="B1610" s="4" t="s">
        <v>1346</v>
      </c>
      <c r="C1610" s="4" t="s">
        <v>1347</v>
      </c>
      <c r="D1610" s="4" t="s">
        <v>97</v>
      </c>
      <c r="E1610" s="4" t="s">
        <v>63</v>
      </c>
      <c r="F1610" s="4" t="s">
        <v>63</v>
      </c>
      <c r="G1610" s="4" t="s">
        <v>1349</v>
      </c>
      <c r="H1610" s="4"/>
      <c r="I1610" s="4" t="n">
        <v>7.9768</v>
      </c>
      <c r="J1610" s="4" t="str">
        <f aca="false">TRIM(E1610) &amp; TRIM(C1610) &amp; TRIM(D1610)</f>
        <v>First ReviewFX StudioBR</v>
      </c>
      <c r="K1610" s="4" t="n">
        <f aca="false">IFERROR(I1610*60,"")</f>
        <v>478.608</v>
      </c>
    </row>
    <row r="1611" customFormat="false" ht="15" hidden="false" customHeight="false" outlineLevel="0" collapsed="false">
      <c r="A1611" s="4" t="s">
        <v>15</v>
      </c>
      <c r="B1611" s="4" t="s">
        <v>1346</v>
      </c>
      <c r="C1611" s="4" t="s">
        <v>1347</v>
      </c>
      <c r="D1611" s="4" t="s">
        <v>95</v>
      </c>
      <c r="E1611" s="4" t="s">
        <v>63</v>
      </c>
      <c r="F1611" s="4" t="s">
        <v>63</v>
      </c>
      <c r="G1611" s="4" t="s">
        <v>1350</v>
      </c>
      <c r="H1611" s="4"/>
      <c r="I1611" s="4" t="n">
        <v>3.9908</v>
      </c>
      <c r="J1611" s="4" t="str">
        <f aca="false">TRIM(E1611) &amp; TRIM(C1611) &amp; TRIM(D1611)</f>
        <v>First ReviewFX StudioVN</v>
      </c>
      <c r="K1611" s="4" t="n">
        <f aca="false">IFERROR(I1611*60,"")</f>
        <v>239.448</v>
      </c>
    </row>
    <row r="1612" customFormat="false" ht="15" hidden="false" customHeight="false" outlineLevel="0" collapsed="false">
      <c r="A1612" s="4" t="s">
        <v>15</v>
      </c>
      <c r="B1612" s="4" t="s">
        <v>1346</v>
      </c>
      <c r="C1612" s="4" t="s">
        <v>1347</v>
      </c>
      <c r="D1612" s="4" t="s">
        <v>126</v>
      </c>
      <c r="E1612" s="4" t="s">
        <v>63</v>
      </c>
      <c r="F1612" s="4" t="s">
        <v>63</v>
      </c>
      <c r="G1612" s="4" t="s">
        <v>1351</v>
      </c>
      <c r="H1612" s="4"/>
      <c r="I1612" s="4" t="n">
        <v>7.6537</v>
      </c>
      <c r="J1612" s="4" t="str">
        <f aca="false">TRIM(E1612) &amp; TRIM(C1612) &amp; TRIM(D1612)</f>
        <v>First ReviewFX StudioMX</v>
      </c>
      <c r="K1612" s="4" t="n">
        <f aca="false">IFERROR(I1612*60,"")</f>
        <v>459.222</v>
      </c>
    </row>
    <row r="1613" customFormat="false" ht="15" hidden="false" customHeight="false" outlineLevel="0" collapsed="false">
      <c r="A1613" s="4" t="s">
        <v>15</v>
      </c>
      <c r="B1613" s="4" t="s">
        <v>1346</v>
      </c>
      <c r="C1613" s="4" t="s">
        <v>1347</v>
      </c>
      <c r="D1613" s="4" t="s">
        <v>111</v>
      </c>
      <c r="E1613" s="4" t="s">
        <v>63</v>
      </c>
      <c r="F1613" s="4" t="s">
        <v>63</v>
      </c>
      <c r="G1613" s="4" t="s">
        <v>1352</v>
      </c>
      <c r="H1613" s="4"/>
      <c r="I1613" s="4" t="n">
        <v>1.0262</v>
      </c>
      <c r="J1613" s="4" t="str">
        <f aca="false">TRIM(E1613) &amp; TRIM(C1613) &amp; TRIM(D1613)</f>
        <v>First ReviewFX StudioUS</v>
      </c>
      <c r="K1613" s="4" t="n">
        <f aca="false">IFERROR(I1613*60,"")</f>
        <v>61.572</v>
      </c>
    </row>
    <row r="1614" customFormat="false" ht="15" hidden="false" customHeight="false" outlineLevel="0" collapsed="false">
      <c r="A1614" s="4" t="s">
        <v>15</v>
      </c>
      <c r="B1614" s="4" t="s">
        <v>1346</v>
      </c>
      <c r="C1614" s="4" t="s">
        <v>1347</v>
      </c>
      <c r="D1614" s="4" t="s">
        <v>203</v>
      </c>
      <c r="E1614" s="4" t="s">
        <v>63</v>
      </c>
      <c r="F1614" s="4" t="s">
        <v>63</v>
      </c>
      <c r="G1614" s="4" t="s">
        <v>1353</v>
      </c>
      <c r="H1614" s="4"/>
      <c r="I1614" s="4" t="n">
        <v>0.4832</v>
      </c>
      <c r="J1614" s="4" t="str">
        <f aca="false">TRIM(E1614) &amp; TRIM(C1614) &amp; TRIM(D1614)</f>
        <v>First ReviewFX StudioCA</v>
      </c>
      <c r="K1614" s="4" t="n">
        <f aca="false">IFERROR(I1614*60,"")</f>
        <v>28.992</v>
      </c>
    </row>
    <row r="1615" customFormat="false" ht="15" hidden="false" customHeight="false" outlineLevel="0" collapsed="false">
      <c r="A1615" s="4" t="s">
        <v>15</v>
      </c>
      <c r="B1615" s="4" t="s">
        <v>1346</v>
      </c>
      <c r="C1615" s="4" t="s">
        <v>1347</v>
      </c>
      <c r="D1615" s="4" t="s">
        <v>190</v>
      </c>
      <c r="E1615" s="4" t="s">
        <v>63</v>
      </c>
      <c r="F1615" s="4" t="s">
        <v>63</v>
      </c>
      <c r="G1615" s="4" t="s">
        <v>1354</v>
      </c>
      <c r="H1615" s="4"/>
      <c r="I1615" s="4" t="n">
        <v>0.4091</v>
      </c>
      <c r="J1615" s="4" t="str">
        <f aca="false">TRIM(E1615) &amp; TRIM(C1615) &amp; TRIM(D1615)</f>
        <v>First ReviewFX StudioPH</v>
      </c>
      <c r="K1615" s="4" t="n">
        <f aca="false">IFERROR(I1615*60,"")</f>
        <v>24.546</v>
      </c>
    </row>
    <row r="1616" customFormat="false" ht="15" hidden="false" customHeight="false" outlineLevel="0" collapsed="false">
      <c r="A1616" s="4" t="s">
        <v>15</v>
      </c>
      <c r="B1616" s="4" t="s">
        <v>1346</v>
      </c>
      <c r="C1616" s="4" t="s">
        <v>1347</v>
      </c>
      <c r="D1616" s="4" t="s">
        <v>255</v>
      </c>
      <c r="E1616" s="4" t="s">
        <v>63</v>
      </c>
      <c r="F1616" s="4" t="s">
        <v>63</v>
      </c>
      <c r="G1616" s="4" t="s">
        <v>1355</v>
      </c>
      <c r="H1616" s="4"/>
      <c r="I1616" s="4" t="n">
        <v>0.6894</v>
      </c>
      <c r="J1616" s="4" t="str">
        <f aca="false">TRIM(E1616) &amp; TRIM(C1616) &amp; TRIM(D1616)</f>
        <v>First ReviewFX StudioNZ</v>
      </c>
      <c r="K1616" s="4" t="n">
        <f aca="false">IFERROR(I1616*60,"")</f>
        <v>41.364</v>
      </c>
    </row>
    <row r="1617" customFormat="false" ht="15" hidden="false" customHeight="false" outlineLevel="0" collapsed="false">
      <c r="A1617" s="4" t="s">
        <v>15</v>
      </c>
      <c r="B1617" s="4" t="s">
        <v>1356</v>
      </c>
      <c r="C1617" s="4" t="s">
        <v>1357</v>
      </c>
      <c r="D1617" s="4" t="s">
        <v>150</v>
      </c>
      <c r="E1617" s="4" t="s">
        <v>63</v>
      </c>
      <c r="F1617" s="4" t="s">
        <v>63</v>
      </c>
      <c r="G1617" s="4" t="s">
        <v>1358</v>
      </c>
      <c r="H1617" s="4"/>
      <c r="I1617" s="4" t="n">
        <v>2.3523</v>
      </c>
      <c r="J1617" s="4" t="str">
        <f aca="false">TRIM(E1617) &amp; TRIM(C1617) &amp; TRIM(D1617)</f>
        <v>First ReviewCreative Hub Video SafetyDE</v>
      </c>
      <c r="K1617" s="4" t="n">
        <f aca="false">IFERROR(I1617*60,"")</f>
        <v>141.138</v>
      </c>
    </row>
    <row r="1618" customFormat="false" ht="15" hidden="false" customHeight="false" outlineLevel="0" collapsed="false">
      <c r="A1618" s="4" t="s">
        <v>15</v>
      </c>
      <c r="B1618" s="4" t="s">
        <v>1356</v>
      </c>
      <c r="C1618" s="4" t="s">
        <v>1359</v>
      </c>
      <c r="D1618" s="4" t="s">
        <v>87</v>
      </c>
      <c r="E1618" s="4" t="s">
        <v>63</v>
      </c>
      <c r="F1618" s="4" t="s">
        <v>63</v>
      </c>
      <c r="G1618" s="4" t="s">
        <v>1360</v>
      </c>
      <c r="H1618" s="4"/>
      <c r="I1618" s="4" t="n">
        <v>1.2092</v>
      </c>
      <c r="J1618" s="4" t="str">
        <f aca="false">TRIM(E1618) &amp; TRIM(C1618) &amp; TRIM(D1618)</f>
        <v>First ReviewCreative Hub Web AnchorAE</v>
      </c>
      <c r="K1618" s="4" t="n">
        <f aca="false">IFERROR(I1618*60,"")</f>
        <v>72.552</v>
      </c>
    </row>
    <row r="1619" customFormat="false" ht="15" hidden="false" customHeight="false" outlineLevel="0" collapsed="false">
      <c r="A1619" s="4" t="s">
        <v>15</v>
      </c>
      <c r="B1619" s="4" t="s">
        <v>1356</v>
      </c>
      <c r="C1619" s="4" t="s">
        <v>1361</v>
      </c>
      <c r="D1619" s="4" t="s">
        <v>235</v>
      </c>
      <c r="E1619" s="4" t="s">
        <v>63</v>
      </c>
      <c r="F1619" s="4" t="s">
        <v>63</v>
      </c>
      <c r="G1619" s="4" t="s">
        <v>1362</v>
      </c>
      <c r="H1619" s="4"/>
      <c r="I1619" s="4" t="n">
        <v>6.6602</v>
      </c>
      <c r="J1619" s="4" t="str">
        <f aca="false">TRIM(E1619) &amp; TRIM(C1619) &amp; TRIM(D1619)</f>
        <v>First ReviewCreative Hub CampaignJP</v>
      </c>
      <c r="K1619" s="4" t="n">
        <f aca="false">IFERROR(I1619*60,"")</f>
        <v>399.612</v>
      </c>
    </row>
    <row r="1620" customFormat="false" ht="15" hidden="false" customHeight="false" outlineLevel="0" collapsed="false">
      <c r="A1620" s="4" t="s">
        <v>15</v>
      </c>
      <c r="B1620" s="4" t="s">
        <v>1356</v>
      </c>
      <c r="C1620" s="4" t="s">
        <v>1357</v>
      </c>
      <c r="D1620" s="4" t="s">
        <v>111</v>
      </c>
      <c r="E1620" s="4" t="s">
        <v>63</v>
      </c>
      <c r="F1620" s="4" t="s">
        <v>63</v>
      </c>
      <c r="G1620" s="4" t="s">
        <v>1363</v>
      </c>
      <c r="H1620" s="4"/>
      <c r="I1620" s="4" t="n">
        <v>1.009</v>
      </c>
      <c r="J1620" s="4" t="str">
        <f aca="false">TRIM(E1620) &amp; TRIM(C1620) &amp; TRIM(D1620)</f>
        <v>First ReviewCreative Hub Video SafetyUS</v>
      </c>
      <c r="K1620" s="4" t="n">
        <f aca="false">IFERROR(I1620*60,"")</f>
        <v>60.54</v>
      </c>
    </row>
    <row r="1621" customFormat="false" ht="15" hidden="false" customHeight="false" outlineLevel="0" collapsed="false">
      <c r="A1621" s="4" t="s">
        <v>15</v>
      </c>
      <c r="B1621" s="4" t="s">
        <v>1356</v>
      </c>
      <c r="C1621" s="4" t="s">
        <v>1361</v>
      </c>
      <c r="D1621" s="4" t="s">
        <v>111</v>
      </c>
      <c r="E1621" s="4" t="s">
        <v>63</v>
      </c>
      <c r="F1621" s="4" t="s">
        <v>63</v>
      </c>
      <c r="G1621" s="4" t="s">
        <v>1364</v>
      </c>
      <c r="H1621" s="4"/>
      <c r="I1621" s="4" t="n">
        <v>2.998</v>
      </c>
      <c r="J1621" s="4" t="str">
        <f aca="false">TRIM(E1621) &amp; TRIM(C1621) &amp; TRIM(D1621)</f>
        <v>First ReviewCreative Hub CampaignUS</v>
      </c>
      <c r="K1621" s="4" t="n">
        <f aca="false">IFERROR(I1621*60,"")</f>
        <v>179.88</v>
      </c>
    </row>
    <row r="1622" customFormat="false" ht="15" hidden="false" customHeight="false" outlineLevel="0" collapsed="false">
      <c r="A1622" s="4" t="s">
        <v>15</v>
      </c>
      <c r="B1622" s="4" t="s">
        <v>1356</v>
      </c>
      <c r="C1622" s="4" t="s">
        <v>1365</v>
      </c>
      <c r="D1622" s="4" t="s">
        <v>154</v>
      </c>
      <c r="E1622" s="4" t="s">
        <v>63</v>
      </c>
      <c r="F1622" s="4" t="s">
        <v>63</v>
      </c>
      <c r="G1622" s="4" t="s">
        <v>1366</v>
      </c>
      <c r="H1622" s="4"/>
      <c r="I1622" s="4" t="n">
        <v>2.4486</v>
      </c>
      <c r="J1622" s="4" t="str">
        <f aca="false">TRIM(E1622) &amp; TRIM(C1622) &amp; TRIM(D1622)</f>
        <v>First ReviewCreative Hub App Download AnchorES</v>
      </c>
      <c r="K1622" s="4" t="n">
        <f aca="false">IFERROR(I1622*60,"")</f>
        <v>146.916</v>
      </c>
    </row>
    <row r="1623" customFormat="false" ht="15" hidden="false" customHeight="false" outlineLevel="0" collapsed="false">
      <c r="A1623" s="4" t="s">
        <v>15</v>
      </c>
      <c r="B1623" s="4" t="s">
        <v>1356</v>
      </c>
      <c r="C1623" s="4" t="s">
        <v>1359</v>
      </c>
      <c r="D1623" s="4" t="s">
        <v>58</v>
      </c>
      <c r="E1623" s="4" t="s">
        <v>63</v>
      </c>
      <c r="F1623" s="4" t="s">
        <v>63</v>
      </c>
      <c r="G1623" s="4" t="s">
        <v>1367</v>
      </c>
      <c r="H1623" s="4"/>
      <c r="I1623" s="4" t="n">
        <v>0.5698</v>
      </c>
      <c r="J1623" s="4" t="str">
        <f aca="false">TRIM(E1623) &amp; TRIM(C1623) &amp; TRIM(D1623)</f>
        <v>First ReviewCreative Hub Web AnchorSG</v>
      </c>
      <c r="K1623" s="4" t="n">
        <f aca="false">IFERROR(I1623*60,"")</f>
        <v>34.188</v>
      </c>
    </row>
    <row r="1624" customFormat="false" ht="15" hidden="false" customHeight="false" outlineLevel="0" collapsed="false">
      <c r="A1624" s="4" t="s">
        <v>15</v>
      </c>
      <c r="B1624" s="4" t="s">
        <v>1356</v>
      </c>
      <c r="C1624" s="4" t="s">
        <v>1368</v>
      </c>
      <c r="D1624" s="4" t="s">
        <v>190</v>
      </c>
      <c r="E1624" s="4" t="s">
        <v>63</v>
      </c>
      <c r="F1624" s="4" t="s">
        <v>63</v>
      </c>
      <c r="G1624" s="4" t="s">
        <v>1369</v>
      </c>
      <c r="H1624" s="4"/>
      <c r="I1624" s="4" t="n">
        <v>1.3861</v>
      </c>
      <c r="J1624" s="4" t="str">
        <f aca="false">TRIM(E1624) &amp; TRIM(C1624) &amp; TRIM(D1624)</f>
        <v>First ReviewCreative Hub Community VideoPH</v>
      </c>
      <c r="K1624" s="4" t="n">
        <f aca="false">IFERROR(I1624*60,"")</f>
        <v>83.166</v>
      </c>
    </row>
    <row r="1625" customFormat="false" ht="15" hidden="false" customHeight="false" outlineLevel="0" collapsed="false">
      <c r="A1625" s="4" t="s">
        <v>15</v>
      </c>
      <c r="B1625" s="4" t="s">
        <v>1356</v>
      </c>
      <c r="C1625" s="4" t="s">
        <v>1365</v>
      </c>
      <c r="D1625" s="4" t="s">
        <v>267</v>
      </c>
      <c r="E1625" s="4" t="s">
        <v>63</v>
      </c>
      <c r="F1625" s="4" t="s">
        <v>63</v>
      </c>
      <c r="G1625" s="4" t="s">
        <v>1370</v>
      </c>
      <c r="H1625" s="4"/>
      <c r="I1625" s="4" t="n">
        <v>0.8729</v>
      </c>
      <c r="J1625" s="4" t="str">
        <f aca="false">TRIM(E1625) &amp; TRIM(C1625) &amp; TRIM(D1625)</f>
        <v>First ReviewCreative Hub App Download AnchorID</v>
      </c>
      <c r="K1625" s="4" t="n">
        <f aca="false">IFERROR(I1625*60,"")</f>
        <v>52.374</v>
      </c>
    </row>
    <row r="1626" customFormat="false" ht="15" hidden="false" customHeight="false" outlineLevel="0" collapsed="false">
      <c r="A1626" s="4" t="s">
        <v>15</v>
      </c>
      <c r="B1626" s="4" t="s">
        <v>1356</v>
      </c>
      <c r="C1626" s="4" t="s">
        <v>1357</v>
      </c>
      <c r="D1626" s="4" t="s">
        <v>267</v>
      </c>
      <c r="E1626" s="4" t="s">
        <v>63</v>
      </c>
      <c r="F1626" s="4" t="s">
        <v>63</v>
      </c>
      <c r="G1626" s="4" t="s">
        <v>1371</v>
      </c>
      <c r="H1626" s="4"/>
      <c r="I1626" s="4" t="n">
        <v>1.5814</v>
      </c>
      <c r="J1626" s="4" t="str">
        <f aca="false">TRIM(E1626) &amp; TRIM(C1626) &amp; TRIM(D1626)</f>
        <v>First ReviewCreative Hub Video SafetyID</v>
      </c>
      <c r="K1626" s="4" t="n">
        <f aca="false">IFERROR(I1626*60,"")</f>
        <v>94.884</v>
      </c>
    </row>
    <row r="1627" customFormat="false" ht="15" hidden="false" customHeight="false" outlineLevel="0" collapsed="false">
      <c r="A1627" s="4" t="s">
        <v>15</v>
      </c>
      <c r="B1627" s="4" t="s">
        <v>1356</v>
      </c>
      <c r="C1627" s="4" t="s">
        <v>1359</v>
      </c>
      <c r="D1627" s="4" t="s">
        <v>121</v>
      </c>
      <c r="E1627" s="4" t="s">
        <v>63</v>
      </c>
      <c r="F1627" s="4" t="s">
        <v>63</v>
      </c>
      <c r="G1627" s="4" t="s">
        <v>1372</v>
      </c>
      <c r="H1627" s="4"/>
      <c r="I1627" s="4" t="n">
        <v>7.8417</v>
      </c>
      <c r="J1627" s="4" t="str">
        <f aca="false">TRIM(E1627) &amp; TRIM(C1627) &amp; TRIM(D1627)</f>
        <v>First ReviewCreative Hub Web AnchorKR</v>
      </c>
      <c r="K1627" s="4" t="n">
        <f aca="false">IFERROR(I1627*60,"")</f>
        <v>470.502</v>
      </c>
    </row>
    <row r="1628" customFormat="false" ht="15" hidden="false" customHeight="false" outlineLevel="0" collapsed="false">
      <c r="A1628" s="4" t="s">
        <v>15</v>
      </c>
      <c r="B1628" s="4" t="s">
        <v>1356</v>
      </c>
      <c r="C1628" s="4" t="s">
        <v>1361</v>
      </c>
      <c r="D1628" s="4" t="s">
        <v>157</v>
      </c>
      <c r="E1628" s="4" t="s">
        <v>63</v>
      </c>
      <c r="F1628" s="4" t="s">
        <v>63</v>
      </c>
      <c r="G1628" s="4" t="s">
        <v>1373</v>
      </c>
      <c r="H1628" s="4"/>
      <c r="I1628" s="4" t="n">
        <v>1.9292</v>
      </c>
      <c r="J1628" s="4" t="str">
        <f aca="false">TRIM(E1628) &amp; TRIM(C1628) &amp; TRIM(D1628)</f>
        <v>First ReviewCreative Hub CampaignSA</v>
      </c>
      <c r="K1628" s="4" t="n">
        <f aca="false">IFERROR(I1628*60,"")</f>
        <v>115.752</v>
      </c>
    </row>
    <row r="1629" customFormat="false" ht="15" hidden="false" customHeight="false" outlineLevel="0" collapsed="false">
      <c r="A1629" s="4" t="s">
        <v>15</v>
      </c>
      <c r="B1629" s="4" t="s">
        <v>1356</v>
      </c>
      <c r="C1629" s="4" t="s">
        <v>1365</v>
      </c>
      <c r="D1629" s="4" t="s">
        <v>458</v>
      </c>
      <c r="E1629" s="4" t="s">
        <v>63</v>
      </c>
      <c r="F1629" s="4" t="s">
        <v>63</v>
      </c>
      <c r="G1629" s="4" t="s">
        <v>1374</v>
      </c>
      <c r="H1629" s="4"/>
      <c r="I1629" s="4" t="n">
        <v>1.4561</v>
      </c>
      <c r="J1629" s="4" t="str">
        <f aca="false">TRIM(E1629) &amp; TRIM(C1629) &amp; TRIM(D1629)</f>
        <v>First ReviewCreative Hub App Download AnchorTW</v>
      </c>
      <c r="K1629" s="4" t="n">
        <f aca="false">IFERROR(I1629*60,"")</f>
        <v>87.366</v>
      </c>
    </row>
    <row r="1630" customFormat="false" ht="15" hidden="false" customHeight="false" outlineLevel="0" collapsed="false">
      <c r="A1630" s="4" t="s">
        <v>15</v>
      </c>
      <c r="B1630" s="4" t="s">
        <v>1356</v>
      </c>
      <c r="C1630" s="4" t="s">
        <v>1357</v>
      </c>
      <c r="D1630" s="4" t="s">
        <v>126</v>
      </c>
      <c r="E1630" s="4" t="s">
        <v>63</v>
      </c>
      <c r="F1630" s="4" t="s">
        <v>63</v>
      </c>
      <c r="G1630" s="4" t="s">
        <v>1375</v>
      </c>
      <c r="H1630" s="4"/>
      <c r="I1630" s="4" t="n">
        <v>0.1909</v>
      </c>
      <c r="J1630" s="4" t="str">
        <f aca="false">TRIM(E1630) &amp; TRIM(C1630) &amp; TRIM(D1630)</f>
        <v>First ReviewCreative Hub Video SafetyMX</v>
      </c>
      <c r="K1630" s="4" t="n">
        <f aca="false">IFERROR(I1630*60,"")</f>
        <v>11.454</v>
      </c>
    </row>
    <row r="1631" customFormat="false" ht="15" hidden="false" customHeight="false" outlineLevel="0" collapsed="false">
      <c r="A1631" s="4" t="s">
        <v>15</v>
      </c>
      <c r="B1631" s="4" t="s">
        <v>1356</v>
      </c>
      <c r="C1631" s="4" t="s">
        <v>1361</v>
      </c>
      <c r="D1631" s="4" t="s">
        <v>275</v>
      </c>
      <c r="E1631" s="4" t="s">
        <v>63</v>
      </c>
      <c r="F1631" s="4" t="s">
        <v>63</v>
      </c>
      <c r="G1631" s="4" t="s">
        <v>1376</v>
      </c>
      <c r="H1631" s="4"/>
      <c r="I1631" s="4" t="n">
        <v>3.2125</v>
      </c>
      <c r="J1631" s="4" t="str">
        <f aca="false">TRIM(E1631) &amp; TRIM(C1631) &amp; TRIM(D1631)</f>
        <v>First ReviewCreative Hub CampaignGB</v>
      </c>
      <c r="K1631" s="4" t="n">
        <f aca="false">IFERROR(I1631*60,"")</f>
        <v>192.75</v>
      </c>
    </row>
    <row r="1632" customFormat="false" ht="15" hidden="false" customHeight="false" outlineLevel="0" collapsed="false">
      <c r="A1632" s="4" t="s">
        <v>15</v>
      </c>
      <c r="B1632" s="4" t="s">
        <v>1356</v>
      </c>
      <c r="C1632" s="4" t="s">
        <v>1361</v>
      </c>
      <c r="D1632" s="4" t="s">
        <v>126</v>
      </c>
      <c r="E1632" s="4" t="s">
        <v>63</v>
      </c>
      <c r="F1632" s="4" t="s">
        <v>63</v>
      </c>
      <c r="G1632" s="4" t="s">
        <v>1377</v>
      </c>
      <c r="H1632" s="4"/>
      <c r="I1632" s="4" t="n">
        <v>1.3793</v>
      </c>
      <c r="J1632" s="4" t="str">
        <f aca="false">TRIM(E1632) &amp; TRIM(C1632) &amp; TRIM(D1632)</f>
        <v>First ReviewCreative Hub CampaignMX</v>
      </c>
      <c r="K1632" s="4" t="n">
        <f aca="false">IFERROR(I1632*60,"")</f>
        <v>82.758</v>
      </c>
    </row>
    <row r="1633" customFormat="false" ht="15" hidden="false" customHeight="false" outlineLevel="0" collapsed="false">
      <c r="A1633" s="4" t="s">
        <v>15</v>
      </c>
      <c r="B1633" s="4" t="s">
        <v>1356</v>
      </c>
      <c r="C1633" s="4" t="s">
        <v>1365</v>
      </c>
      <c r="D1633" s="4" t="s">
        <v>58</v>
      </c>
      <c r="E1633" s="4" t="s">
        <v>63</v>
      </c>
      <c r="F1633" s="4" t="s">
        <v>63</v>
      </c>
      <c r="G1633" s="4" t="s">
        <v>1378</v>
      </c>
      <c r="H1633" s="4"/>
      <c r="I1633" s="4" t="n">
        <v>0.9507</v>
      </c>
      <c r="J1633" s="4" t="str">
        <f aca="false">TRIM(E1633) &amp; TRIM(C1633) &amp; TRIM(D1633)</f>
        <v>First ReviewCreative Hub App Download AnchorSG</v>
      </c>
      <c r="K1633" s="4" t="n">
        <f aca="false">IFERROR(I1633*60,"")</f>
        <v>57.042</v>
      </c>
    </row>
    <row r="1634" customFormat="false" ht="15" hidden="false" customHeight="false" outlineLevel="0" collapsed="false">
      <c r="A1634" s="4" t="s">
        <v>15</v>
      </c>
      <c r="B1634" s="4" t="s">
        <v>1356</v>
      </c>
      <c r="C1634" s="4" t="s">
        <v>1359</v>
      </c>
      <c r="D1634" s="4" t="s">
        <v>203</v>
      </c>
      <c r="E1634" s="4" t="s">
        <v>63</v>
      </c>
      <c r="F1634" s="4" t="s">
        <v>63</v>
      </c>
      <c r="G1634" s="4" t="s">
        <v>1379</v>
      </c>
      <c r="H1634" s="4"/>
      <c r="I1634" s="4" t="n">
        <v>1.2262</v>
      </c>
      <c r="J1634" s="4" t="str">
        <f aca="false">TRIM(E1634) &amp; TRIM(C1634) &amp; TRIM(D1634)</f>
        <v>First ReviewCreative Hub Web AnchorCA</v>
      </c>
      <c r="K1634" s="4" t="n">
        <f aca="false">IFERROR(I1634*60,"")</f>
        <v>73.572</v>
      </c>
    </row>
    <row r="1635" customFormat="false" ht="15" hidden="false" customHeight="false" outlineLevel="0" collapsed="false">
      <c r="A1635" s="4" t="s">
        <v>15</v>
      </c>
      <c r="B1635" s="4" t="s">
        <v>1356</v>
      </c>
      <c r="C1635" s="4" t="s">
        <v>1365</v>
      </c>
      <c r="D1635" s="4" t="s">
        <v>195</v>
      </c>
      <c r="E1635" s="4" t="s">
        <v>63</v>
      </c>
      <c r="F1635" s="4" t="s">
        <v>63</v>
      </c>
      <c r="G1635" s="4" t="s">
        <v>1380</v>
      </c>
      <c r="H1635" s="4"/>
      <c r="I1635" s="4" t="n">
        <v>1.4042</v>
      </c>
      <c r="J1635" s="4" t="str">
        <f aca="false">TRIM(E1635) &amp; TRIM(C1635) &amp; TRIM(D1635)</f>
        <v>First ReviewCreative Hub App Download AnchorIT</v>
      </c>
      <c r="K1635" s="4" t="n">
        <f aca="false">IFERROR(I1635*60,"")</f>
        <v>84.252</v>
      </c>
    </row>
    <row r="1636" customFormat="false" ht="15" hidden="false" customHeight="false" outlineLevel="0" collapsed="false">
      <c r="A1636" s="4" t="s">
        <v>15</v>
      </c>
      <c r="B1636" s="4" t="s">
        <v>1356</v>
      </c>
      <c r="C1636" s="4" t="s">
        <v>1365</v>
      </c>
      <c r="D1636" s="4" t="s">
        <v>106</v>
      </c>
      <c r="E1636" s="4" t="s">
        <v>63</v>
      </c>
      <c r="F1636" s="4" t="s">
        <v>63</v>
      </c>
      <c r="G1636" s="4" t="s">
        <v>1381</v>
      </c>
      <c r="H1636" s="4"/>
      <c r="I1636" s="4" t="n">
        <v>0.658</v>
      </c>
      <c r="J1636" s="4" t="str">
        <f aca="false">TRIM(E1636) &amp; TRIM(C1636) &amp; TRIM(D1636)</f>
        <v>First ReviewCreative Hub App Download AnchorMY</v>
      </c>
      <c r="K1636" s="4" t="n">
        <f aca="false">IFERROR(I1636*60,"")</f>
        <v>39.48</v>
      </c>
    </row>
    <row r="1637" customFormat="false" ht="15" hidden="false" customHeight="false" outlineLevel="0" collapsed="false">
      <c r="A1637" s="4" t="s">
        <v>15</v>
      </c>
      <c r="B1637" s="4" t="s">
        <v>1356</v>
      </c>
      <c r="C1637" s="4" t="s">
        <v>1359</v>
      </c>
      <c r="D1637" s="4" t="s">
        <v>267</v>
      </c>
      <c r="E1637" s="4" t="s">
        <v>63</v>
      </c>
      <c r="F1637" s="4" t="s">
        <v>63</v>
      </c>
      <c r="G1637" s="4" t="s">
        <v>1382</v>
      </c>
      <c r="H1637" s="4"/>
      <c r="I1637" s="4" t="n">
        <v>0.9026</v>
      </c>
      <c r="J1637" s="4" t="str">
        <f aca="false">TRIM(E1637) &amp; TRIM(C1637) &amp; TRIM(D1637)</f>
        <v>First ReviewCreative Hub Web AnchorID</v>
      </c>
      <c r="K1637" s="4" t="n">
        <f aca="false">IFERROR(I1637*60,"")</f>
        <v>54.156</v>
      </c>
    </row>
    <row r="1638" customFormat="false" ht="15" hidden="false" customHeight="false" outlineLevel="0" collapsed="false">
      <c r="A1638" s="4" t="s">
        <v>15</v>
      </c>
      <c r="B1638" s="4" t="s">
        <v>1356</v>
      </c>
      <c r="C1638" s="4" t="s">
        <v>1365</v>
      </c>
      <c r="D1638" s="4" t="s">
        <v>150</v>
      </c>
      <c r="E1638" s="4" t="s">
        <v>63</v>
      </c>
      <c r="F1638" s="4" t="s">
        <v>63</v>
      </c>
      <c r="G1638" s="4" t="s">
        <v>1383</v>
      </c>
      <c r="H1638" s="4"/>
      <c r="I1638" s="4" t="n">
        <v>1.5132</v>
      </c>
      <c r="J1638" s="4" t="str">
        <f aca="false">TRIM(E1638) &amp; TRIM(C1638) &amp; TRIM(D1638)</f>
        <v>First ReviewCreative Hub App Download AnchorDE</v>
      </c>
      <c r="K1638" s="4" t="n">
        <f aca="false">IFERROR(I1638*60,"")</f>
        <v>90.792</v>
      </c>
    </row>
    <row r="1639" customFormat="false" ht="15" hidden="false" customHeight="false" outlineLevel="0" collapsed="false">
      <c r="A1639" s="4" t="s">
        <v>15</v>
      </c>
      <c r="B1639" s="4" t="s">
        <v>1356</v>
      </c>
      <c r="C1639" s="4" t="s">
        <v>1357</v>
      </c>
      <c r="D1639" s="4" t="s">
        <v>97</v>
      </c>
      <c r="E1639" s="4" t="s">
        <v>63</v>
      </c>
      <c r="F1639" s="4" t="s">
        <v>63</v>
      </c>
      <c r="G1639" s="4" t="s">
        <v>1384</v>
      </c>
      <c r="H1639" s="4"/>
      <c r="I1639" s="4" t="n">
        <v>1.1874</v>
      </c>
      <c r="J1639" s="4" t="str">
        <f aca="false">TRIM(E1639) &amp; TRIM(C1639) &amp; TRIM(D1639)</f>
        <v>First ReviewCreative Hub Video SafetyBR</v>
      </c>
      <c r="K1639" s="4" t="n">
        <f aca="false">IFERROR(I1639*60,"")</f>
        <v>71.244</v>
      </c>
    </row>
    <row r="1640" customFormat="false" ht="15" hidden="false" customHeight="false" outlineLevel="0" collapsed="false">
      <c r="A1640" s="4" t="s">
        <v>15</v>
      </c>
      <c r="B1640" s="4" t="s">
        <v>1356</v>
      </c>
      <c r="C1640" s="4" t="s">
        <v>1359</v>
      </c>
      <c r="D1640" s="4" t="s">
        <v>111</v>
      </c>
      <c r="E1640" s="4" t="s">
        <v>63</v>
      </c>
      <c r="F1640" s="4" t="s">
        <v>63</v>
      </c>
      <c r="G1640" s="4" t="s">
        <v>1385</v>
      </c>
      <c r="H1640" s="4"/>
      <c r="I1640" s="4" t="n">
        <v>0.9679</v>
      </c>
      <c r="J1640" s="4" t="str">
        <f aca="false">TRIM(E1640) &amp; TRIM(C1640) &amp; TRIM(D1640)</f>
        <v>First ReviewCreative Hub Web AnchorUS</v>
      </c>
      <c r="K1640" s="4" t="n">
        <f aca="false">IFERROR(I1640*60,"")</f>
        <v>58.074</v>
      </c>
    </row>
    <row r="1641" customFormat="false" ht="15" hidden="false" customHeight="false" outlineLevel="0" collapsed="false">
      <c r="A1641" s="4" t="s">
        <v>15</v>
      </c>
      <c r="B1641" s="4" t="s">
        <v>1356</v>
      </c>
      <c r="C1641" s="4" t="s">
        <v>1368</v>
      </c>
      <c r="D1641" s="4" t="s">
        <v>208</v>
      </c>
      <c r="E1641" s="4" t="s">
        <v>63</v>
      </c>
      <c r="F1641" s="4" t="s">
        <v>63</v>
      </c>
      <c r="G1641" s="4" t="s">
        <v>1386</v>
      </c>
      <c r="H1641" s="4"/>
      <c r="I1641" s="4" t="n">
        <v>4.7051</v>
      </c>
      <c r="J1641" s="4" t="str">
        <f aca="false">TRIM(E1641) &amp; TRIM(C1641) &amp; TRIM(D1641)</f>
        <v>First ReviewCreative Hub Community VideoCO</v>
      </c>
      <c r="K1641" s="4" t="n">
        <f aca="false">IFERROR(I1641*60,"")</f>
        <v>282.306</v>
      </c>
    </row>
    <row r="1642" customFormat="false" ht="15" hidden="false" customHeight="false" outlineLevel="0" collapsed="false">
      <c r="A1642" s="4" t="s">
        <v>15</v>
      </c>
      <c r="B1642" s="4" t="s">
        <v>1356</v>
      </c>
      <c r="C1642" s="4" t="s">
        <v>1359</v>
      </c>
      <c r="D1642" s="4" t="s">
        <v>97</v>
      </c>
      <c r="E1642" s="4" t="s">
        <v>63</v>
      </c>
      <c r="F1642" s="4" t="s">
        <v>63</v>
      </c>
      <c r="G1642" s="4" t="s">
        <v>1387</v>
      </c>
      <c r="H1642" s="4"/>
      <c r="I1642" s="4" t="n">
        <v>1.7667</v>
      </c>
      <c r="J1642" s="4" t="str">
        <f aca="false">TRIM(E1642) &amp; TRIM(C1642) &amp; TRIM(D1642)</f>
        <v>First ReviewCreative Hub Web AnchorBR</v>
      </c>
      <c r="K1642" s="4" t="n">
        <f aca="false">IFERROR(I1642*60,"")</f>
        <v>106.002</v>
      </c>
    </row>
    <row r="1643" customFormat="false" ht="15" hidden="false" customHeight="false" outlineLevel="0" collapsed="false">
      <c r="A1643" s="4" t="s">
        <v>15</v>
      </c>
      <c r="B1643" s="4" t="s">
        <v>1356</v>
      </c>
      <c r="C1643" s="4" t="s">
        <v>1365</v>
      </c>
      <c r="D1643" s="4" t="s">
        <v>121</v>
      </c>
      <c r="E1643" s="4" t="s">
        <v>63</v>
      </c>
      <c r="F1643" s="4" t="s">
        <v>63</v>
      </c>
      <c r="G1643" s="4" t="s">
        <v>1388</v>
      </c>
      <c r="H1643" s="4"/>
      <c r="I1643" s="4" t="n">
        <v>3.3879</v>
      </c>
      <c r="J1643" s="4" t="str">
        <f aca="false">TRIM(E1643) &amp; TRIM(C1643) &amp; TRIM(D1643)</f>
        <v>First ReviewCreative Hub App Download AnchorKR</v>
      </c>
      <c r="K1643" s="4" t="n">
        <f aca="false">IFERROR(I1643*60,"")</f>
        <v>203.274</v>
      </c>
    </row>
    <row r="1644" customFormat="false" ht="15" hidden="false" customHeight="false" outlineLevel="0" collapsed="false">
      <c r="A1644" s="4" t="s">
        <v>15</v>
      </c>
      <c r="B1644" s="4" t="s">
        <v>1356</v>
      </c>
      <c r="C1644" s="4" t="s">
        <v>1365</v>
      </c>
      <c r="D1644" s="4" t="s">
        <v>275</v>
      </c>
      <c r="E1644" s="4" t="s">
        <v>63</v>
      </c>
      <c r="F1644" s="4" t="s">
        <v>63</v>
      </c>
      <c r="G1644" s="4" t="s">
        <v>1389</v>
      </c>
      <c r="H1644" s="4"/>
      <c r="I1644" s="4" t="n">
        <v>0.7979</v>
      </c>
      <c r="J1644" s="4" t="str">
        <f aca="false">TRIM(E1644) &amp; TRIM(C1644) &amp; TRIM(D1644)</f>
        <v>First ReviewCreative Hub App Download AnchorGB</v>
      </c>
      <c r="K1644" s="4" t="n">
        <f aca="false">IFERROR(I1644*60,"")</f>
        <v>47.874</v>
      </c>
    </row>
    <row r="1645" customFormat="false" ht="15" hidden="false" customHeight="false" outlineLevel="0" collapsed="false">
      <c r="A1645" s="4" t="s">
        <v>15</v>
      </c>
      <c r="B1645" s="4" t="s">
        <v>1356</v>
      </c>
      <c r="C1645" s="4" t="s">
        <v>1357</v>
      </c>
      <c r="D1645" s="4" t="s">
        <v>235</v>
      </c>
      <c r="E1645" s="4" t="s">
        <v>63</v>
      </c>
      <c r="F1645" s="4" t="s">
        <v>63</v>
      </c>
      <c r="G1645" s="4" t="s">
        <v>1390</v>
      </c>
      <c r="H1645" s="4"/>
      <c r="I1645" s="4" t="n">
        <v>3.2806</v>
      </c>
      <c r="J1645" s="4" t="str">
        <f aca="false">TRIM(E1645) &amp; TRIM(C1645) &amp; TRIM(D1645)</f>
        <v>First ReviewCreative Hub Video SafetyJP</v>
      </c>
      <c r="K1645" s="4" t="n">
        <f aca="false">IFERROR(I1645*60,"")</f>
        <v>196.836</v>
      </c>
    </row>
    <row r="1646" customFormat="false" ht="15" hidden="false" customHeight="false" outlineLevel="0" collapsed="false">
      <c r="A1646" s="4" t="s">
        <v>15</v>
      </c>
      <c r="B1646" s="4" t="s">
        <v>1356</v>
      </c>
      <c r="C1646" s="4" t="s">
        <v>1365</v>
      </c>
      <c r="D1646" s="4" t="s">
        <v>111</v>
      </c>
      <c r="E1646" s="4" t="s">
        <v>63</v>
      </c>
      <c r="F1646" s="4" t="s">
        <v>63</v>
      </c>
      <c r="G1646" s="4" t="s">
        <v>1391</v>
      </c>
      <c r="H1646" s="4"/>
      <c r="I1646" s="4" t="n">
        <v>0.6316</v>
      </c>
      <c r="J1646" s="4" t="str">
        <f aca="false">TRIM(E1646) &amp; TRIM(C1646) &amp; TRIM(D1646)</f>
        <v>First ReviewCreative Hub App Download AnchorUS</v>
      </c>
      <c r="K1646" s="4" t="n">
        <f aca="false">IFERROR(I1646*60,"")</f>
        <v>37.896</v>
      </c>
    </row>
    <row r="1647" customFormat="false" ht="15" hidden="false" customHeight="false" outlineLevel="0" collapsed="false">
      <c r="A1647" s="4" t="s">
        <v>15</v>
      </c>
      <c r="B1647" s="4" t="s">
        <v>1356</v>
      </c>
      <c r="C1647" s="4" t="s">
        <v>1365</v>
      </c>
      <c r="D1647" s="4" t="s">
        <v>213</v>
      </c>
      <c r="E1647" s="4" t="s">
        <v>63</v>
      </c>
      <c r="F1647" s="4" t="s">
        <v>63</v>
      </c>
      <c r="G1647" s="4" t="s">
        <v>1392</v>
      </c>
      <c r="H1647" s="4"/>
      <c r="I1647" s="4" t="n">
        <v>2.6305</v>
      </c>
      <c r="J1647" s="4" t="str">
        <f aca="false">TRIM(E1647) &amp; TRIM(C1647) &amp; TRIM(D1647)</f>
        <v>First ReviewCreative Hub App Download AnchorFR</v>
      </c>
      <c r="K1647" s="4" t="n">
        <f aca="false">IFERROR(I1647*60,"")</f>
        <v>157.83</v>
      </c>
    </row>
    <row r="1648" customFormat="false" ht="15" hidden="false" customHeight="false" outlineLevel="0" collapsed="false">
      <c r="A1648" s="4" t="s">
        <v>15</v>
      </c>
      <c r="B1648" s="4" t="s">
        <v>1356</v>
      </c>
      <c r="C1648" s="4" t="s">
        <v>1365</v>
      </c>
      <c r="D1648" s="4" t="s">
        <v>235</v>
      </c>
      <c r="E1648" s="4" t="s">
        <v>63</v>
      </c>
      <c r="F1648" s="4" t="s">
        <v>63</v>
      </c>
      <c r="G1648" s="4" t="s">
        <v>1393</v>
      </c>
      <c r="H1648" s="4"/>
      <c r="I1648" s="4" t="n">
        <v>0.1927</v>
      </c>
      <c r="J1648" s="4" t="str">
        <f aca="false">TRIM(E1648) &amp; TRIM(C1648) &amp; TRIM(D1648)</f>
        <v>First ReviewCreative Hub App Download AnchorJP</v>
      </c>
      <c r="K1648" s="4" t="n">
        <f aca="false">IFERROR(I1648*60,"")</f>
        <v>11.562</v>
      </c>
    </row>
    <row r="1649" customFormat="false" ht="15" hidden="false" customHeight="false" outlineLevel="0" collapsed="false">
      <c r="A1649" s="4" t="s">
        <v>15</v>
      </c>
      <c r="B1649" s="4" t="s">
        <v>1356</v>
      </c>
      <c r="C1649" s="4" t="s">
        <v>1357</v>
      </c>
      <c r="D1649" s="4" t="s">
        <v>157</v>
      </c>
      <c r="E1649" s="4" t="s">
        <v>63</v>
      </c>
      <c r="F1649" s="4" t="s">
        <v>63</v>
      </c>
      <c r="G1649" s="4" t="s">
        <v>1394</v>
      </c>
      <c r="H1649" s="4"/>
      <c r="I1649" s="4" t="n">
        <v>2.5838</v>
      </c>
      <c r="J1649" s="4" t="str">
        <f aca="false">TRIM(E1649) &amp; TRIM(C1649) &amp; TRIM(D1649)</f>
        <v>First ReviewCreative Hub Video SafetySA</v>
      </c>
      <c r="K1649" s="4" t="n">
        <f aca="false">IFERROR(I1649*60,"")</f>
        <v>155.028</v>
      </c>
    </row>
    <row r="1650" customFormat="false" ht="15" hidden="false" customHeight="false" outlineLevel="0" collapsed="false">
      <c r="A1650" s="4" t="s">
        <v>15</v>
      </c>
      <c r="B1650" s="4" t="s">
        <v>1356</v>
      </c>
      <c r="C1650" s="4" t="s">
        <v>1361</v>
      </c>
      <c r="D1650" s="4" t="s">
        <v>154</v>
      </c>
      <c r="E1650" s="4" t="s">
        <v>63</v>
      </c>
      <c r="F1650" s="4" t="s">
        <v>63</v>
      </c>
      <c r="G1650" s="4" t="s">
        <v>1395</v>
      </c>
      <c r="H1650" s="4"/>
      <c r="I1650" s="4" t="n">
        <v>5.1027</v>
      </c>
      <c r="J1650" s="4" t="str">
        <f aca="false">TRIM(E1650) &amp; TRIM(C1650) &amp; TRIM(D1650)</f>
        <v>First ReviewCreative Hub CampaignES</v>
      </c>
      <c r="K1650" s="4" t="n">
        <f aca="false">IFERROR(I1650*60,"")</f>
        <v>306.162</v>
      </c>
    </row>
    <row r="1651" customFormat="false" ht="15" hidden="false" customHeight="false" outlineLevel="0" collapsed="false">
      <c r="A1651" s="4" t="s">
        <v>15</v>
      </c>
      <c r="B1651" s="4" t="s">
        <v>1356</v>
      </c>
      <c r="C1651" s="4" t="s">
        <v>1359</v>
      </c>
      <c r="D1651" s="4" t="s">
        <v>275</v>
      </c>
      <c r="E1651" s="4" t="s">
        <v>63</v>
      </c>
      <c r="F1651" s="4" t="s">
        <v>63</v>
      </c>
      <c r="G1651" s="4" t="s">
        <v>1396</v>
      </c>
      <c r="H1651" s="4"/>
      <c r="I1651" s="4" t="n">
        <v>1.3043</v>
      </c>
      <c r="J1651" s="4" t="str">
        <f aca="false">TRIM(E1651) &amp; TRIM(C1651) &amp; TRIM(D1651)</f>
        <v>First ReviewCreative Hub Web AnchorGB</v>
      </c>
      <c r="K1651" s="4" t="n">
        <f aca="false">IFERROR(I1651*60,"")</f>
        <v>78.258</v>
      </c>
    </row>
    <row r="1652" customFormat="false" ht="15" hidden="false" customHeight="false" outlineLevel="0" collapsed="false">
      <c r="A1652" s="4" t="s">
        <v>15</v>
      </c>
      <c r="B1652" s="4" t="s">
        <v>1356</v>
      </c>
      <c r="C1652" s="4" t="s">
        <v>1357</v>
      </c>
      <c r="D1652" s="4" t="s">
        <v>275</v>
      </c>
      <c r="E1652" s="4" t="s">
        <v>63</v>
      </c>
      <c r="F1652" s="4" t="s">
        <v>63</v>
      </c>
      <c r="G1652" s="4" t="s">
        <v>1397</v>
      </c>
      <c r="H1652" s="4"/>
      <c r="I1652" s="4" t="n">
        <v>1.0223</v>
      </c>
      <c r="J1652" s="4" t="str">
        <f aca="false">TRIM(E1652) &amp; TRIM(C1652) &amp; TRIM(D1652)</f>
        <v>First ReviewCreative Hub Video SafetyGB</v>
      </c>
      <c r="K1652" s="4" t="n">
        <f aca="false">IFERROR(I1652*60,"")</f>
        <v>61.338</v>
      </c>
    </row>
    <row r="1653" customFormat="false" ht="15" hidden="false" customHeight="false" outlineLevel="0" collapsed="false">
      <c r="A1653" s="4" t="s">
        <v>15</v>
      </c>
      <c r="B1653" s="4" t="s">
        <v>1356</v>
      </c>
      <c r="C1653" s="4" t="s">
        <v>1361</v>
      </c>
      <c r="D1653" s="4" t="s">
        <v>195</v>
      </c>
      <c r="E1653" s="4" t="s">
        <v>63</v>
      </c>
      <c r="F1653" s="4" t="s">
        <v>63</v>
      </c>
      <c r="G1653" s="4" t="s">
        <v>1398</v>
      </c>
      <c r="H1653" s="4"/>
      <c r="I1653" s="4" t="n">
        <v>4.1999</v>
      </c>
      <c r="J1653" s="4" t="str">
        <f aca="false">TRIM(E1653) &amp; TRIM(C1653) &amp; TRIM(D1653)</f>
        <v>First ReviewCreative Hub CampaignIT</v>
      </c>
      <c r="K1653" s="4" t="n">
        <f aca="false">IFERROR(I1653*60,"")</f>
        <v>251.994</v>
      </c>
    </row>
    <row r="1654" customFormat="false" ht="15" hidden="false" customHeight="false" outlineLevel="0" collapsed="false">
      <c r="A1654" s="4" t="s">
        <v>15</v>
      </c>
      <c r="B1654" s="4" t="s">
        <v>1356</v>
      </c>
      <c r="C1654" s="4" t="s">
        <v>1368</v>
      </c>
      <c r="D1654" s="4" t="s">
        <v>111</v>
      </c>
      <c r="E1654" s="4" t="s">
        <v>63</v>
      </c>
      <c r="F1654" s="4" t="s">
        <v>63</v>
      </c>
      <c r="G1654" s="4" t="s">
        <v>1399</v>
      </c>
      <c r="H1654" s="4"/>
      <c r="I1654" s="4" t="n">
        <v>1.2007</v>
      </c>
      <c r="J1654" s="4" t="str">
        <f aca="false">TRIM(E1654) &amp; TRIM(C1654) &amp; TRIM(D1654)</f>
        <v>First ReviewCreative Hub Community VideoUS</v>
      </c>
      <c r="K1654" s="4" t="n">
        <f aca="false">IFERROR(I1654*60,"")</f>
        <v>72.042</v>
      </c>
    </row>
    <row r="1655" customFormat="false" ht="15" hidden="false" customHeight="false" outlineLevel="0" collapsed="false">
      <c r="A1655" s="4" t="s">
        <v>15</v>
      </c>
      <c r="B1655" s="4" t="s">
        <v>1356</v>
      </c>
      <c r="C1655" s="4" t="s">
        <v>1365</v>
      </c>
      <c r="D1655" s="4" t="s">
        <v>190</v>
      </c>
      <c r="E1655" s="4" t="s">
        <v>63</v>
      </c>
      <c r="F1655" s="4" t="s">
        <v>63</v>
      </c>
      <c r="G1655" s="4" t="s">
        <v>1400</v>
      </c>
      <c r="H1655" s="4"/>
      <c r="I1655" s="4" t="n">
        <v>0.3229</v>
      </c>
      <c r="J1655" s="4" t="str">
        <f aca="false">TRIM(E1655) &amp; TRIM(C1655) &amp; TRIM(D1655)</f>
        <v>First ReviewCreative Hub App Download AnchorPH</v>
      </c>
      <c r="K1655" s="4" t="n">
        <f aca="false">IFERROR(I1655*60,"")</f>
        <v>19.374</v>
      </c>
    </row>
    <row r="1656" customFormat="false" ht="15" hidden="false" customHeight="false" outlineLevel="0" collapsed="false">
      <c r="A1656" s="4" t="s">
        <v>15</v>
      </c>
      <c r="B1656" s="4" t="s">
        <v>1356</v>
      </c>
      <c r="C1656" s="4" t="s">
        <v>1359</v>
      </c>
      <c r="D1656" s="4" t="s">
        <v>150</v>
      </c>
      <c r="E1656" s="4" t="s">
        <v>63</v>
      </c>
      <c r="F1656" s="4" t="s">
        <v>63</v>
      </c>
      <c r="G1656" s="4" t="s">
        <v>1401</v>
      </c>
      <c r="H1656" s="4"/>
      <c r="I1656" s="4" t="n">
        <v>1.7092</v>
      </c>
      <c r="J1656" s="4" t="str">
        <f aca="false">TRIM(E1656) &amp; TRIM(C1656) &amp; TRIM(D1656)</f>
        <v>First ReviewCreative Hub Web AnchorDE</v>
      </c>
      <c r="K1656" s="4" t="n">
        <f aca="false">IFERROR(I1656*60,"")</f>
        <v>102.552</v>
      </c>
    </row>
    <row r="1657" customFormat="false" ht="15" hidden="false" customHeight="false" outlineLevel="0" collapsed="false">
      <c r="A1657" s="4" t="s">
        <v>15</v>
      </c>
      <c r="B1657" s="4" t="s">
        <v>1356</v>
      </c>
      <c r="C1657" s="4" t="s">
        <v>1368</v>
      </c>
      <c r="D1657" s="4" t="s">
        <v>106</v>
      </c>
      <c r="E1657" s="4" t="s">
        <v>63</v>
      </c>
      <c r="F1657" s="4" t="s">
        <v>63</v>
      </c>
      <c r="G1657" s="4" t="s">
        <v>1402</v>
      </c>
      <c r="H1657" s="4"/>
      <c r="I1657" s="4" t="n">
        <v>1.4626</v>
      </c>
      <c r="J1657" s="4" t="str">
        <f aca="false">TRIM(E1657) &amp; TRIM(C1657) &amp; TRIM(D1657)</f>
        <v>First ReviewCreative Hub Community VideoMY</v>
      </c>
      <c r="K1657" s="4" t="n">
        <f aca="false">IFERROR(I1657*60,"")</f>
        <v>87.756</v>
      </c>
    </row>
    <row r="1658" customFormat="false" ht="15" hidden="false" customHeight="false" outlineLevel="0" collapsed="false">
      <c r="A1658" s="4" t="s">
        <v>15</v>
      </c>
      <c r="B1658" s="4" t="s">
        <v>1356</v>
      </c>
      <c r="C1658" s="4" t="s">
        <v>1357</v>
      </c>
      <c r="D1658" s="4" t="s">
        <v>208</v>
      </c>
      <c r="E1658" s="4" t="s">
        <v>63</v>
      </c>
      <c r="F1658" s="4" t="s">
        <v>63</v>
      </c>
      <c r="G1658" s="4" t="s">
        <v>1403</v>
      </c>
      <c r="H1658" s="4"/>
      <c r="I1658" s="4" t="n">
        <v>0.2896</v>
      </c>
      <c r="J1658" s="4" t="str">
        <f aca="false">TRIM(E1658) &amp; TRIM(C1658) &amp; TRIM(D1658)</f>
        <v>First ReviewCreative Hub Video SafetyCO</v>
      </c>
      <c r="K1658" s="4" t="n">
        <f aca="false">IFERROR(I1658*60,"")</f>
        <v>17.376</v>
      </c>
    </row>
    <row r="1659" customFormat="false" ht="15" hidden="false" customHeight="false" outlineLevel="0" collapsed="false">
      <c r="A1659" s="4" t="s">
        <v>15</v>
      </c>
      <c r="B1659" s="4" t="s">
        <v>1356</v>
      </c>
      <c r="C1659" s="4" t="s">
        <v>1365</v>
      </c>
      <c r="D1659" s="4" t="s">
        <v>306</v>
      </c>
      <c r="E1659" s="4" t="s">
        <v>63</v>
      </c>
      <c r="F1659" s="4" t="s">
        <v>63</v>
      </c>
      <c r="G1659" s="4" t="s">
        <v>1404</v>
      </c>
      <c r="H1659" s="4"/>
      <c r="I1659" s="4" t="n">
        <v>0.8916</v>
      </c>
      <c r="J1659" s="4" t="str">
        <f aca="false">TRIM(E1659) &amp; TRIM(C1659) &amp; TRIM(D1659)</f>
        <v>First ReviewCreative Hub App Download AnchorTH</v>
      </c>
      <c r="K1659" s="4" t="n">
        <f aca="false">IFERROR(I1659*60,"")</f>
        <v>53.496</v>
      </c>
    </row>
    <row r="1660" customFormat="false" ht="15" hidden="false" customHeight="false" outlineLevel="0" collapsed="false">
      <c r="A1660" s="4" t="s">
        <v>15</v>
      </c>
      <c r="B1660" s="4" t="s">
        <v>1356</v>
      </c>
      <c r="C1660" s="4" t="s">
        <v>1368</v>
      </c>
      <c r="D1660" s="4" t="s">
        <v>154</v>
      </c>
      <c r="E1660" s="4" t="s">
        <v>63</v>
      </c>
      <c r="F1660" s="4" t="s">
        <v>63</v>
      </c>
      <c r="G1660" s="4" t="s">
        <v>1405</v>
      </c>
      <c r="H1660" s="4"/>
      <c r="I1660" s="4" t="n">
        <v>5.1693</v>
      </c>
      <c r="J1660" s="4" t="str">
        <f aca="false">TRIM(E1660) &amp; TRIM(C1660) &amp; TRIM(D1660)</f>
        <v>First ReviewCreative Hub Community VideoES</v>
      </c>
      <c r="K1660" s="4" t="n">
        <f aca="false">IFERROR(I1660*60,"")</f>
        <v>310.158</v>
      </c>
    </row>
    <row r="1661" customFormat="false" ht="15" hidden="false" customHeight="false" outlineLevel="0" collapsed="false">
      <c r="A1661" s="4" t="s">
        <v>15</v>
      </c>
      <c r="B1661" s="4" t="s">
        <v>1356</v>
      </c>
      <c r="C1661" s="4" t="s">
        <v>1361</v>
      </c>
      <c r="D1661" s="4" t="s">
        <v>267</v>
      </c>
      <c r="E1661" s="4" t="s">
        <v>63</v>
      </c>
      <c r="F1661" s="4" t="s">
        <v>63</v>
      </c>
      <c r="G1661" s="4" t="s">
        <v>1406</v>
      </c>
      <c r="H1661" s="4"/>
      <c r="I1661" s="4" t="n">
        <v>1.6413</v>
      </c>
      <c r="J1661" s="4" t="str">
        <f aca="false">TRIM(E1661) &amp; TRIM(C1661) &amp; TRIM(D1661)</f>
        <v>First ReviewCreative Hub CampaignID</v>
      </c>
      <c r="K1661" s="4" t="n">
        <f aca="false">IFERROR(I1661*60,"")</f>
        <v>98.478</v>
      </c>
    </row>
    <row r="1662" customFormat="false" ht="15" hidden="false" customHeight="false" outlineLevel="0" collapsed="false">
      <c r="A1662" s="4" t="s">
        <v>15</v>
      </c>
      <c r="B1662" s="4" t="s">
        <v>1356</v>
      </c>
      <c r="C1662" s="4" t="s">
        <v>1365</v>
      </c>
      <c r="D1662" s="4" t="s">
        <v>203</v>
      </c>
      <c r="E1662" s="4" t="s">
        <v>63</v>
      </c>
      <c r="F1662" s="4" t="s">
        <v>63</v>
      </c>
      <c r="G1662" s="4" t="s">
        <v>1407</v>
      </c>
      <c r="H1662" s="4"/>
      <c r="I1662" s="4" t="n">
        <v>0.7311</v>
      </c>
      <c r="J1662" s="4" t="str">
        <f aca="false">TRIM(E1662) &amp; TRIM(C1662) &amp; TRIM(D1662)</f>
        <v>First ReviewCreative Hub App Download AnchorCA</v>
      </c>
      <c r="K1662" s="4" t="n">
        <f aca="false">IFERROR(I1662*60,"")</f>
        <v>43.866</v>
      </c>
    </row>
    <row r="1663" customFormat="false" ht="15" hidden="false" customHeight="false" outlineLevel="0" collapsed="false">
      <c r="A1663" s="4" t="s">
        <v>15</v>
      </c>
      <c r="B1663" s="4" t="s">
        <v>1356</v>
      </c>
      <c r="C1663" s="4" t="s">
        <v>1357</v>
      </c>
      <c r="D1663" s="4" t="s">
        <v>154</v>
      </c>
      <c r="E1663" s="4" t="s">
        <v>63</v>
      </c>
      <c r="F1663" s="4" t="s">
        <v>63</v>
      </c>
      <c r="G1663" s="4" t="s">
        <v>1408</v>
      </c>
      <c r="H1663" s="4"/>
      <c r="I1663" s="4" t="n">
        <v>1.1906</v>
      </c>
      <c r="J1663" s="4" t="str">
        <f aca="false">TRIM(E1663) &amp; TRIM(C1663) &amp; TRIM(D1663)</f>
        <v>First ReviewCreative Hub Video SafetyES</v>
      </c>
      <c r="K1663" s="4" t="n">
        <f aca="false">IFERROR(I1663*60,"")</f>
        <v>71.436</v>
      </c>
    </row>
    <row r="1664" customFormat="false" ht="15" hidden="false" customHeight="false" outlineLevel="0" collapsed="false">
      <c r="A1664" s="4" t="s">
        <v>15</v>
      </c>
      <c r="B1664" s="4" t="s">
        <v>1356</v>
      </c>
      <c r="C1664" s="4" t="s">
        <v>1359</v>
      </c>
      <c r="D1664" s="4" t="s">
        <v>458</v>
      </c>
      <c r="E1664" s="4" t="s">
        <v>63</v>
      </c>
      <c r="F1664" s="4" t="s">
        <v>63</v>
      </c>
      <c r="G1664" s="4" t="s">
        <v>1409</v>
      </c>
      <c r="H1664" s="4"/>
      <c r="I1664" s="4" t="n">
        <v>0.5579</v>
      </c>
      <c r="J1664" s="4" t="str">
        <f aca="false">TRIM(E1664) &amp; TRIM(C1664) &amp; TRIM(D1664)</f>
        <v>First ReviewCreative Hub Web AnchorTW</v>
      </c>
      <c r="K1664" s="4" t="n">
        <f aca="false">IFERROR(I1664*60,"")</f>
        <v>33.474</v>
      </c>
    </row>
    <row r="1665" customFormat="false" ht="15" hidden="false" customHeight="false" outlineLevel="0" collapsed="false">
      <c r="A1665" s="4" t="s">
        <v>15</v>
      </c>
      <c r="B1665" s="4" t="s">
        <v>1356</v>
      </c>
      <c r="C1665" s="4" t="s">
        <v>1365</v>
      </c>
      <c r="D1665" s="4" t="s">
        <v>97</v>
      </c>
      <c r="E1665" s="4" t="s">
        <v>63</v>
      </c>
      <c r="F1665" s="4" t="s">
        <v>63</v>
      </c>
      <c r="G1665" s="4" t="s">
        <v>1410</v>
      </c>
      <c r="H1665" s="4"/>
      <c r="I1665" s="4" t="n">
        <v>0.3874</v>
      </c>
      <c r="J1665" s="4" t="str">
        <f aca="false">TRIM(E1665) &amp; TRIM(C1665) &amp; TRIM(D1665)</f>
        <v>First ReviewCreative Hub App Download AnchorBR</v>
      </c>
      <c r="K1665" s="4" t="n">
        <f aca="false">IFERROR(I1665*60,"")</f>
        <v>23.244</v>
      </c>
    </row>
    <row r="1666" customFormat="false" ht="15" hidden="false" customHeight="false" outlineLevel="0" collapsed="false">
      <c r="A1666" s="4" t="s">
        <v>15</v>
      </c>
      <c r="B1666" s="4" t="s">
        <v>1356</v>
      </c>
      <c r="C1666" s="4" t="s">
        <v>1359</v>
      </c>
      <c r="D1666" s="4" t="s">
        <v>154</v>
      </c>
      <c r="E1666" s="4" t="s">
        <v>63</v>
      </c>
      <c r="F1666" s="4" t="s">
        <v>63</v>
      </c>
      <c r="G1666" s="4" t="s">
        <v>1411</v>
      </c>
      <c r="H1666" s="4"/>
      <c r="I1666" s="4" t="n">
        <v>2.0982</v>
      </c>
      <c r="J1666" s="4" t="str">
        <f aca="false">TRIM(E1666) &amp; TRIM(C1666) &amp; TRIM(D1666)</f>
        <v>First ReviewCreative Hub Web AnchorES</v>
      </c>
      <c r="K1666" s="4" t="n">
        <f aca="false">IFERROR(I1666*60,"")</f>
        <v>125.892</v>
      </c>
    </row>
    <row r="1667" customFormat="false" ht="15" hidden="false" customHeight="false" outlineLevel="0" collapsed="false">
      <c r="A1667" s="4" t="s">
        <v>15</v>
      </c>
      <c r="B1667" s="4" t="s">
        <v>1356</v>
      </c>
      <c r="C1667" s="4" t="s">
        <v>1359</v>
      </c>
      <c r="D1667" s="4" t="s">
        <v>157</v>
      </c>
      <c r="E1667" s="4" t="s">
        <v>63</v>
      </c>
      <c r="F1667" s="4" t="s">
        <v>63</v>
      </c>
      <c r="G1667" s="4" t="s">
        <v>1412</v>
      </c>
      <c r="H1667" s="4"/>
      <c r="I1667" s="4" t="n">
        <v>0.2817</v>
      </c>
      <c r="J1667" s="4" t="str">
        <f aca="false">TRIM(E1667) &amp; TRIM(C1667) &amp; TRIM(D1667)</f>
        <v>First ReviewCreative Hub Web AnchorSA</v>
      </c>
      <c r="K1667" s="4" t="n">
        <f aca="false">IFERROR(I1667*60,"")</f>
        <v>16.902</v>
      </c>
    </row>
    <row r="1668" customFormat="false" ht="15" hidden="false" customHeight="false" outlineLevel="0" collapsed="false">
      <c r="A1668" s="4" t="s">
        <v>15</v>
      </c>
      <c r="B1668" s="4" t="s">
        <v>1356</v>
      </c>
      <c r="C1668" s="4" t="s">
        <v>1365</v>
      </c>
      <c r="D1668" s="4" t="s">
        <v>1413</v>
      </c>
      <c r="E1668" s="4" t="s">
        <v>63</v>
      </c>
      <c r="F1668" s="4" t="s">
        <v>63</v>
      </c>
      <c r="G1668" s="4" t="s">
        <v>1414</v>
      </c>
      <c r="H1668" s="4"/>
      <c r="I1668" s="4" t="n">
        <v>0.1589</v>
      </c>
      <c r="J1668" s="4" t="str">
        <f aca="false">TRIM(E1668) &amp; TRIM(C1668) &amp; TRIM(D1668)</f>
        <v>First ReviewCreative Hub App Download AnchorHK</v>
      </c>
      <c r="K1668" s="4" t="n">
        <f aca="false">IFERROR(I1668*60,"")</f>
        <v>9.534</v>
      </c>
    </row>
    <row r="1669" customFormat="false" ht="15" hidden="false" customHeight="false" outlineLevel="0" collapsed="false">
      <c r="A1669" s="4" t="s">
        <v>15</v>
      </c>
      <c r="B1669" s="4" t="s">
        <v>1356</v>
      </c>
      <c r="C1669" s="4" t="s">
        <v>1359</v>
      </c>
      <c r="D1669" s="4" t="s">
        <v>190</v>
      </c>
      <c r="E1669" s="4" t="s">
        <v>63</v>
      </c>
      <c r="F1669" s="4" t="s">
        <v>63</v>
      </c>
      <c r="G1669" s="4" t="s">
        <v>1415</v>
      </c>
      <c r="H1669" s="4"/>
      <c r="I1669" s="4" t="n">
        <v>0.8997</v>
      </c>
      <c r="J1669" s="4" t="str">
        <f aca="false">TRIM(E1669) &amp; TRIM(C1669) &amp; TRIM(D1669)</f>
        <v>First ReviewCreative Hub Web AnchorPH</v>
      </c>
      <c r="K1669" s="4" t="n">
        <f aca="false">IFERROR(I1669*60,"")</f>
        <v>53.982</v>
      </c>
    </row>
    <row r="1670" customFormat="false" ht="15" hidden="false" customHeight="false" outlineLevel="0" collapsed="false">
      <c r="A1670" s="4" t="s">
        <v>15</v>
      </c>
      <c r="B1670" s="4" t="s">
        <v>1356</v>
      </c>
      <c r="C1670" s="4" t="s">
        <v>1361</v>
      </c>
      <c r="D1670" s="4" t="s">
        <v>213</v>
      </c>
      <c r="E1670" s="4" t="s">
        <v>63</v>
      </c>
      <c r="F1670" s="4" t="s">
        <v>63</v>
      </c>
      <c r="G1670" s="4" t="s">
        <v>1416</v>
      </c>
      <c r="H1670" s="4"/>
      <c r="I1670" s="4" t="n">
        <v>4.3337</v>
      </c>
      <c r="J1670" s="4" t="str">
        <f aca="false">TRIM(E1670) &amp; TRIM(C1670) &amp; TRIM(D1670)</f>
        <v>First ReviewCreative Hub CampaignFR</v>
      </c>
      <c r="K1670" s="4" t="n">
        <f aca="false">IFERROR(I1670*60,"")</f>
        <v>260.022</v>
      </c>
    </row>
    <row r="1671" customFormat="false" ht="15" hidden="false" customHeight="false" outlineLevel="0" collapsed="false">
      <c r="A1671" s="4" t="s">
        <v>15</v>
      </c>
      <c r="B1671" s="4" t="s">
        <v>1356</v>
      </c>
      <c r="C1671" s="4" t="s">
        <v>1361</v>
      </c>
      <c r="D1671" s="4" t="s">
        <v>203</v>
      </c>
      <c r="E1671" s="4" t="s">
        <v>63</v>
      </c>
      <c r="F1671" s="4" t="s">
        <v>63</v>
      </c>
      <c r="G1671" s="4" t="s">
        <v>1417</v>
      </c>
      <c r="H1671" s="4"/>
      <c r="I1671" s="4" t="n">
        <v>2.438</v>
      </c>
      <c r="J1671" s="4" t="str">
        <f aca="false">TRIM(E1671) &amp; TRIM(C1671) &amp; TRIM(D1671)</f>
        <v>First ReviewCreative Hub CampaignCA</v>
      </c>
      <c r="K1671" s="4" t="n">
        <f aca="false">IFERROR(I1671*60,"")</f>
        <v>146.28</v>
      </c>
    </row>
    <row r="1672" customFormat="false" ht="15" hidden="false" customHeight="false" outlineLevel="0" collapsed="false">
      <c r="A1672" s="4" t="s">
        <v>15</v>
      </c>
      <c r="B1672" s="4" t="s">
        <v>1356</v>
      </c>
      <c r="C1672" s="4" t="s">
        <v>1357</v>
      </c>
      <c r="D1672" s="4" t="s">
        <v>106</v>
      </c>
      <c r="E1672" s="4" t="s">
        <v>63</v>
      </c>
      <c r="F1672" s="4" t="s">
        <v>63</v>
      </c>
      <c r="G1672" s="4" t="s">
        <v>1418</v>
      </c>
      <c r="H1672" s="4"/>
      <c r="I1672" s="4" t="n">
        <v>1.5312</v>
      </c>
      <c r="J1672" s="4" t="str">
        <f aca="false">TRIM(E1672) &amp; TRIM(C1672) &amp; TRIM(D1672)</f>
        <v>First ReviewCreative Hub Video SafetyMY</v>
      </c>
      <c r="K1672" s="4" t="n">
        <f aca="false">IFERROR(I1672*60,"")</f>
        <v>91.872</v>
      </c>
    </row>
    <row r="1673" customFormat="false" ht="15" hidden="false" customHeight="false" outlineLevel="0" collapsed="false">
      <c r="A1673" s="4" t="s">
        <v>15</v>
      </c>
      <c r="B1673" s="4" t="s">
        <v>1356</v>
      </c>
      <c r="C1673" s="4" t="s">
        <v>1357</v>
      </c>
      <c r="D1673" s="4" t="s">
        <v>190</v>
      </c>
      <c r="E1673" s="4" t="s">
        <v>63</v>
      </c>
      <c r="F1673" s="4" t="s">
        <v>63</v>
      </c>
      <c r="G1673" s="4" t="s">
        <v>1419</v>
      </c>
      <c r="H1673" s="4"/>
      <c r="I1673" s="4" t="n">
        <v>2.6833</v>
      </c>
      <c r="J1673" s="4" t="str">
        <f aca="false">TRIM(E1673) &amp; TRIM(C1673) &amp; TRIM(D1673)</f>
        <v>First ReviewCreative Hub Video SafetyPH</v>
      </c>
      <c r="K1673" s="4" t="n">
        <f aca="false">IFERROR(I1673*60,"")</f>
        <v>160.998</v>
      </c>
    </row>
    <row r="1674" customFormat="false" ht="15" hidden="false" customHeight="false" outlineLevel="0" collapsed="false">
      <c r="A1674" s="4" t="s">
        <v>15</v>
      </c>
      <c r="B1674" s="4" t="s">
        <v>1356</v>
      </c>
      <c r="C1674" s="4" t="s">
        <v>1368</v>
      </c>
      <c r="D1674" s="4" t="s">
        <v>267</v>
      </c>
      <c r="E1674" s="4" t="s">
        <v>63</v>
      </c>
      <c r="F1674" s="4" t="s">
        <v>63</v>
      </c>
      <c r="G1674" s="4" t="s">
        <v>1420</v>
      </c>
      <c r="H1674" s="4"/>
      <c r="I1674" s="4" t="n">
        <v>1.6636</v>
      </c>
      <c r="J1674" s="4" t="str">
        <f aca="false">TRIM(E1674) &amp; TRIM(C1674) &amp; TRIM(D1674)</f>
        <v>First ReviewCreative Hub Community VideoID</v>
      </c>
      <c r="K1674" s="4" t="n">
        <f aca="false">IFERROR(I1674*60,"")</f>
        <v>99.816</v>
      </c>
    </row>
    <row r="1675" customFormat="false" ht="15" hidden="false" customHeight="false" outlineLevel="0" collapsed="false">
      <c r="A1675" s="4" t="s">
        <v>15</v>
      </c>
      <c r="B1675" s="4" t="s">
        <v>1356</v>
      </c>
      <c r="C1675" s="4" t="s">
        <v>1365</v>
      </c>
      <c r="D1675" s="4" t="s">
        <v>157</v>
      </c>
      <c r="E1675" s="4" t="s">
        <v>63</v>
      </c>
      <c r="F1675" s="4" t="s">
        <v>63</v>
      </c>
      <c r="G1675" s="4" t="s">
        <v>1421</v>
      </c>
      <c r="H1675" s="4"/>
      <c r="I1675" s="4" t="n">
        <v>0.5936</v>
      </c>
      <c r="J1675" s="4" t="str">
        <f aca="false">TRIM(E1675) &amp; TRIM(C1675) &amp; TRIM(D1675)</f>
        <v>First ReviewCreative Hub App Download AnchorSA</v>
      </c>
      <c r="K1675" s="4" t="n">
        <f aca="false">IFERROR(I1675*60,"")</f>
        <v>35.616</v>
      </c>
    </row>
    <row r="1676" customFormat="false" ht="15" hidden="false" customHeight="false" outlineLevel="0" collapsed="false">
      <c r="A1676" s="4" t="s">
        <v>15</v>
      </c>
      <c r="B1676" s="4" t="s">
        <v>1356</v>
      </c>
      <c r="C1676" s="4" t="s">
        <v>1365</v>
      </c>
      <c r="D1676" s="4" t="s">
        <v>87</v>
      </c>
      <c r="E1676" s="4" t="s">
        <v>63</v>
      </c>
      <c r="F1676" s="4" t="s">
        <v>63</v>
      </c>
      <c r="G1676" s="4" t="s">
        <v>1422</v>
      </c>
      <c r="H1676" s="4"/>
      <c r="I1676" s="4" t="n">
        <v>0.9449</v>
      </c>
      <c r="J1676" s="4" t="str">
        <f aca="false">TRIM(E1676) &amp; TRIM(C1676) &amp; TRIM(D1676)</f>
        <v>First ReviewCreative Hub App Download AnchorAE</v>
      </c>
      <c r="K1676" s="4" t="n">
        <f aca="false">IFERROR(I1676*60,"")</f>
        <v>56.694</v>
      </c>
    </row>
    <row r="1677" customFormat="false" ht="15" hidden="false" customHeight="false" outlineLevel="0" collapsed="false">
      <c r="A1677" s="4" t="s">
        <v>15</v>
      </c>
      <c r="B1677" s="4" t="s">
        <v>1356</v>
      </c>
      <c r="C1677" s="4" t="s">
        <v>1361</v>
      </c>
      <c r="D1677" s="4" t="s">
        <v>150</v>
      </c>
      <c r="E1677" s="4" t="s">
        <v>63</v>
      </c>
      <c r="F1677" s="4" t="s">
        <v>63</v>
      </c>
      <c r="G1677" s="4" t="s">
        <v>1423</v>
      </c>
      <c r="H1677" s="4"/>
      <c r="I1677" s="4" t="n">
        <v>3.6092</v>
      </c>
      <c r="J1677" s="4" t="str">
        <f aca="false">TRIM(E1677) &amp; TRIM(C1677) &amp; TRIM(D1677)</f>
        <v>First ReviewCreative Hub CampaignDE</v>
      </c>
      <c r="K1677" s="4" t="n">
        <f aca="false">IFERROR(I1677*60,"")</f>
        <v>216.552</v>
      </c>
    </row>
    <row r="1678" customFormat="false" ht="15" hidden="false" customHeight="false" outlineLevel="0" collapsed="false">
      <c r="A1678" s="4" t="s">
        <v>15</v>
      </c>
      <c r="B1678" s="4" t="s">
        <v>1424</v>
      </c>
      <c r="C1678" s="4" t="s">
        <v>1425</v>
      </c>
      <c r="D1678" s="4" t="s">
        <v>111</v>
      </c>
      <c r="E1678" s="4" t="s">
        <v>63</v>
      </c>
      <c r="F1678" s="4" t="s">
        <v>63</v>
      </c>
      <c r="G1678" s="4" t="s">
        <v>1426</v>
      </c>
      <c r="H1678" s="4"/>
      <c r="I1678" s="4" t="n">
        <v>0.0495</v>
      </c>
      <c r="J1678" s="4" t="str">
        <f aca="false">TRIM(E1678) &amp; TRIM(C1678) &amp; TRIM(D1678)</f>
        <v>First ReviewBehavior Keyword SafetyUS</v>
      </c>
      <c r="K1678" s="4" t="n">
        <f aca="false">IFERROR(I1678*60,"")</f>
        <v>2.97</v>
      </c>
    </row>
    <row r="1679" customFormat="false" ht="15" hidden="false" customHeight="false" outlineLevel="0" collapsed="false">
      <c r="A1679" s="4" t="s">
        <v>15</v>
      </c>
      <c r="B1679" s="4" t="s">
        <v>1424</v>
      </c>
      <c r="C1679" s="4" t="s">
        <v>1427</v>
      </c>
      <c r="D1679" s="4" t="s">
        <v>111</v>
      </c>
      <c r="E1679" s="4" t="s">
        <v>63</v>
      </c>
      <c r="F1679" s="4" t="s">
        <v>63</v>
      </c>
      <c r="G1679" s="4" t="s">
        <v>1428</v>
      </c>
      <c r="H1679" s="4"/>
      <c r="I1679" s="4" t="n">
        <v>0.4256</v>
      </c>
      <c r="J1679" s="4" t="str">
        <f aca="false">TRIM(E1679) &amp; TRIM(C1679) &amp; TRIM(D1679)</f>
        <v>First ReviewInterest Keyword SafetyUS</v>
      </c>
      <c r="K1679" s="4" t="n">
        <f aca="false">IFERROR(I1679*60,"")</f>
        <v>25.536</v>
      </c>
    </row>
    <row r="1680" customFormat="false" ht="15" hidden="false" customHeight="false" outlineLevel="0" collapsed="false">
      <c r="A1680" s="4" t="s">
        <v>15</v>
      </c>
      <c r="B1680" s="4" t="s">
        <v>1429</v>
      </c>
      <c r="C1680" s="4" t="s">
        <v>1429</v>
      </c>
      <c r="D1680" s="4" t="s">
        <v>1430</v>
      </c>
      <c r="E1680" s="4" t="s">
        <v>54</v>
      </c>
      <c r="F1680" s="4" t="s">
        <v>54</v>
      </c>
      <c r="G1680" s="4" t="s">
        <v>1431</v>
      </c>
      <c r="H1680" s="4"/>
      <c r="I1680" s="4" t="n">
        <v>0.7237</v>
      </c>
      <c r="J1680" s="4" t="str">
        <f aca="false">TRIM(E1680) &amp; TRIM(C1680) &amp; TRIM(D1680)</f>
        <v>OthersStream AdsGLOBAL</v>
      </c>
      <c r="K1680" s="4" t="n">
        <f aca="false">IFERROR(I1680*60,"")</f>
        <v>43.422</v>
      </c>
    </row>
    <row r="1681" customFormat="false" ht="15" hidden="false" customHeight="false" outlineLevel="0" collapsed="false">
      <c r="A1681" s="4" t="s">
        <v>15</v>
      </c>
      <c r="B1681" s="4" t="s">
        <v>1432</v>
      </c>
      <c r="C1681" s="4" t="s">
        <v>1433</v>
      </c>
      <c r="D1681" s="4" t="s">
        <v>100</v>
      </c>
      <c r="E1681" s="4" t="s">
        <v>63</v>
      </c>
      <c r="F1681" s="4" t="s">
        <v>63</v>
      </c>
      <c r="G1681" s="4" t="s">
        <v>1434</v>
      </c>
      <c r="H1681" s="4"/>
      <c r="I1681" s="4" t="n">
        <v>0.9355</v>
      </c>
      <c r="J1681" s="4" t="str">
        <f aca="false">TRIM(E1681) &amp; TRIM(C1681) &amp; TRIM(D1681)</f>
        <v>First ReviewQuest Adv RequirementAU</v>
      </c>
      <c r="K1681" s="4" t="n">
        <f aca="false">IFERROR(I1681*60,"")</f>
        <v>56.13</v>
      </c>
    </row>
    <row r="1682" customFormat="false" ht="15" hidden="false" customHeight="false" outlineLevel="0" collapsed="false">
      <c r="A1682" s="4" t="s">
        <v>15</v>
      </c>
      <c r="B1682" s="4" t="s">
        <v>1432</v>
      </c>
      <c r="C1682" s="4" t="s">
        <v>1433</v>
      </c>
      <c r="D1682" s="4" t="s">
        <v>87</v>
      </c>
      <c r="E1682" s="4" t="s">
        <v>63</v>
      </c>
      <c r="F1682" s="4" t="s">
        <v>63</v>
      </c>
      <c r="G1682" s="4" t="s">
        <v>1435</v>
      </c>
      <c r="H1682" s="4"/>
      <c r="I1682" s="4" t="n">
        <v>0.5488</v>
      </c>
      <c r="J1682" s="4" t="str">
        <f aca="false">TRIM(E1682) &amp; TRIM(C1682) &amp; TRIM(D1682)</f>
        <v>First ReviewQuest Adv RequirementAE</v>
      </c>
      <c r="K1682" s="4" t="n">
        <f aca="false">IFERROR(I1682*60,"")</f>
        <v>32.928</v>
      </c>
    </row>
    <row r="1683" customFormat="false" ht="15" hidden="false" customHeight="false" outlineLevel="0" collapsed="false">
      <c r="A1683" s="4" t="s">
        <v>15</v>
      </c>
      <c r="B1683" s="4" t="s">
        <v>1432</v>
      </c>
      <c r="C1683" s="4" t="s">
        <v>1436</v>
      </c>
      <c r="D1683" s="4" t="s">
        <v>150</v>
      </c>
      <c r="E1683" s="4" t="s">
        <v>63</v>
      </c>
      <c r="F1683" s="4" t="s">
        <v>63</v>
      </c>
      <c r="G1683" s="4" t="s">
        <v>1437</v>
      </c>
      <c r="H1683" s="4"/>
      <c r="I1683" s="4" t="n">
        <v>2.1149</v>
      </c>
      <c r="J1683" s="4" t="str">
        <f aca="false">TRIM(E1683) &amp; TRIM(C1683) &amp; TRIM(D1683)</f>
        <v>First ReviewQuest Adv CampaignDE</v>
      </c>
      <c r="K1683" s="4" t="n">
        <f aca="false">IFERROR(I1683*60,"")</f>
        <v>126.894</v>
      </c>
    </row>
    <row r="1684" customFormat="false" ht="15" hidden="false" customHeight="false" outlineLevel="0" collapsed="false">
      <c r="A1684" s="4" t="s">
        <v>15</v>
      </c>
      <c r="B1684" s="4" t="s">
        <v>1432</v>
      </c>
      <c r="C1684" s="4" t="s">
        <v>1438</v>
      </c>
      <c r="D1684" s="4" t="s">
        <v>150</v>
      </c>
      <c r="E1684" s="4" t="s">
        <v>63</v>
      </c>
      <c r="F1684" s="4" t="s">
        <v>63</v>
      </c>
      <c r="G1684" s="4" t="s">
        <v>1439</v>
      </c>
      <c r="H1684" s="4"/>
      <c r="I1684" s="4" t="n">
        <v>4.1135</v>
      </c>
      <c r="J1684" s="4" t="str">
        <f aca="false">TRIM(E1684) &amp; TRIM(C1684) &amp; TRIM(D1684)</f>
        <v>First ReviewQuest Adv VideoDE</v>
      </c>
      <c r="K1684" s="4" t="n">
        <f aca="false">IFERROR(I1684*60,"")</f>
        <v>246.81</v>
      </c>
    </row>
    <row r="1685" customFormat="false" ht="15" hidden="false" customHeight="false" outlineLevel="0" collapsed="false">
      <c r="A1685" s="4" t="s">
        <v>15</v>
      </c>
      <c r="B1685" s="4" t="s">
        <v>1432</v>
      </c>
      <c r="C1685" s="4" t="s">
        <v>1440</v>
      </c>
      <c r="D1685" s="4" t="s">
        <v>306</v>
      </c>
      <c r="E1685" s="4" t="s">
        <v>63</v>
      </c>
      <c r="F1685" s="4" t="s">
        <v>63</v>
      </c>
      <c r="G1685" s="4" t="s">
        <v>1441</v>
      </c>
      <c r="H1685" s="4"/>
      <c r="I1685" s="4" t="n">
        <v>0.7618</v>
      </c>
      <c r="J1685" s="4" t="str">
        <f aca="false">TRIM(E1685) &amp; TRIM(C1685) &amp; TRIM(D1685)</f>
        <v>First ReviewHTC Adv CampaignTH</v>
      </c>
      <c r="K1685" s="4" t="n">
        <f aca="false">IFERROR(I1685*60,"")</f>
        <v>45.708</v>
      </c>
    </row>
    <row r="1686" customFormat="false" ht="15" hidden="false" customHeight="false" outlineLevel="0" collapsed="false">
      <c r="A1686" s="4" t="s">
        <v>15</v>
      </c>
      <c r="B1686" s="4" t="s">
        <v>1432</v>
      </c>
      <c r="C1686" s="4" t="s">
        <v>1442</v>
      </c>
      <c r="D1686" s="4" t="s">
        <v>213</v>
      </c>
      <c r="E1686" s="4" t="s">
        <v>63</v>
      </c>
      <c r="F1686" s="4" t="s">
        <v>63</v>
      </c>
      <c r="G1686" s="4" t="s">
        <v>1443</v>
      </c>
      <c r="H1686" s="4"/>
      <c r="I1686" s="4" t="n">
        <v>0.6873</v>
      </c>
      <c r="J1686" s="4" t="str">
        <f aca="false">TRIM(E1686) &amp; TRIM(C1686) &amp; TRIM(D1686)</f>
        <v>First ReviewQuest Video SafetyFR</v>
      </c>
      <c r="K1686" s="4" t="n">
        <f aca="false">IFERROR(I1686*60,"")</f>
        <v>41.238</v>
      </c>
    </row>
    <row r="1687" customFormat="false" ht="15" hidden="false" customHeight="false" outlineLevel="0" collapsed="false">
      <c r="A1687" s="4" t="s">
        <v>15</v>
      </c>
      <c r="B1687" s="4" t="s">
        <v>1432</v>
      </c>
      <c r="C1687" s="4" t="s">
        <v>1436</v>
      </c>
      <c r="D1687" s="4" t="s">
        <v>275</v>
      </c>
      <c r="E1687" s="4" t="s">
        <v>63</v>
      </c>
      <c r="F1687" s="4" t="s">
        <v>63</v>
      </c>
      <c r="G1687" s="4" t="s">
        <v>1444</v>
      </c>
      <c r="H1687" s="4"/>
      <c r="I1687" s="4" t="n">
        <v>1.1356</v>
      </c>
      <c r="J1687" s="4" t="str">
        <f aca="false">TRIM(E1687) &amp; TRIM(C1687) &amp; TRIM(D1687)</f>
        <v>First ReviewQuest Adv CampaignGB</v>
      </c>
      <c r="K1687" s="4" t="n">
        <f aca="false">IFERROR(I1687*60,"")</f>
        <v>68.136</v>
      </c>
    </row>
    <row r="1688" customFormat="false" ht="15" hidden="false" customHeight="false" outlineLevel="0" collapsed="false">
      <c r="A1688" s="4" t="s">
        <v>15</v>
      </c>
      <c r="B1688" s="4" t="s">
        <v>1432</v>
      </c>
      <c r="C1688" s="4" t="s">
        <v>1440</v>
      </c>
      <c r="D1688" s="4" t="s">
        <v>106</v>
      </c>
      <c r="E1688" s="4" t="s">
        <v>63</v>
      </c>
      <c r="F1688" s="4" t="s">
        <v>63</v>
      </c>
      <c r="G1688" s="4" t="s">
        <v>1445</v>
      </c>
      <c r="H1688" s="4"/>
      <c r="I1688" s="4" t="n">
        <v>1.6089</v>
      </c>
      <c r="J1688" s="4" t="str">
        <f aca="false">TRIM(E1688) &amp; TRIM(C1688) &amp; TRIM(D1688)</f>
        <v>First ReviewHTC Adv CampaignMY</v>
      </c>
      <c r="K1688" s="4" t="n">
        <f aca="false">IFERROR(I1688*60,"")</f>
        <v>96.534</v>
      </c>
    </row>
    <row r="1689" customFormat="false" ht="15" hidden="false" customHeight="false" outlineLevel="0" collapsed="false">
      <c r="A1689" s="4" t="s">
        <v>15</v>
      </c>
      <c r="B1689" s="4" t="s">
        <v>1432</v>
      </c>
      <c r="C1689" s="4" t="s">
        <v>1438</v>
      </c>
      <c r="D1689" s="4" t="s">
        <v>195</v>
      </c>
      <c r="E1689" s="4" t="s">
        <v>63</v>
      </c>
      <c r="F1689" s="4" t="s">
        <v>63</v>
      </c>
      <c r="G1689" s="4" t="s">
        <v>1446</v>
      </c>
      <c r="H1689" s="4"/>
      <c r="I1689" s="4" t="n">
        <v>0.4885</v>
      </c>
      <c r="J1689" s="4" t="str">
        <f aca="false">TRIM(E1689) &amp; TRIM(C1689) &amp; TRIM(D1689)</f>
        <v>First ReviewQuest Adv VideoIT</v>
      </c>
      <c r="K1689" s="4" t="n">
        <f aca="false">IFERROR(I1689*60,"")</f>
        <v>29.31</v>
      </c>
    </row>
    <row r="1690" customFormat="false" ht="15" hidden="false" customHeight="false" outlineLevel="0" collapsed="false">
      <c r="A1690" s="4" t="s">
        <v>15</v>
      </c>
      <c r="B1690" s="4" t="s">
        <v>1432</v>
      </c>
      <c r="C1690" s="4" t="s">
        <v>1438</v>
      </c>
      <c r="D1690" s="4" t="s">
        <v>275</v>
      </c>
      <c r="E1690" s="4" t="s">
        <v>63</v>
      </c>
      <c r="F1690" s="4" t="s">
        <v>63</v>
      </c>
      <c r="G1690" s="4" t="s">
        <v>1447</v>
      </c>
      <c r="H1690" s="4"/>
      <c r="I1690" s="4" t="n">
        <v>0.6316</v>
      </c>
      <c r="J1690" s="4" t="str">
        <f aca="false">TRIM(E1690) &amp; TRIM(C1690) &amp; TRIM(D1690)</f>
        <v>First ReviewQuest Adv VideoGB</v>
      </c>
      <c r="K1690" s="4" t="n">
        <f aca="false">IFERROR(I1690*60,"")</f>
        <v>37.896</v>
      </c>
    </row>
    <row r="1691" customFormat="false" ht="15" hidden="false" customHeight="false" outlineLevel="0" collapsed="false">
      <c r="A1691" s="4" t="s">
        <v>15</v>
      </c>
      <c r="B1691" s="4" t="s">
        <v>1432</v>
      </c>
      <c r="C1691" s="4" t="s">
        <v>1433</v>
      </c>
      <c r="D1691" s="4" t="s">
        <v>267</v>
      </c>
      <c r="E1691" s="4" t="s">
        <v>63</v>
      </c>
      <c r="F1691" s="4" t="s">
        <v>63</v>
      </c>
      <c r="G1691" s="4" t="s">
        <v>1448</v>
      </c>
      <c r="H1691" s="4"/>
      <c r="I1691" s="4" t="n">
        <v>1.0053</v>
      </c>
      <c r="J1691" s="4" t="str">
        <f aca="false">TRIM(E1691) &amp; TRIM(C1691) &amp; TRIM(D1691)</f>
        <v>First ReviewQuest Adv RequirementID</v>
      </c>
      <c r="K1691" s="4" t="n">
        <f aca="false">IFERROR(I1691*60,"")</f>
        <v>60.318</v>
      </c>
    </row>
    <row r="1692" customFormat="false" ht="15" hidden="false" customHeight="false" outlineLevel="0" collapsed="false">
      <c r="A1692" s="4" t="s">
        <v>15</v>
      </c>
      <c r="B1692" s="4" t="s">
        <v>1432</v>
      </c>
      <c r="C1692" s="4" t="s">
        <v>1433</v>
      </c>
      <c r="D1692" s="4" t="s">
        <v>284</v>
      </c>
      <c r="E1692" s="4" t="s">
        <v>63</v>
      </c>
      <c r="F1692" s="4" t="s">
        <v>63</v>
      </c>
      <c r="G1692" s="4" t="s">
        <v>1449</v>
      </c>
      <c r="H1692" s="4"/>
      <c r="I1692" s="4" t="n">
        <v>0.8796</v>
      </c>
      <c r="J1692" s="4" t="str">
        <f aca="false">TRIM(E1692) &amp; TRIM(C1692) &amp; TRIM(D1692)</f>
        <v>First ReviewQuest Adv RequirementTR</v>
      </c>
      <c r="K1692" s="4" t="n">
        <f aca="false">IFERROR(I1692*60,"")</f>
        <v>52.776</v>
      </c>
    </row>
    <row r="1693" customFormat="false" ht="15" hidden="false" customHeight="false" outlineLevel="0" collapsed="false">
      <c r="A1693" s="4" t="s">
        <v>15</v>
      </c>
      <c r="B1693" s="4" t="s">
        <v>1432</v>
      </c>
      <c r="C1693" s="4" t="s">
        <v>1433</v>
      </c>
      <c r="D1693" s="4" t="s">
        <v>195</v>
      </c>
      <c r="E1693" s="4" t="s">
        <v>63</v>
      </c>
      <c r="F1693" s="4" t="s">
        <v>63</v>
      </c>
      <c r="G1693" s="4" t="s">
        <v>1450</v>
      </c>
      <c r="H1693" s="4"/>
      <c r="I1693" s="4" t="n">
        <v>0.9473</v>
      </c>
      <c r="J1693" s="4" t="str">
        <f aca="false">TRIM(E1693) &amp; TRIM(C1693) &amp; TRIM(D1693)</f>
        <v>First ReviewQuest Adv RequirementIT</v>
      </c>
      <c r="K1693" s="4" t="n">
        <f aca="false">IFERROR(I1693*60,"")</f>
        <v>56.838</v>
      </c>
    </row>
    <row r="1694" customFormat="false" ht="15" hidden="false" customHeight="false" outlineLevel="0" collapsed="false">
      <c r="A1694" s="4" t="s">
        <v>15</v>
      </c>
      <c r="B1694" s="4" t="s">
        <v>1432</v>
      </c>
      <c r="C1694" s="4" t="s">
        <v>1436</v>
      </c>
      <c r="D1694" s="4" t="s">
        <v>203</v>
      </c>
      <c r="E1694" s="4" t="s">
        <v>63</v>
      </c>
      <c r="F1694" s="4" t="s">
        <v>63</v>
      </c>
      <c r="G1694" s="4" t="s">
        <v>1451</v>
      </c>
      <c r="H1694" s="4"/>
      <c r="I1694" s="4" t="n">
        <v>2.0563</v>
      </c>
      <c r="J1694" s="4" t="str">
        <f aca="false">TRIM(E1694) &amp; TRIM(C1694) &amp; TRIM(D1694)</f>
        <v>First ReviewQuest Adv CampaignCA</v>
      </c>
      <c r="K1694" s="4" t="n">
        <f aca="false">IFERROR(I1694*60,"")</f>
        <v>123.378</v>
      </c>
    </row>
    <row r="1695" customFormat="false" ht="15" hidden="false" customHeight="false" outlineLevel="0" collapsed="false">
      <c r="A1695" s="4" t="s">
        <v>15</v>
      </c>
      <c r="B1695" s="4" t="s">
        <v>1432</v>
      </c>
      <c r="C1695" s="4" t="s">
        <v>1438</v>
      </c>
      <c r="D1695" s="4" t="s">
        <v>306</v>
      </c>
      <c r="E1695" s="4" t="s">
        <v>63</v>
      </c>
      <c r="F1695" s="4" t="s">
        <v>63</v>
      </c>
      <c r="G1695" s="4" t="s">
        <v>1452</v>
      </c>
      <c r="H1695" s="4"/>
      <c r="I1695" s="4" t="n">
        <v>0.5446</v>
      </c>
      <c r="J1695" s="4" t="str">
        <f aca="false">TRIM(E1695) &amp; TRIM(C1695) &amp; TRIM(D1695)</f>
        <v>First ReviewQuest Adv VideoTH</v>
      </c>
      <c r="K1695" s="4" t="n">
        <f aca="false">IFERROR(I1695*60,"")</f>
        <v>32.676</v>
      </c>
    </row>
    <row r="1696" customFormat="false" ht="15" hidden="false" customHeight="false" outlineLevel="0" collapsed="false">
      <c r="A1696" s="4" t="s">
        <v>15</v>
      </c>
      <c r="B1696" s="4" t="s">
        <v>1432</v>
      </c>
      <c r="C1696" s="4" t="s">
        <v>1433</v>
      </c>
      <c r="D1696" s="4" t="s">
        <v>126</v>
      </c>
      <c r="E1696" s="4" t="s">
        <v>63</v>
      </c>
      <c r="F1696" s="4" t="s">
        <v>63</v>
      </c>
      <c r="G1696" s="4" t="s">
        <v>1453</v>
      </c>
      <c r="H1696" s="4"/>
      <c r="I1696" s="4" t="n">
        <v>0.7745</v>
      </c>
      <c r="J1696" s="4" t="str">
        <f aca="false">TRIM(E1696) &amp; TRIM(C1696) &amp; TRIM(D1696)</f>
        <v>First ReviewQuest Adv RequirementMX</v>
      </c>
      <c r="K1696" s="4" t="n">
        <f aca="false">IFERROR(I1696*60,"")</f>
        <v>46.47</v>
      </c>
    </row>
    <row r="1697" customFormat="false" ht="15" hidden="false" customHeight="false" outlineLevel="0" collapsed="false">
      <c r="A1697" s="4" t="s">
        <v>15</v>
      </c>
      <c r="B1697" s="4" t="s">
        <v>1432</v>
      </c>
      <c r="C1697" s="4" t="s">
        <v>1436</v>
      </c>
      <c r="D1697" s="4" t="s">
        <v>235</v>
      </c>
      <c r="E1697" s="4" t="s">
        <v>63</v>
      </c>
      <c r="F1697" s="4" t="s">
        <v>63</v>
      </c>
      <c r="G1697" s="4" t="s">
        <v>1454</v>
      </c>
      <c r="H1697" s="4"/>
      <c r="I1697" s="4" t="n">
        <v>0.6143</v>
      </c>
      <c r="J1697" s="4" t="str">
        <f aca="false">TRIM(E1697) &amp; TRIM(C1697) &amp; TRIM(D1697)</f>
        <v>First ReviewQuest Adv CampaignJP</v>
      </c>
      <c r="K1697" s="4" t="n">
        <f aca="false">IFERROR(I1697*60,"")</f>
        <v>36.858</v>
      </c>
    </row>
    <row r="1698" customFormat="false" ht="15" hidden="false" customHeight="false" outlineLevel="0" collapsed="false">
      <c r="A1698" s="4" t="s">
        <v>15</v>
      </c>
      <c r="B1698" s="4" t="s">
        <v>1432</v>
      </c>
      <c r="C1698" s="4" t="s">
        <v>1433</v>
      </c>
      <c r="D1698" s="4" t="s">
        <v>154</v>
      </c>
      <c r="E1698" s="4" t="s">
        <v>63</v>
      </c>
      <c r="F1698" s="4" t="s">
        <v>63</v>
      </c>
      <c r="G1698" s="4" t="s">
        <v>1455</v>
      </c>
      <c r="H1698" s="4"/>
      <c r="I1698" s="4" t="n">
        <v>0.756</v>
      </c>
      <c r="J1698" s="4" t="str">
        <f aca="false">TRIM(E1698) &amp; TRIM(C1698) &amp; TRIM(D1698)</f>
        <v>First ReviewQuest Adv RequirementES</v>
      </c>
      <c r="K1698" s="4" t="n">
        <f aca="false">IFERROR(I1698*60,"")</f>
        <v>45.36</v>
      </c>
    </row>
    <row r="1699" customFormat="false" ht="15" hidden="false" customHeight="false" outlineLevel="0" collapsed="false">
      <c r="A1699" s="4" t="s">
        <v>15</v>
      </c>
      <c r="B1699" s="4" t="s">
        <v>1432</v>
      </c>
      <c r="C1699" s="4" t="s">
        <v>1442</v>
      </c>
      <c r="D1699" s="4" t="s">
        <v>154</v>
      </c>
      <c r="E1699" s="4" t="s">
        <v>63</v>
      </c>
      <c r="F1699" s="4" t="s">
        <v>63</v>
      </c>
      <c r="G1699" s="4" t="s">
        <v>1456</v>
      </c>
      <c r="H1699" s="4"/>
      <c r="I1699" s="4" t="n">
        <v>0.4164</v>
      </c>
      <c r="J1699" s="4" t="str">
        <f aca="false">TRIM(E1699) &amp; TRIM(C1699) &amp; TRIM(D1699)</f>
        <v>First ReviewQuest Video SafetyES</v>
      </c>
      <c r="K1699" s="4" t="n">
        <f aca="false">IFERROR(I1699*60,"")</f>
        <v>24.984</v>
      </c>
    </row>
    <row r="1700" customFormat="false" ht="15" hidden="false" customHeight="false" outlineLevel="0" collapsed="false">
      <c r="A1700" s="4" t="s">
        <v>15</v>
      </c>
      <c r="B1700" s="4" t="s">
        <v>1432</v>
      </c>
      <c r="C1700" s="4" t="s">
        <v>1442</v>
      </c>
      <c r="D1700" s="4" t="s">
        <v>306</v>
      </c>
      <c r="E1700" s="4" t="s">
        <v>63</v>
      </c>
      <c r="F1700" s="4" t="s">
        <v>63</v>
      </c>
      <c r="G1700" s="4" t="s">
        <v>1457</v>
      </c>
      <c r="H1700" s="4"/>
      <c r="I1700" s="4" t="n">
        <v>0.998</v>
      </c>
      <c r="J1700" s="4" t="str">
        <f aca="false">TRIM(E1700) &amp; TRIM(C1700) &amp; TRIM(D1700)</f>
        <v>First ReviewQuest Video SafetyTH</v>
      </c>
      <c r="K1700" s="4" t="n">
        <f aca="false">IFERROR(I1700*60,"")</f>
        <v>59.88</v>
      </c>
    </row>
    <row r="1701" customFormat="false" ht="15" hidden="false" customHeight="false" outlineLevel="0" collapsed="false">
      <c r="A1701" s="4" t="s">
        <v>15</v>
      </c>
      <c r="B1701" s="4" t="s">
        <v>1432</v>
      </c>
      <c r="C1701" s="4" t="s">
        <v>1458</v>
      </c>
      <c r="D1701" s="4" t="s">
        <v>97</v>
      </c>
      <c r="E1701" s="4" t="s">
        <v>63</v>
      </c>
      <c r="F1701" s="4" t="s">
        <v>63</v>
      </c>
      <c r="G1701" s="4" t="s">
        <v>1459</v>
      </c>
      <c r="H1701" s="4"/>
      <c r="I1701" s="4" t="n">
        <v>1.3591</v>
      </c>
      <c r="J1701" s="4" t="str">
        <f aca="false">TRIM(E1701) &amp; TRIM(C1701) &amp; TRIM(D1701)</f>
        <v>First ReviewHTC Adv VideoBR</v>
      </c>
      <c r="K1701" s="4" t="n">
        <f aca="false">IFERROR(I1701*60,"")</f>
        <v>81.546</v>
      </c>
    </row>
    <row r="1702" customFormat="false" ht="15" hidden="false" customHeight="false" outlineLevel="0" collapsed="false">
      <c r="A1702" s="4" t="s">
        <v>15</v>
      </c>
      <c r="B1702" s="4" t="s">
        <v>1432</v>
      </c>
      <c r="C1702" s="4" t="s">
        <v>1442</v>
      </c>
      <c r="D1702" s="4" t="s">
        <v>157</v>
      </c>
      <c r="E1702" s="4" t="s">
        <v>63</v>
      </c>
      <c r="F1702" s="4" t="s">
        <v>63</v>
      </c>
      <c r="G1702" s="4" t="s">
        <v>1460</v>
      </c>
      <c r="H1702" s="4"/>
      <c r="I1702" s="4" t="n">
        <v>1.0397</v>
      </c>
      <c r="J1702" s="4" t="str">
        <f aca="false">TRIM(E1702) &amp; TRIM(C1702) &amp; TRIM(D1702)</f>
        <v>First ReviewQuest Video SafetySA</v>
      </c>
      <c r="K1702" s="4" t="n">
        <f aca="false">IFERROR(I1702*60,"")</f>
        <v>62.382</v>
      </c>
    </row>
    <row r="1703" customFormat="false" ht="15" hidden="false" customHeight="false" outlineLevel="0" collapsed="false">
      <c r="A1703" s="4" t="s">
        <v>15</v>
      </c>
      <c r="B1703" s="4" t="s">
        <v>1432</v>
      </c>
      <c r="C1703" s="4" t="s">
        <v>1433</v>
      </c>
      <c r="D1703" s="4" t="s">
        <v>97</v>
      </c>
      <c r="E1703" s="4" t="s">
        <v>63</v>
      </c>
      <c r="F1703" s="4" t="s">
        <v>63</v>
      </c>
      <c r="G1703" s="4" t="s">
        <v>1461</v>
      </c>
      <c r="H1703" s="4"/>
      <c r="I1703" s="4" t="n">
        <v>0.6965</v>
      </c>
      <c r="J1703" s="4" t="str">
        <f aca="false">TRIM(E1703) &amp; TRIM(C1703) &amp; TRIM(D1703)</f>
        <v>First ReviewQuest Adv RequirementBR</v>
      </c>
      <c r="K1703" s="4" t="n">
        <f aca="false">IFERROR(I1703*60,"")</f>
        <v>41.79</v>
      </c>
    </row>
    <row r="1704" customFormat="false" ht="15" hidden="false" customHeight="false" outlineLevel="0" collapsed="false">
      <c r="A1704" s="4" t="s">
        <v>15</v>
      </c>
      <c r="B1704" s="4" t="s">
        <v>1432</v>
      </c>
      <c r="C1704" s="4" t="s">
        <v>1438</v>
      </c>
      <c r="D1704" s="4" t="s">
        <v>154</v>
      </c>
      <c r="E1704" s="4" t="s">
        <v>63</v>
      </c>
      <c r="F1704" s="4" t="s">
        <v>63</v>
      </c>
      <c r="G1704" s="4" t="s">
        <v>1462</v>
      </c>
      <c r="H1704" s="4"/>
      <c r="I1704" s="4" t="n">
        <v>0.1372</v>
      </c>
      <c r="J1704" s="4" t="str">
        <f aca="false">TRIM(E1704) &amp; TRIM(C1704) &amp; TRIM(D1704)</f>
        <v>First ReviewQuest Adv VideoES</v>
      </c>
      <c r="K1704" s="4" t="n">
        <f aca="false">IFERROR(I1704*60,"")</f>
        <v>8.232</v>
      </c>
    </row>
    <row r="1705" customFormat="false" ht="15" hidden="false" customHeight="false" outlineLevel="0" collapsed="false">
      <c r="A1705" s="4" t="s">
        <v>15</v>
      </c>
      <c r="B1705" s="4" t="s">
        <v>1432</v>
      </c>
      <c r="C1705" s="4" t="s">
        <v>1438</v>
      </c>
      <c r="D1705" s="4" t="s">
        <v>111</v>
      </c>
      <c r="E1705" s="4" t="s">
        <v>63</v>
      </c>
      <c r="F1705" s="4" t="s">
        <v>63</v>
      </c>
      <c r="G1705" s="4" t="s">
        <v>1463</v>
      </c>
      <c r="H1705" s="4"/>
      <c r="I1705" s="4" t="n">
        <v>1.6501</v>
      </c>
      <c r="J1705" s="4" t="str">
        <f aca="false">TRIM(E1705) &amp; TRIM(C1705) &amp; TRIM(D1705)</f>
        <v>First ReviewQuest Adv VideoUS</v>
      </c>
      <c r="K1705" s="4" t="n">
        <f aca="false">IFERROR(I1705*60,"")</f>
        <v>99.006</v>
      </c>
    </row>
    <row r="1706" customFormat="false" ht="15" hidden="false" customHeight="false" outlineLevel="0" collapsed="false">
      <c r="A1706" s="4" t="s">
        <v>15</v>
      </c>
      <c r="B1706" s="4" t="s">
        <v>1432</v>
      </c>
      <c r="C1706" s="4" t="s">
        <v>1436</v>
      </c>
      <c r="D1706" s="4" t="s">
        <v>213</v>
      </c>
      <c r="E1706" s="4" t="s">
        <v>63</v>
      </c>
      <c r="F1706" s="4" t="s">
        <v>63</v>
      </c>
      <c r="G1706" s="4" t="s">
        <v>1464</v>
      </c>
      <c r="H1706" s="4"/>
      <c r="I1706" s="4" t="n">
        <v>0.9019</v>
      </c>
      <c r="J1706" s="4" t="str">
        <f aca="false">TRIM(E1706) &amp; TRIM(C1706) &amp; TRIM(D1706)</f>
        <v>First ReviewQuest Adv CampaignFR</v>
      </c>
      <c r="K1706" s="4" t="n">
        <f aca="false">IFERROR(I1706*60,"")</f>
        <v>54.114</v>
      </c>
    </row>
    <row r="1707" customFormat="false" ht="15" hidden="false" customHeight="false" outlineLevel="0" collapsed="false">
      <c r="A1707" s="4" t="s">
        <v>15</v>
      </c>
      <c r="B1707" s="4" t="s">
        <v>1432</v>
      </c>
      <c r="C1707" s="4" t="s">
        <v>1436</v>
      </c>
      <c r="D1707" s="4" t="s">
        <v>306</v>
      </c>
      <c r="E1707" s="4" t="s">
        <v>63</v>
      </c>
      <c r="F1707" s="4" t="s">
        <v>63</v>
      </c>
      <c r="G1707" s="4" t="s">
        <v>1465</v>
      </c>
      <c r="H1707" s="4"/>
      <c r="I1707" s="4" t="n">
        <v>0.6243</v>
      </c>
      <c r="J1707" s="4" t="str">
        <f aca="false">TRIM(E1707) &amp; TRIM(C1707) &amp; TRIM(D1707)</f>
        <v>First ReviewQuest Adv CampaignTH</v>
      </c>
      <c r="K1707" s="4" t="n">
        <f aca="false">IFERROR(I1707*60,"")</f>
        <v>37.458</v>
      </c>
    </row>
    <row r="1708" customFormat="false" ht="15" hidden="false" customHeight="false" outlineLevel="0" collapsed="false">
      <c r="A1708" s="4" t="s">
        <v>15</v>
      </c>
      <c r="B1708" s="4" t="s">
        <v>1432</v>
      </c>
      <c r="C1708" s="4" t="s">
        <v>1438</v>
      </c>
      <c r="D1708" s="4" t="s">
        <v>95</v>
      </c>
      <c r="E1708" s="4" t="s">
        <v>63</v>
      </c>
      <c r="F1708" s="4" t="s">
        <v>63</v>
      </c>
      <c r="G1708" s="4" t="s">
        <v>1466</v>
      </c>
      <c r="H1708" s="4"/>
      <c r="I1708" s="4" t="n">
        <v>12.2982</v>
      </c>
      <c r="J1708" s="4" t="str">
        <f aca="false">TRIM(E1708) &amp; TRIM(C1708) &amp; TRIM(D1708)</f>
        <v>First ReviewQuest Adv VideoVN</v>
      </c>
      <c r="K1708" s="4" t="n">
        <f aca="false">IFERROR(I1708*60,"")</f>
        <v>737.892</v>
      </c>
    </row>
    <row r="1709" customFormat="false" ht="15" hidden="false" customHeight="false" outlineLevel="0" collapsed="false">
      <c r="A1709" s="4" t="s">
        <v>15</v>
      </c>
      <c r="B1709" s="4" t="s">
        <v>1432</v>
      </c>
      <c r="C1709" s="4" t="s">
        <v>1438</v>
      </c>
      <c r="D1709" s="4" t="s">
        <v>203</v>
      </c>
      <c r="E1709" s="4" t="s">
        <v>63</v>
      </c>
      <c r="F1709" s="4" t="s">
        <v>63</v>
      </c>
      <c r="G1709" s="4" t="s">
        <v>1467</v>
      </c>
      <c r="H1709" s="4"/>
      <c r="I1709" s="4" t="n">
        <v>0.5117</v>
      </c>
      <c r="J1709" s="4" t="str">
        <f aca="false">TRIM(E1709) &amp; TRIM(C1709) &amp; TRIM(D1709)</f>
        <v>First ReviewQuest Adv VideoCA</v>
      </c>
      <c r="K1709" s="4" t="n">
        <f aca="false">IFERROR(I1709*60,"")</f>
        <v>30.702</v>
      </c>
    </row>
    <row r="1710" customFormat="false" ht="15" hidden="false" customHeight="false" outlineLevel="0" collapsed="false">
      <c r="A1710" s="4" t="s">
        <v>15</v>
      </c>
      <c r="B1710" s="4" t="s">
        <v>1432</v>
      </c>
      <c r="C1710" s="4" t="s">
        <v>1433</v>
      </c>
      <c r="D1710" s="4" t="s">
        <v>190</v>
      </c>
      <c r="E1710" s="4" t="s">
        <v>63</v>
      </c>
      <c r="F1710" s="4" t="s">
        <v>63</v>
      </c>
      <c r="G1710" s="4" t="s">
        <v>1468</v>
      </c>
      <c r="H1710" s="4"/>
      <c r="I1710" s="4" t="n">
        <v>0.3098</v>
      </c>
      <c r="J1710" s="4" t="str">
        <f aca="false">TRIM(E1710) &amp; TRIM(C1710) &amp; TRIM(D1710)</f>
        <v>First ReviewQuest Adv RequirementPH</v>
      </c>
      <c r="K1710" s="4" t="n">
        <f aca="false">IFERROR(I1710*60,"")</f>
        <v>18.588</v>
      </c>
    </row>
    <row r="1711" customFormat="false" ht="15" hidden="false" customHeight="false" outlineLevel="0" collapsed="false">
      <c r="A1711" s="4" t="s">
        <v>15</v>
      </c>
      <c r="B1711" s="4" t="s">
        <v>1432</v>
      </c>
      <c r="C1711" s="4" t="s">
        <v>1433</v>
      </c>
      <c r="D1711" s="4" t="s">
        <v>306</v>
      </c>
      <c r="E1711" s="4" t="s">
        <v>63</v>
      </c>
      <c r="F1711" s="4" t="s">
        <v>63</v>
      </c>
      <c r="G1711" s="4" t="s">
        <v>1469</v>
      </c>
      <c r="H1711" s="4"/>
      <c r="I1711" s="4" t="n">
        <v>0.1176</v>
      </c>
      <c r="J1711" s="4" t="str">
        <f aca="false">TRIM(E1711) &amp; TRIM(C1711) &amp; TRIM(D1711)</f>
        <v>First ReviewQuest Adv RequirementTH</v>
      </c>
      <c r="K1711" s="4" t="n">
        <f aca="false">IFERROR(I1711*60,"")</f>
        <v>7.056</v>
      </c>
    </row>
    <row r="1712" customFormat="false" ht="15" hidden="false" customHeight="false" outlineLevel="0" collapsed="false">
      <c r="A1712" s="4" t="s">
        <v>15</v>
      </c>
      <c r="B1712" s="4" t="s">
        <v>1432</v>
      </c>
      <c r="C1712" s="4" t="s">
        <v>1458</v>
      </c>
      <c r="D1712" s="4" t="s">
        <v>126</v>
      </c>
      <c r="E1712" s="4" t="s">
        <v>63</v>
      </c>
      <c r="F1712" s="4" t="s">
        <v>63</v>
      </c>
      <c r="G1712" s="4" t="s">
        <v>1470</v>
      </c>
      <c r="H1712" s="4"/>
      <c r="I1712" s="4" t="n">
        <v>0.4986</v>
      </c>
      <c r="J1712" s="4" t="str">
        <f aca="false">TRIM(E1712) &amp; TRIM(C1712) &amp; TRIM(D1712)</f>
        <v>First ReviewHTC Adv VideoMX</v>
      </c>
      <c r="K1712" s="4" t="n">
        <f aca="false">IFERROR(I1712*60,"")</f>
        <v>29.916</v>
      </c>
    </row>
    <row r="1713" customFormat="false" ht="15" hidden="false" customHeight="false" outlineLevel="0" collapsed="false">
      <c r="A1713" s="4" t="s">
        <v>15</v>
      </c>
      <c r="B1713" s="4" t="s">
        <v>1432</v>
      </c>
      <c r="C1713" s="4" t="s">
        <v>1442</v>
      </c>
      <c r="D1713" s="4" t="s">
        <v>95</v>
      </c>
      <c r="E1713" s="4" t="s">
        <v>63</v>
      </c>
      <c r="F1713" s="4" t="s">
        <v>63</v>
      </c>
      <c r="G1713" s="4" t="s">
        <v>1471</v>
      </c>
      <c r="H1713" s="4"/>
      <c r="I1713" s="4" t="n">
        <v>1.1194</v>
      </c>
      <c r="J1713" s="4" t="str">
        <f aca="false">TRIM(E1713) &amp; TRIM(C1713) &amp; TRIM(D1713)</f>
        <v>First ReviewQuest Video SafetyVN</v>
      </c>
      <c r="K1713" s="4" t="n">
        <f aca="false">IFERROR(I1713*60,"")</f>
        <v>67.164</v>
      </c>
    </row>
    <row r="1714" customFormat="false" ht="15" hidden="false" customHeight="false" outlineLevel="0" collapsed="false">
      <c r="A1714" s="4" t="s">
        <v>15</v>
      </c>
      <c r="B1714" s="4" t="s">
        <v>1432</v>
      </c>
      <c r="C1714" s="4" t="s">
        <v>1440</v>
      </c>
      <c r="D1714" s="4" t="s">
        <v>95</v>
      </c>
      <c r="E1714" s="4" t="s">
        <v>63</v>
      </c>
      <c r="F1714" s="4" t="s">
        <v>63</v>
      </c>
      <c r="G1714" s="4" t="s">
        <v>1472</v>
      </c>
      <c r="H1714" s="4"/>
      <c r="I1714" s="4" t="n">
        <v>17.9624</v>
      </c>
      <c r="J1714" s="4" t="str">
        <f aca="false">TRIM(E1714) &amp; TRIM(C1714) &amp; TRIM(D1714)</f>
        <v>First ReviewHTC Adv CampaignVN</v>
      </c>
      <c r="K1714" s="4" t="n">
        <f aca="false">IFERROR(I1714*60,"")</f>
        <v>1077.744</v>
      </c>
    </row>
    <row r="1715" customFormat="false" ht="15" hidden="false" customHeight="false" outlineLevel="0" collapsed="false">
      <c r="A1715" s="4" t="s">
        <v>15</v>
      </c>
      <c r="B1715" s="4" t="s">
        <v>1432</v>
      </c>
      <c r="C1715" s="4" t="s">
        <v>1436</v>
      </c>
      <c r="D1715" s="4" t="s">
        <v>267</v>
      </c>
      <c r="E1715" s="4" t="s">
        <v>63</v>
      </c>
      <c r="F1715" s="4" t="s">
        <v>63</v>
      </c>
      <c r="G1715" s="4" t="s">
        <v>1473</v>
      </c>
      <c r="H1715" s="4"/>
      <c r="I1715" s="4" t="n">
        <v>0.6726</v>
      </c>
      <c r="J1715" s="4" t="str">
        <f aca="false">TRIM(E1715) &amp; TRIM(C1715) &amp; TRIM(D1715)</f>
        <v>First ReviewQuest Adv CampaignID</v>
      </c>
      <c r="K1715" s="4" t="n">
        <f aca="false">IFERROR(I1715*60,"")</f>
        <v>40.356</v>
      </c>
    </row>
    <row r="1716" customFormat="false" ht="15" hidden="false" customHeight="false" outlineLevel="0" collapsed="false">
      <c r="A1716" s="4" t="s">
        <v>15</v>
      </c>
      <c r="B1716" s="4" t="s">
        <v>1432</v>
      </c>
      <c r="C1716" s="4" t="s">
        <v>1442</v>
      </c>
      <c r="D1716" s="4" t="s">
        <v>150</v>
      </c>
      <c r="E1716" s="4" t="s">
        <v>63</v>
      </c>
      <c r="F1716" s="4" t="s">
        <v>63</v>
      </c>
      <c r="G1716" s="4" t="s">
        <v>1474</v>
      </c>
      <c r="H1716" s="4"/>
      <c r="I1716" s="4" t="n">
        <v>1.1666</v>
      </c>
      <c r="J1716" s="4" t="str">
        <f aca="false">TRIM(E1716) &amp; TRIM(C1716) &amp; TRIM(D1716)</f>
        <v>First ReviewQuest Video SafetyDE</v>
      </c>
      <c r="K1716" s="4" t="n">
        <f aca="false">IFERROR(I1716*60,"")</f>
        <v>69.996</v>
      </c>
    </row>
    <row r="1717" customFormat="false" ht="15" hidden="false" customHeight="false" outlineLevel="0" collapsed="false">
      <c r="A1717" s="4" t="s">
        <v>15</v>
      </c>
      <c r="B1717" s="4" t="s">
        <v>1432</v>
      </c>
      <c r="C1717" s="4" t="s">
        <v>1440</v>
      </c>
      <c r="D1717" s="4" t="s">
        <v>97</v>
      </c>
      <c r="E1717" s="4" t="s">
        <v>63</v>
      </c>
      <c r="F1717" s="4" t="s">
        <v>63</v>
      </c>
      <c r="G1717" s="4" t="s">
        <v>1475</v>
      </c>
      <c r="H1717" s="4"/>
      <c r="I1717" s="4" t="n">
        <v>2.663</v>
      </c>
      <c r="J1717" s="4" t="str">
        <f aca="false">TRIM(E1717) &amp; TRIM(C1717) &amp; TRIM(D1717)</f>
        <v>First ReviewHTC Adv CampaignBR</v>
      </c>
      <c r="K1717" s="4" t="n">
        <f aca="false">IFERROR(I1717*60,"")</f>
        <v>159.78</v>
      </c>
    </row>
    <row r="1718" customFormat="false" ht="15" hidden="false" customHeight="false" outlineLevel="0" collapsed="false">
      <c r="A1718" s="4" t="s">
        <v>15</v>
      </c>
      <c r="B1718" s="4" t="s">
        <v>1432</v>
      </c>
      <c r="C1718" s="4" t="s">
        <v>1438</v>
      </c>
      <c r="D1718" s="4" t="s">
        <v>190</v>
      </c>
      <c r="E1718" s="4" t="s">
        <v>63</v>
      </c>
      <c r="F1718" s="4" t="s">
        <v>63</v>
      </c>
      <c r="G1718" s="4" t="s">
        <v>1476</v>
      </c>
      <c r="H1718" s="4"/>
      <c r="I1718" s="4" t="n">
        <v>0.2213</v>
      </c>
      <c r="J1718" s="4" t="str">
        <f aca="false">TRIM(E1718) &amp; TRIM(C1718) &amp; TRIM(D1718)</f>
        <v>First ReviewQuest Adv VideoPH</v>
      </c>
      <c r="K1718" s="4" t="n">
        <f aca="false">IFERROR(I1718*60,"")</f>
        <v>13.278</v>
      </c>
    </row>
    <row r="1719" customFormat="false" ht="15" hidden="false" customHeight="false" outlineLevel="0" collapsed="false">
      <c r="A1719" s="4" t="s">
        <v>15</v>
      </c>
      <c r="B1719" s="4" t="s">
        <v>1432</v>
      </c>
      <c r="C1719" s="4" t="s">
        <v>1436</v>
      </c>
      <c r="D1719" s="4" t="s">
        <v>111</v>
      </c>
      <c r="E1719" s="4" t="s">
        <v>63</v>
      </c>
      <c r="F1719" s="4" t="s">
        <v>63</v>
      </c>
      <c r="G1719" s="4" t="s">
        <v>1477</v>
      </c>
      <c r="H1719" s="4"/>
      <c r="I1719" s="4" t="n">
        <v>0.8245</v>
      </c>
      <c r="J1719" s="4" t="str">
        <f aca="false">TRIM(E1719) &amp; TRIM(C1719) &amp; TRIM(D1719)</f>
        <v>First ReviewQuest Adv CampaignUS</v>
      </c>
      <c r="K1719" s="4" t="n">
        <f aca="false">IFERROR(I1719*60,"")</f>
        <v>49.47</v>
      </c>
    </row>
    <row r="1720" customFormat="false" ht="15" hidden="false" customHeight="false" outlineLevel="0" collapsed="false">
      <c r="A1720" s="4" t="s">
        <v>15</v>
      </c>
      <c r="B1720" s="4" t="s">
        <v>1432</v>
      </c>
      <c r="C1720" s="4" t="s">
        <v>1436</v>
      </c>
      <c r="D1720" s="4" t="s">
        <v>106</v>
      </c>
      <c r="E1720" s="4" t="s">
        <v>63</v>
      </c>
      <c r="F1720" s="4" t="s">
        <v>63</v>
      </c>
      <c r="G1720" s="4" t="s">
        <v>1478</v>
      </c>
      <c r="H1720" s="4"/>
      <c r="I1720" s="4" t="n">
        <v>0.7932</v>
      </c>
      <c r="J1720" s="4" t="str">
        <f aca="false">TRIM(E1720) &amp; TRIM(C1720) &amp; TRIM(D1720)</f>
        <v>First ReviewQuest Adv CampaignMY</v>
      </c>
      <c r="K1720" s="4" t="n">
        <f aca="false">IFERROR(I1720*60,"")</f>
        <v>47.592</v>
      </c>
    </row>
    <row r="1721" customFormat="false" ht="15" hidden="false" customHeight="false" outlineLevel="0" collapsed="false">
      <c r="A1721" s="4" t="s">
        <v>15</v>
      </c>
      <c r="B1721" s="4" t="s">
        <v>1432</v>
      </c>
      <c r="C1721" s="4" t="s">
        <v>1438</v>
      </c>
      <c r="D1721" s="4" t="s">
        <v>213</v>
      </c>
      <c r="E1721" s="4" t="s">
        <v>63</v>
      </c>
      <c r="F1721" s="4" t="s">
        <v>63</v>
      </c>
      <c r="G1721" s="4" t="s">
        <v>1479</v>
      </c>
      <c r="H1721" s="4"/>
      <c r="I1721" s="4" t="n">
        <v>1.3051</v>
      </c>
      <c r="J1721" s="4" t="str">
        <f aca="false">TRIM(E1721) &amp; TRIM(C1721) &amp; TRIM(D1721)</f>
        <v>First ReviewQuest Adv VideoFR</v>
      </c>
      <c r="K1721" s="4" t="n">
        <f aca="false">IFERROR(I1721*60,"")</f>
        <v>78.306</v>
      </c>
    </row>
    <row r="1722" customFormat="false" ht="15" hidden="false" customHeight="false" outlineLevel="0" collapsed="false">
      <c r="A1722" s="4" t="s">
        <v>15</v>
      </c>
      <c r="B1722" s="4" t="s">
        <v>1432</v>
      </c>
      <c r="C1722" s="4" t="s">
        <v>1438</v>
      </c>
      <c r="D1722" s="4" t="s">
        <v>106</v>
      </c>
      <c r="E1722" s="4" t="s">
        <v>63</v>
      </c>
      <c r="F1722" s="4" t="s">
        <v>63</v>
      </c>
      <c r="G1722" s="4" t="s">
        <v>1480</v>
      </c>
      <c r="H1722" s="4"/>
      <c r="I1722" s="4" t="n">
        <v>0.6165</v>
      </c>
      <c r="J1722" s="4" t="str">
        <f aca="false">TRIM(E1722) &amp; TRIM(C1722) &amp; TRIM(D1722)</f>
        <v>First ReviewQuest Adv VideoMY</v>
      </c>
      <c r="K1722" s="4" t="n">
        <f aca="false">IFERROR(I1722*60,"")</f>
        <v>36.99</v>
      </c>
    </row>
    <row r="1723" customFormat="false" ht="15" hidden="false" customHeight="false" outlineLevel="0" collapsed="false">
      <c r="A1723" s="4" t="s">
        <v>15</v>
      </c>
      <c r="B1723" s="4" t="s">
        <v>1432</v>
      </c>
      <c r="C1723" s="4" t="s">
        <v>1440</v>
      </c>
      <c r="D1723" s="4" t="s">
        <v>154</v>
      </c>
      <c r="E1723" s="4" t="s">
        <v>63</v>
      </c>
      <c r="F1723" s="4" t="s">
        <v>63</v>
      </c>
      <c r="G1723" s="4" t="s">
        <v>1481</v>
      </c>
      <c r="H1723" s="4"/>
      <c r="I1723" s="4" t="n">
        <v>2.245</v>
      </c>
      <c r="J1723" s="4" t="str">
        <f aca="false">TRIM(E1723) &amp; TRIM(C1723) &amp; TRIM(D1723)</f>
        <v>First ReviewHTC Adv CampaignES</v>
      </c>
      <c r="K1723" s="4" t="n">
        <f aca="false">IFERROR(I1723*60,"")</f>
        <v>134.7</v>
      </c>
    </row>
    <row r="1724" customFormat="false" ht="15" hidden="false" customHeight="false" outlineLevel="0" collapsed="false">
      <c r="A1724" s="4" t="s">
        <v>15</v>
      </c>
      <c r="B1724" s="4" t="s">
        <v>1432</v>
      </c>
      <c r="C1724" s="4" t="s">
        <v>1442</v>
      </c>
      <c r="D1724" s="4" t="s">
        <v>195</v>
      </c>
      <c r="E1724" s="4" t="s">
        <v>63</v>
      </c>
      <c r="F1724" s="4" t="s">
        <v>63</v>
      </c>
      <c r="G1724" s="4" t="s">
        <v>1482</v>
      </c>
      <c r="H1724" s="4"/>
      <c r="I1724" s="4" t="n">
        <v>1.1773</v>
      </c>
      <c r="J1724" s="4" t="str">
        <f aca="false">TRIM(E1724) &amp; TRIM(C1724) &amp; TRIM(D1724)</f>
        <v>First ReviewQuest Video SafetyIT</v>
      </c>
      <c r="K1724" s="4" t="n">
        <f aca="false">IFERROR(I1724*60,"")</f>
        <v>70.638</v>
      </c>
    </row>
    <row r="1725" customFormat="false" ht="15" hidden="false" customHeight="false" outlineLevel="0" collapsed="false">
      <c r="A1725" s="4" t="s">
        <v>15</v>
      </c>
      <c r="B1725" s="4" t="s">
        <v>1432</v>
      </c>
      <c r="C1725" s="4" t="s">
        <v>1440</v>
      </c>
      <c r="D1725" s="4" t="s">
        <v>195</v>
      </c>
      <c r="E1725" s="4" t="s">
        <v>63</v>
      </c>
      <c r="F1725" s="4" t="s">
        <v>63</v>
      </c>
      <c r="G1725" s="4" t="s">
        <v>1483</v>
      </c>
      <c r="H1725" s="4"/>
      <c r="I1725" s="4" t="n">
        <v>0.7126</v>
      </c>
      <c r="J1725" s="4" t="str">
        <f aca="false">TRIM(E1725) &amp; TRIM(C1725) &amp; TRIM(D1725)</f>
        <v>First ReviewHTC Adv CampaignIT</v>
      </c>
      <c r="K1725" s="4" t="n">
        <f aca="false">IFERROR(I1725*60,"")</f>
        <v>42.756</v>
      </c>
    </row>
    <row r="1726" customFormat="false" ht="15" hidden="false" customHeight="false" outlineLevel="0" collapsed="false">
      <c r="A1726" s="4" t="s">
        <v>15</v>
      </c>
      <c r="B1726" s="4" t="s">
        <v>1432</v>
      </c>
      <c r="C1726" s="4" t="s">
        <v>1436</v>
      </c>
      <c r="D1726" s="4" t="s">
        <v>195</v>
      </c>
      <c r="E1726" s="4" t="s">
        <v>63</v>
      </c>
      <c r="F1726" s="4" t="s">
        <v>63</v>
      </c>
      <c r="G1726" s="4" t="s">
        <v>1484</v>
      </c>
      <c r="H1726" s="4"/>
      <c r="I1726" s="4" t="n">
        <v>0.5809</v>
      </c>
      <c r="J1726" s="4" t="str">
        <f aca="false">TRIM(E1726) &amp; TRIM(C1726) &amp; TRIM(D1726)</f>
        <v>First ReviewQuest Adv CampaignIT</v>
      </c>
      <c r="K1726" s="4" t="n">
        <f aca="false">IFERROR(I1726*60,"")</f>
        <v>34.854</v>
      </c>
    </row>
    <row r="1727" customFormat="false" ht="15" hidden="false" customHeight="false" outlineLevel="0" collapsed="false">
      <c r="A1727" s="4" t="s">
        <v>15</v>
      </c>
      <c r="B1727" s="4" t="s">
        <v>1432</v>
      </c>
      <c r="C1727" s="4" t="s">
        <v>1438</v>
      </c>
      <c r="D1727" s="4" t="s">
        <v>97</v>
      </c>
      <c r="E1727" s="4" t="s">
        <v>63</v>
      </c>
      <c r="F1727" s="4" t="s">
        <v>63</v>
      </c>
      <c r="G1727" s="4" t="s">
        <v>1485</v>
      </c>
      <c r="H1727" s="4"/>
      <c r="I1727" s="4" t="n">
        <v>1.0907</v>
      </c>
      <c r="J1727" s="4" t="str">
        <f aca="false">TRIM(E1727) &amp; TRIM(C1727) &amp; TRIM(D1727)</f>
        <v>First ReviewQuest Adv VideoBR</v>
      </c>
      <c r="K1727" s="4" t="n">
        <f aca="false">IFERROR(I1727*60,"")</f>
        <v>65.442</v>
      </c>
    </row>
    <row r="1728" customFormat="false" ht="15" hidden="false" customHeight="false" outlineLevel="0" collapsed="false">
      <c r="A1728" s="4" t="s">
        <v>15</v>
      </c>
      <c r="B1728" s="4" t="s">
        <v>1432</v>
      </c>
      <c r="C1728" s="4" t="s">
        <v>1436</v>
      </c>
      <c r="D1728" s="4" t="s">
        <v>190</v>
      </c>
      <c r="E1728" s="4" t="s">
        <v>63</v>
      </c>
      <c r="F1728" s="4" t="s">
        <v>63</v>
      </c>
      <c r="G1728" s="4" t="s">
        <v>1486</v>
      </c>
      <c r="H1728" s="4"/>
      <c r="I1728" s="4" t="n">
        <v>1.973</v>
      </c>
      <c r="J1728" s="4" t="str">
        <f aca="false">TRIM(E1728) &amp; TRIM(C1728) &amp; TRIM(D1728)</f>
        <v>First ReviewQuest Adv CampaignPH</v>
      </c>
      <c r="K1728" s="4" t="n">
        <f aca="false">IFERROR(I1728*60,"")</f>
        <v>118.38</v>
      </c>
    </row>
    <row r="1729" customFormat="false" ht="15" hidden="false" customHeight="false" outlineLevel="0" collapsed="false">
      <c r="A1729" s="4" t="s">
        <v>15</v>
      </c>
      <c r="B1729" s="4" t="s">
        <v>1432</v>
      </c>
      <c r="C1729" s="4" t="s">
        <v>1440</v>
      </c>
      <c r="D1729" s="4" t="s">
        <v>267</v>
      </c>
      <c r="E1729" s="4" t="s">
        <v>63</v>
      </c>
      <c r="F1729" s="4" t="s">
        <v>63</v>
      </c>
      <c r="G1729" s="4" t="s">
        <v>1487</v>
      </c>
      <c r="H1729" s="4"/>
      <c r="I1729" s="4" t="n">
        <v>0.8134</v>
      </c>
      <c r="J1729" s="4" t="str">
        <f aca="false">TRIM(E1729) &amp; TRIM(C1729) &amp; TRIM(D1729)</f>
        <v>First ReviewHTC Adv CampaignID</v>
      </c>
      <c r="K1729" s="4" t="n">
        <f aca="false">IFERROR(I1729*60,"")</f>
        <v>48.804</v>
      </c>
    </row>
    <row r="1730" customFormat="false" ht="15" hidden="false" customHeight="false" outlineLevel="0" collapsed="false">
      <c r="A1730" s="4" t="s">
        <v>15</v>
      </c>
      <c r="B1730" s="4" t="s">
        <v>1432</v>
      </c>
      <c r="C1730" s="4" t="s">
        <v>1458</v>
      </c>
      <c r="D1730" s="4" t="s">
        <v>213</v>
      </c>
      <c r="E1730" s="4" t="s">
        <v>63</v>
      </c>
      <c r="F1730" s="4" t="s">
        <v>63</v>
      </c>
      <c r="G1730" s="4" t="s">
        <v>1488</v>
      </c>
      <c r="H1730" s="4"/>
      <c r="I1730" s="4" t="n">
        <v>1.8142</v>
      </c>
      <c r="J1730" s="4" t="str">
        <f aca="false">TRIM(E1730) &amp; TRIM(C1730) &amp; TRIM(D1730)</f>
        <v>First ReviewHTC Adv VideoFR</v>
      </c>
      <c r="K1730" s="4" t="n">
        <f aca="false">IFERROR(I1730*60,"")</f>
        <v>108.852</v>
      </c>
    </row>
    <row r="1731" customFormat="false" ht="15" hidden="false" customHeight="false" outlineLevel="0" collapsed="false">
      <c r="A1731" s="4" t="s">
        <v>15</v>
      </c>
      <c r="B1731" s="4" t="s">
        <v>1432</v>
      </c>
      <c r="C1731" s="4" t="s">
        <v>1438</v>
      </c>
      <c r="D1731" s="4" t="s">
        <v>126</v>
      </c>
      <c r="E1731" s="4" t="s">
        <v>63</v>
      </c>
      <c r="F1731" s="4" t="s">
        <v>63</v>
      </c>
      <c r="G1731" s="4" t="s">
        <v>1489</v>
      </c>
      <c r="H1731" s="4"/>
      <c r="I1731" s="4" t="n">
        <v>0.9003</v>
      </c>
      <c r="J1731" s="4" t="str">
        <f aca="false">TRIM(E1731) &amp; TRIM(C1731) &amp; TRIM(D1731)</f>
        <v>First ReviewQuest Adv VideoMX</v>
      </c>
      <c r="K1731" s="4" t="n">
        <f aca="false">IFERROR(I1731*60,"")</f>
        <v>54.018</v>
      </c>
    </row>
    <row r="1732" customFormat="false" ht="15" hidden="false" customHeight="false" outlineLevel="0" collapsed="false">
      <c r="A1732" s="4" t="s">
        <v>15</v>
      </c>
      <c r="B1732" s="4" t="s">
        <v>1432</v>
      </c>
      <c r="C1732" s="4" t="s">
        <v>1436</v>
      </c>
      <c r="D1732" s="4" t="s">
        <v>95</v>
      </c>
      <c r="E1732" s="4" t="s">
        <v>63</v>
      </c>
      <c r="F1732" s="4" t="s">
        <v>63</v>
      </c>
      <c r="G1732" s="4" t="s">
        <v>1490</v>
      </c>
      <c r="H1732" s="4"/>
      <c r="I1732" s="4" t="n">
        <v>12.4088</v>
      </c>
      <c r="J1732" s="4" t="str">
        <f aca="false">TRIM(E1732) &amp; TRIM(C1732) &amp; TRIM(D1732)</f>
        <v>First ReviewQuest Adv CampaignVN</v>
      </c>
      <c r="K1732" s="4" t="n">
        <f aca="false">IFERROR(I1732*60,"")</f>
        <v>744.528</v>
      </c>
    </row>
    <row r="1733" customFormat="false" ht="15" hidden="false" customHeight="false" outlineLevel="0" collapsed="false">
      <c r="A1733" s="4" t="s">
        <v>15</v>
      </c>
      <c r="B1733" s="4" t="s">
        <v>1432</v>
      </c>
      <c r="C1733" s="4" t="s">
        <v>1438</v>
      </c>
      <c r="D1733" s="4" t="s">
        <v>267</v>
      </c>
      <c r="E1733" s="4" t="s">
        <v>63</v>
      </c>
      <c r="F1733" s="4" t="s">
        <v>63</v>
      </c>
      <c r="G1733" s="4" t="s">
        <v>1491</v>
      </c>
      <c r="H1733" s="4"/>
      <c r="I1733" s="4" t="n">
        <v>0.8181</v>
      </c>
      <c r="J1733" s="4" t="str">
        <f aca="false">TRIM(E1733) &amp; TRIM(C1733) &amp; TRIM(D1733)</f>
        <v>First ReviewQuest Adv VideoID</v>
      </c>
      <c r="K1733" s="4" t="n">
        <f aca="false">IFERROR(I1733*60,"")</f>
        <v>49.086</v>
      </c>
    </row>
    <row r="1734" customFormat="false" ht="15" hidden="false" customHeight="false" outlineLevel="0" collapsed="false">
      <c r="A1734" s="4" t="s">
        <v>15</v>
      </c>
      <c r="B1734" s="4" t="s">
        <v>1432</v>
      </c>
      <c r="C1734" s="4" t="s">
        <v>1433</v>
      </c>
      <c r="D1734" s="4" t="s">
        <v>235</v>
      </c>
      <c r="E1734" s="4" t="s">
        <v>63</v>
      </c>
      <c r="F1734" s="4" t="s">
        <v>63</v>
      </c>
      <c r="G1734" s="4" t="s">
        <v>1492</v>
      </c>
      <c r="H1734" s="4"/>
      <c r="I1734" s="4" t="n">
        <v>1.4214</v>
      </c>
      <c r="J1734" s="4" t="str">
        <f aca="false">TRIM(E1734) &amp; TRIM(C1734) &amp; TRIM(D1734)</f>
        <v>First ReviewQuest Adv RequirementJP</v>
      </c>
      <c r="K1734" s="4" t="n">
        <f aca="false">IFERROR(I1734*60,"")</f>
        <v>85.284</v>
      </c>
    </row>
    <row r="1735" customFormat="false" ht="15" hidden="false" customHeight="false" outlineLevel="0" collapsed="false">
      <c r="A1735" s="4" t="s">
        <v>15</v>
      </c>
      <c r="B1735" s="4" t="s">
        <v>1432</v>
      </c>
      <c r="C1735" s="4" t="s">
        <v>1440</v>
      </c>
      <c r="D1735" s="4" t="s">
        <v>235</v>
      </c>
      <c r="E1735" s="4" t="s">
        <v>63</v>
      </c>
      <c r="F1735" s="4" t="s">
        <v>63</v>
      </c>
      <c r="G1735" s="4" t="s">
        <v>1493</v>
      </c>
      <c r="H1735" s="4"/>
      <c r="I1735" s="4" t="n">
        <v>2.0346</v>
      </c>
      <c r="J1735" s="4" t="str">
        <f aca="false">TRIM(E1735) &amp; TRIM(C1735) &amp; TRIM(D1735)</f>
        <v>First ReviewHTC Adv CampaignJP</v>
      </c>
      <c r="K1735" s="4" t="n">
        <f aca="false">IFERROR(I1735*60,"")</f>
        <v>122.076</v>
      </c>
    </row>
    <row r="1736" customFormat="false" ht="15" hidden="false" customHeight="false" outlineLevel="0" collapsed="false">
      <c r="A1736" s="4" t="s">
        <v>15</v>
      </c>
      <c r="B1736" s="4" t="s">
        <v>1432</v>
      </c>
      <c r="C1736" s="4" t="s">
        <v>1440</v>
      </c>
      <c r="D1736" s="4" t="s">
        <v>190</v>
      </c>
      <c r="E1736" s="4" t="s">
        <v>63</v>
      </c>
      <c r="F1736" s="4" t="s">
        <v>63</v>
      </c>
      <c r="G1736" s="4" t="s">
        <v>1494</v>
      </c>
      <c r="H1736" s="4"/>
      <c r="I1736" s="4" t="n">
        <v>2.3776</v>
      </c>
      <c r="J1736" s="4" t="str">
        <f aca="false">TRIM(E1736) &amp; TRIM(C1736) &amp; TRIM(D1736)</f>
        <v>First ReviewHTC Adv CampaignPH</v>
      </c>
      <c r="K1736" s="4" t="n">
        <f aca="false">IFERROR(I1736*60,"")</f>
        <v>142.656</v>
      </c>
    </row>
    <row r="1737" customFormat="false" ht="15" hidden="false" customHeight="false" outlineLevel="0" collapsed="false">
      <c r="A1737" s="4" t="s">
        <v>15</v>
      </c>
      <c r="B1737" s="4" t="s">
        <v>1432</v>
      </c>
      <c r="C1737" s="4" t="s">
        <v>1433</v>
      </c>
      <c r="D1737" s="4" t="s">
        <v>213</v>
      </c>
      <c r="E1737" s="4" t="s">
        <v>63</v>
      </c>
      <c r="F1737" s="4" t="s">
        <v>63</v>
      </c>
      <c r="G1737" s="4" t="s">
        <v>1495</v>
      </c>
      <c r="H1737" s="4"/>
      <c r="I1737" s="4" t="n">
        <v>0.5908</v>
      </c>
      <c r="J1737" s="4" t="str">
        <f aca="false">TRIM(E1737) &amp; TRIM(C1737) &amp; TRIM(D1737)</f>
        <v>First ReviewQuest Adv RequirementFR</v>
      </c>
      <c r="K1737" s="4" t="n">
        <f aca="false">IFERROR(I1737*60,"")</f>
        <v>35.448</v>
      </c>
    </row>
    <row r="1738" customFormat="false" ht="15" hidden="false" customHeight="false" outlineLevel="0" collapsed="false">
      <c r="A1738" s="4" t="s">
        <v>15</v>
      </c>
      <c r="B1738" s="4" t="s">
        <v>1432</v>
      </c>
      <c r="C1738" s="4" t="s">
        <v>1440</v>
      </c>
      <c r="D1738" s="4" t="s">
        <v>150</v>
      </c>
      <c r="E1738" s="4" t="s">
        <v>63</v>
      </c>
      <c r="F1738" s="4" t="s">
        <v>63</v>
      </c>
      <c r="G1738" s="4" t="s">
        <v>1496</v>
      </c>
      <c r="H1738" s="4"/>
      <c r="I1738" s="4" t="n">
        <v>4.9885</v>
      </c>
      <c r="J1738" s="4" t="str">
        <f aca="false">TRIM(E1738) &amp; TRIM(C1738) &amp; TRIM(D1738)</f>
        <v>First ReviewHTC Adv CampaignDE</v>
      </c>
      <c r="K1738" s="4" t="n">
        <f aca="false">IFERROR(I1738*60,"")</f>
        <v>299.31</v>
      </c>
    </row>
    <row r="1739" customFormat="false" ht="15" hidden="false" customHeight="false" outlineLevel="0" collapsed="false">
      <c r="A1739" s="4" t="s">
        <v>15</v>
      </c>
      <c r="B1739" s="4" t="s">
        <v>1432</v>
      </c>
      <c r="C1739" s="4" t="s">
        <v>1436</v>
      </c>
      <c r="D1739" s="4" t="s">
        <v>154</v>
      </c>
      <c r="E1739" s="4" t="s">
        <v>63</v>
      </c>
      <c r="F1739" s="4" t="s">
        <v>63</v>
      </c>
      <c r="G1739" s="4" t="s">
        <v>1497</v>
      </c>
      <c r="H1739" s="4"/>
      <c r="I1739" s="4" t="n">
        <v>2.7654</v>
      </c>
      <c r="J1739" s="4" t="str">
        <f aca="false">TRIM(E1739) &amp; TRIM(C1739) &amp; TRIM(D1739)</f>
        <v>First ReviewQuest Adv CampaignES</v>
      </c>
      <c r="K1739" s="4" t="n">
        <f aca="false">IFERROR(I1739*60,"")</f>
        <v>165.924</v>
      </c>
    </row>
    <row r="1740" customFormat="false" ht="15" hidden="false" customHeight="false" outlineLevel="0" collapsed="false">
      <c r="A1740" s="4" t="s">
        <v>15</v>
      </c>
      <c r="B1740" s="4" t="s">
        <v>1432</v>
      </c>
      <c r="C1740" s="4" t="s">
        <v>1498</v>
      </c>
      <c r="D1740" s="4" t="s">
        <v>95</v>
      </c>
      <c r="E1740" s="4" t="s">
        <v>63</v>
      </c>
      <c r="F1740" s="4" t="s">
        <v>63</v>
      </c>
      <c r="G1740" s="4" t="s">
        <v>1499</v>
      </c>
      <c r="H1740" s="4"/>
      <c r="I1740" s="4" t="n">
        <v>1.4872</v>
      </c>
      <c r="J1740" s="4" t="str">
        <f aca="false">TRIM(E1740) &amp; TRIM(C1740) &amp; TRIM(D1740)</f>
        <v>First ReviewBE Adv CampaignVN</v>
      </c>
      <c r="K1740" s="4" t="n">
        <f aca="false">IFERROR(I1740*60,"")</f>
        <v>89.232</v>
      </c>
    </row>
    <row r="1741" customFormat="false" ht="15" hidden="false" customHeight="false" outlineLevel="0" collapsed="false">
      <c r="A1741" s="4" t="s">
        <v>15</v>
      </c>
      <c r="B1741" s="4" t="s">
        <v>1432</v>
      </c>
      <c r="C1741" s="4" t="s">
        <v>1440</v>
      </c>
      <c r="D1741" s="4" t="s">
        <v>213</v>
      </c>
      <c r="E1741" s="4" t="s">
        <v>63</v>
      </c>
      <c r="F1741" s="4" t="s">
        <v>63</v>
      </c>
      <c r="G1741" s="4" t="s">
        <v>1500</v>
      </c>
      <c r="H1741" s="4"/>
      <c r="I1741" s="4" t="n">
        <v>0.5298</v>
      </c>
      <c r="J1741" s="4" t="str">
        <f aca="false">TRIM(E1741) &amp; TRIM(C1741) &amp; TRIM(D1741)</f>
        <v>First ReviewHTC Adv CampaignFR</v>
      </c>
      <c r="K1741" s="4" t="n">
        <f aca="false">IFERROR(I1741*60,"")</f>
        <v>31.788</v>
      </c>
    </row>
    <row r="1742" customFormat="false" ht="15" hidden="false" customHeight="false" outlineLevel="0" collapsed="false">
      <c r="A1742" s="4" t="s">
        <v>15</v>
      </c>
      <c r="B1742" s="4" t="s">
        <v>1432</v>
      </c>
      <c r="C1742" s="4" t="s">
        <v>1442</v>
      </c>
      <c r="D1742" s="4" t="s">
        <v>97</v>
      </c>
      <c r="E1742" s="4" t="s">
        <v>63</v>
      </c>
      <c r="F1742" s="4" t="s">
        <v>63</v>
      </c>
      <c r="G1742" s="4" t="s">
        <v>1501</v>
      </c>
      <c r="H1742" s="4"/>
      <c r="I1742" s="4" t="n">
        <v>0.8653</v>
      </c>
      <c r="J1742" s="4" t="str">
        <f aca="false">TRIM(E1742) &amp; TRIM(C1742) &amp; TRIM(D1742)</f>
        <v>First ReviewQuest Video SafetyBR</v>
      </c>
      <c r="K1742" s="4" t="n">
        <f aca="false">IFERROR(I1742*60,"")</f>
        <v>51.918</v>
      </c>
    </row>
    <row r="1743" customFormat="false" ht="15" hidden="false" customHeight="false" outlineLevel="0" collapsed="false">
      <c r="A1743" s="4" t="s">
        <v>15</v>
      </c>
      <c r="B1743" s="4" t="s">
        <v>1432</v>
      </c>
      <c r="C1743" s="4" t="s">
        <v>1502</v>
      </c>
      <c r="D1743" s="4" t="s">
        <v>190</v>
      </c>
      <c r="E1743" s="4" t="s">
        <v>63</v>
      </c>
      <c r="F1743" s="4" t="s">
        <v>63</v>
      </c>
      <c r="G1743" s="4" t="s">
        <v>1503</v>
      </c>
      <c r="H1743" s="4"/>
      <c r="I1743" s="4" t="n">
        <v>0.1101</v>
      </c>
      <c r="J1743" s="4" t="str">
        <f aca="false">TRIM(E1743) &amp; TRIM(C1743) &amp; TRIM(D1743)</f>
        <v>First ReviewBE Adv VideoPH</v>
      </c>
      <c r="K1743" s="4" t="n">
        <f aca="false">IFERROR(I1743*60,"")</f>
        <v>6.606</v>
      </c>
    </row>
    <row r="1744" customFormat="false" ht="15" hidden="false" customHeight="false" outlineLevel="0" collapsed="false">
      <c r="A1744" s="4" t="s">
        <v>15</v>
      </c>
      <c r="B1744" s="4" t="s">
        <v>1432</v>
      </c>
      <c r="C1744" s="4" t="s">
        <v>1458</v>
      </c>
      <c r="D1744" s="4" t="s">
        <v>157</v>
      </c>
      <c r="E1744" s="4" t="s">
        <v>63</v>
      </c>
      <c r="F1744" s="4" t="s">
        <v>63</v>
      </c>
      <c r="G1744" s="4" t="s">
        <v>1504</v>
      </c>
      <c r="H1744" s="4"/>
      <c r="I1744" s="4" t="n">
        <v>2.5544</v>
      </c>
      <c r="J1744" s="4" t="str">
        <f aca="false">TRIM(E1744) &amp; TRIM(C1744) &amp; TRIM(D1744)</f>
        <v>First ReviewHTC Adv VideoSA</v>
      </c>
      <c r="K1744" s="4" t="n">
        <f aca="false">IFERROR(I1744*60,"")</f>
        <v>153.264</v>
      </c>
    </row>
    <row r="1745" customFormat="false" ht="15" hidden="false" customHeight="false" outlineLevel="0" collapsed="false">
      <c r="A1745" s="4" t="s">
        <v>15</v>
      </c>
      <c r="B1745" s="4" t="s">
        <v>1432</v>
      </c>
      <c r="C1745" s="4" t="s">
        <v>1440</v>
      </c>
      <c r="D1745" s="4" t="s">
        <v>203</v>
      </c>
      <c r="E1745" s="4" t="s">
        <v>63</v>
      </c>
      <c r="F1745" s="4" t="s">
        <v>63</v>
      </c>
      <c r="G1745" s="4" t="s">
        <v>1505</v>
      </c>
      <c r="H1745" s="4"/>
      <c r="I1745" s="4" t="n">
        <v>3.8874</v>
      </c>
      <c r="J1745" s="4" t="str">
        <f aca="false">TRIM(E1745) &amp; TRIM(C1745) &amp; TRIM(D1745)</f>
        <v>First ReviewHTC Adv CampaignCA</v>
      </c>
      <c r="K1745" s="4" t="n">
        <f aca="false">IFERROR(I1745*60,"")</f>
        <v>233.244</v>
      </c>
    </row>
    <row r="1746" customFormat="false" ht="15" hidden="false" customHeight="false" outlineLevel="0" collapsed="false">
      <c r="A1746" s="4" t="s">
        <v>15</v>
      </c>
      <c r="B1746" s="4" t="s">
        <v>1432</v>
      </c>
      <c r="C1746" s="4" t="s">
        <v>1433</v>
      </c>
      <c r="D1746" s="4" t="s">
        <v>106</v>
      </c>
      <c r="E1746" s="4" t="s">
        <v>63</v>
      </c>
      <c r="F1746" s="4" t="s">
        <v>63</v>
      </c>
      <c r="G1746" s="4" t="s">
        <v>1506</v>
      </c>
      <c r="H1746" s="4"/>
      <c r="I1746" s="4" t="n">
        <v>0.7723</v>
      </c>
      <c r="J1746" s="4" t="str">
        <f aca="false">TRIM(E1746) &amp; TRIM(C1746) &amp; TRIM(D1746)</f>
        <v>First ReviewQuest Adv RequirementMY</v>
      </c>
      <c r="K1746" s="4" t="n">
        <f aca="false">IFERROR(I1746*60,"")</f>
        <v>46.338</v>
      </c>
    </row>
    <row r="1747" customFormat="false" ht="15" hidden="false" customHeight="false" outlineLevel="0" collapsed="false">
      <c r="A1747" s="4" t="s">
        <v>15</v>
      </c>
      <c r="B1747" s="4" t="s">
        <v>1432</v>
      </c>
      <c r="C1747" s="4" t="s">
        <v>1442</v>
      </c>
      <c r="D1747" s="4" t="s">
        <v>267</v>
      </c>
      <c r="E1747" s="4" t="s">
        <v>63</v>
      </c>
      <c r="F1747" s="4" t="s">
        <v>63</v>
      </c>
      <c r="G1747" s="4" t="s">
        <v>1507</v>
      </c>
      <c r="H1747" s="4"/>
      <c r="I1747" s="4" t="n">
        <v>1.2827</v>
      </c>
      <c r="J1747" s="4" t="str">
        <f aca="false">TRIM(E1747) &amp; TRIM(C1747) &amp; TRIM(D1747)</f>
        <v>First ReviewQuest Video SafetyID</v>
      </c>
      <c r="K1747" s="4" t="n">
        <f aca="false">IFERROR(I1747*60,"")</f>
        <v>76.962</v>
      </c>
    </row>
    <row r="1748" customFormat="false" ht="15" hidden="false" customHeight="false" outlineLevel="0" collapsed="false">
      <c r="A1748" s="4" t="s">
        <v>15</v>
      </c>
      <c r="B1748" s="4" t="s">
        <v>1432</v>
      </c>
      <c r="C1748" s="4" t="s">
        <v>1436</v>
      </c>
      <c r="D1748" s="4" t="s">
        <v>126</v>
      </c>
      <c r="E1748" s="4" t="s">
        <v>63</v>
      </c>
      <c r="F1748" s="4" t="s">
        <v>63</v>
      </c>
      <c r="G1748" s="4" t="s">
        <v>1508</v>
      </c>
      <c r="H1748" s="4"/>
      <c r="I1748" s="4" t="n">
        <v>1.075</v>
      </c>
      <c r="J1748" s="4" t="str">
        <f aca="false">TRIM(E1748) &amp; TRIM(C1748) &amp; TRIM(D1748)</f>
        <v>First ReviewQuest Adv CampaignMX</v>
      </c>
      <c r="K1748" s="4" t="n">
        <f aca="false">IFERROR(I1748*60,"")</f>
        <v>64.5</v>
      </c>
    </row>
    <row r="1749" customFormat="false" ht="15" hidden="false" customHeight="false" outlineLevel="0" collapsed="false">
      <c r="A1749" s="4" t="s">
        <v>15</v>
      </c>
      <c r="B1749" s="4" t="s">
        <v>1432</v>
      </c>
      <c r="C1749" s="4" t="s">
        <v>1433</v>
      </c>
      <c r="D1749" s="4" t="s">
        <v>150</v>
      </c>
      <c r="E1749" s="4" t="s">
        <v>63</v>
      </c>
      <c r="F1749" s="4" t="s">
        <v>63</v>
      </c>
      <c r="G1749" s="4" t="s">
        <v>1509</v>
      </c>
      <c r="H1749" s="4"/>
      <c r="I1749" s="4" t="n">
        <v>0.7155</v>
      </c>
      <c r="J1749" s="4" t="str">
        <f aca="false">TRIM(E1749) &amp; TRIM(C1749) &amp; TRIM(D1749)</f>
        <v>First ReviewQuest Adv RequirementDE</v>
      </c>
      <c r="K1749" s="4" t="n">
        <f aca="false">IFERROR(I1749*60,"")</f>
        <v>42.93</v>
      </c>
    </row>
    <row r="1750" customFormat="false" ht="15" hidden="false" customHeight="false" outlineLevel="0" collapsed="false">
      <c r="A1750" s="4" t="s">
        <v>15</v>
      </c>
      <c r="B1750" s="4" t="s">
        <v>1432</v>
      </c>
      <c r="C1750" s="4" t="s">
        <v>1433</v>
      </c>
      <c r="D1750" s="4" t="s">
        <v>157</v>
      </c>
      <c r="E1750" s="4" t="s">
        <v>63</v>
      </c>
      <c r="F1750" s="4" t="s">
        <v>63</v>
      </c>
      <c r="G1750" s="4" t="s">
        <v>1510</v>
      </c>
      <c r="H1750" s="4"/>
      <c r="I1750" s="4" t="n">
        <v>0.6583</v>
      </c>
      <c r="J1750" s="4" t="str">
        <f aca="false">TRIM(E1750) &amp; TRIM(C1750) &amp; TRIM(D1750)</f>
        <v>First ReviewQuest Adv RequirementSA</v>
      </c>
      <c r="K1750" s="4" t="n">
        <f aca="false">IFERROR(I1750*60,"")</f>
        <v>39.498</v>
      </c>
    </row>
    <row r="1751" customFormat="false" ht="15" hidden="false" customHeight="false" outlineLevel="0" collapsed="false">
      <c r="A1751" s="4" t="s">
        <v>15</v>
      </c>
      <c r="B1751" s="4" t="s">
        <v>1432</v>
      </c>
      <c r="C1751" s="4" t="s">
        <v>1498</v>
      </c>
      <c r="D1751" s="4" t="s">
        <v>190</v>
      </c>
      <c r="E1751" s="4" t="s">
        <v>63</v>
      </c>
      <c r="F1751" s="4" t="s">
        <v>63</v>
      </c>
      <c r="G1751" s="4" t="s">
        <v>1511</v>
      </c>
      <c r="H1751" s="4"/>
      <c r="I1751" s="4" t="n">
        <v>1.2909</v>
      </c>
      <c r="J1751" s="4" t="str">
        <f aca="false">TRIM(E1751) &amp; TRIM(C1751) &amp; TRIM(D1751)</f>
        <v>First ReviewBE Adv CampaignPH</v>
      </c>
      <c r="K1751" s="4" t="n">
        <f aca="false">IFERROR(I1751*60,"")</f>
        <v>77.454</v>
      </c>
    </row>
    <row r="1752" customFormat="false" ht="15" hidden="false" customHeight="false" outlineLevel="0" collapsed="false">
      <c r="A1752" s="4" t="s">
        <v>15</v>
      </c>
      <c r="B1752" s="4" t="s">
        <v>1432</v>
      </c>
      <c r="C1752" s="4" t="s">
        <v>1433</v>
      </c>
      <c r="D1752" s="4" t="s">
        <v>111</v>
      </c>
      <c r="E1752" s="4" t="s">
        <v>63</v>
      </c>
      <c r="F1752" s="4" t="s">
        <v>63</v>
      </c>
      <c r="G1752" s="4" t="s">
        <v>1512</v>
      </c>
      <c r="H1752" s="4"/>
      <c r="I1752" s="4" t="n">
        <v>0.5966</v>
      </c>
      <c r="J1752" s="4" t="str">
        <f aca="false">TRIM(E1752) &amp; TRIM(C1752) &amp; TRIM(D1752)</f>
        <v>First ReviewQuest Adv RequirementUS</v>
      </c>
      <c r="K1752" s="4" t="n">
        <f aca="false">IFERROR(I1752*60,"")</f>
        <v>35.796</v>
      </c>
    </row>
    <row r="1753" customFormat="false" ht="15" hidden="false" customHeight="false" outlineLevel="0" collapsed="false">
      <c r="A1753" s="4" t="s">
        <v>15</v>
      </c>
      <c r="B1753" s="4" t="s">
        <v>1432</v>
      </c>
      <c r="C1753" s="4" t="s">
        <v>1433</v>
      </c>
      <c r="D1753" s="4" t="s">
        <v>275</v>
      </c>
      <c r="E1753" s="4" t="s">
        <v>63</v>
      </c>
      <c r="F1753" s="4" t="s">
        <v>63</v>
      </c>
      <c r="G1753" s="4" t="s">
        <v>1513</v>
      </c>
      <c r="H1753" s="4"/>
      <c r="I1753" s="4" t="n">
        <v>0.1763</v>
      </c>
      <c r="J1753" s="4" t="str">
        <f aca="false">TRIM(E1753) &amp; TRIM(C1753) &amp; TRIM(D1753)</f>
        <v>First ReviewQuest Adv RequirementGB</v>
      </c>
      <c r="K1753" s="4" t="n">
        <f aca="false">IFERROR(I1753*60,"")</f>
        <v>10.578</v>
      </c>
    </row>
    <row r="1754" customFormat="false" ht="15" hidden="false" customHeight="false" outlineLevel="0" collapsed="false">
      <c r="A1754" s="4" t="s">
        <v>15</v>
      </c>
      <c r="B1754" s="4" t="s">
        <v>1432</v>
      </c>
      <c r="C1754" s="4" t="s">
        <v>1438</v>
      </c>
      <c r="D1754" s="4" t="s">
        <v>235</v>
      </c>
      <c r="E1754" s="4" t="s">
        <v>63</v>
      </c>
      <c r="F1754" s="4" t="s">
        <v>63</v>
      </c>
      <c r="G1754" s="4" t="s">
        <v>1514</v>
      </c>
      <c r="H1754" s="4"/>
      <c r="I1754" s="4" t="n">
        <v>0.1843</v>
      </c>
      <c r="J1754" s="4" t="str">
        <f aca="false">TRIM(E1754) &amp; TRIM(C1754) &amp; TRIM(D1754)</f>
        <v>First ReviewQuest Adv VideoJP</v>
      </c>
      <c r="K1754" s="4" t="n">
        <f aca="false">IFERROR(I1754*60,"")</f>
        <v>11.058</v>
      </c>
    </row>
    <row r="1755" customFormat="false" ht="15" hidden="false" customHeight="false" outlineLevel="0" collapsed="false">
      <c r="A1755" s="4" t="s">
        <v>15</v>
      </c>
      <c r="B1755" s="4" t="s">
        <v>1432</v>
      </c>
      <c r="C1755" s="4" t="s">
        <v>1440</v>
      </c>
      <c r="D1755" s="4" t="s">
        <v>111</v>
      </c>
      <c r="E1755" s="4" t="s">
        <v>63</v>
      </c>
      <c r="F1755" s="4" t="s">
        <v>63</v>
      </c>
      <c r="G1755" s="4" t="s">
        <v>1515</v>
      </c>
      <c r="H1755" s="4"/>
      <c r="I1755" s="4" t="n">
        <v>1.7858</v>
      </c>
      <c r="J1755" s="4" t="str">
        <f aca="false">TRIM(E1755) &amp; TRIM(C1755) &amp; TRIM(D1755)</f>
        <v>First ReviewHTC Adv CampaignUS</v>
      </c>
      <c r="K1755" s="4" t="n">
        <f aca="false">IFERROR(I1755*60,"")</f>
        <v>107.148</v>
      </c>
    </row>
    <row r="1756" customFormat="false" ht="15" hidden="false" customHeight="false" outlineLevel="0" collapsed="false">
      <c r="A1756" s="4" t="s">
        <v>15</v>
      </c>
      <c r="B1756" s="4" t="s">
        <v>1432</v>
      </c>
      <c r="C1756" s="4" t="s">
        <v>1433</v>
      </c>
      <c r="D1756" s="4" t="s">
        <v>95</v>
      </c>
      <c r="E1756" s="4" t="s">
        <v>63</v>
      </c>
      <c r="F1756" s="4" t="s">
        <v>63</v>
      </c>
      <c r="G1756" s="4" t="s">
        <v>1516</v>
      </c>
      <c r="H1756" s="4"/>
      <c r="I1756" s="4" t="n">
        <v>1.3345</v>
      </c>
      <c r="J1756" s="4" t="str">
        <f aca="false">TRIM(E1756) &amp; TRIM(C1756) &amp; TRIM(D1756)</f>
        <v>First ReviewQuest Adv RequirementVN</v>
      </c>
      <c r="K1756" s="4" t="n">
        <f aca="false">IFERROR(I1756*60,"")</f>
        <v>80.07</v>
      </c>
    </row>
    <row r="1757" customFormat="false" ht="15" hidden="false" customHeight="false" outlineLevel="0" collapsed="false">
      <c r="A1757" s="4" t="s">
        <v>15</v>
      </c>
      <c r="B1757" s="4" t="s">
        <v>1432</v>
      </c>
      <c r="C1757" s="4" t="s">
        <v>1442</v>
      </c>
      <c r="D1757" s="4" t="s">
        <v>87</v>
      </c>
      <c r="E1757" s="4" t="s">
        <v>63</v>
      </c>
      <c r="F1757" s="4" t="s">
        <v>63</v>
      </c>
      <c r="G1757" s="4" t="s">
        <v>1517</v>
      </c>
      <c r="H1757" s="4"/>
      <c r="I1757" s="4" t="n">
        <v>0.7747</v>
      </c>
      <c r="J1757" s="4" t="str">
        <f aca="false">TRIM(E1757) &amp; TRIM(C1757) &amp; TRIM(D1757)</f>
        <v>First ReviewQuest Video SafetyAE</v>
      </c>
      <c r="K1757" s="4" t="n">
        <f aca="false">IFERROR(I1757*60,"")</f>
        <v>46.482</v>
      </c>
    </row>
    <row r="1758" customFormat="false" ht="15" hidden="false" customHeight="false" outlineLevel="0" collapsed="false">
      <c r="A1758" s="4" t="s">
        <v>15</v>
      </c>
      <c r="B1758" s="4" t="s">
        <v>1432</v>
      </c>
      <c r="C1758" s="4" t="s">
        <v>1440</v>
      </c>
      <c r="D1758" s="4" t="s">
        <v>126</v>
      </c>
      <c r="E1758" s="4" t="s">
        <v>63</v>
      </c>
      <c r="F1758" s="4" t="s">
        <v>63</v>
      </c>
      <c r="G1758" s="4" t="s">
        <v>1518</v>
      </c>
      <c r="H1758" s="4"/>
      <c r="I1758" s="4" t="n">
        <v>1.288</v>
      </c>
      <c r="J1758" s="4" t="str">
        <f aca="false">TRIM(E1758) &amp; TRIM(C1758) &amp; TRIM(D1758)</f>
        <v>First ReviewHTC Adv CampaignMX</v>
      </c>
      <c r="K1758" s="4" t="n">
        <f aca="false">IFERROR(I1758*60,"")</f>
        <v>77.28</v>
      </c>
    </row>
    <row r="1759" customFormat="false" ht="15" hidden="false" customHeight="false" outlineLevel="0" collapsed="false">
      <c r="A1759" s="4" t="s">
        <v>15</v>
      </c>
      <c r="B1759" s="4" t="s">
        <v>1432</v>
      </c>
      <c r="C1759" s="4" t="s">
        <v>1436</v>
      </c>
      <c r="D1759" s="4" t="s">
        <v>97</v>
      </c>
      <c r="E1759" s="4" t="s">
        <v>63</v>
      </c>
      <c r="F1759" s="4" t="s">
        <v>63</v>
      </c>
      <c r="G1759" s="4" t="s">
        <v>1519</v>
      </c>
      <c r="H1759" s="4"/>
      <c r="I1759" s="4" t="n">
        <v>1.2017</v>
      </c>
      <c r="J1759" s="4" t="str">
        <f aca="false">TRIM(E1759) &amp; TRIM(C1759) &amp; TRIM(D1759)</f>
        <v>First ReviewQuest Adv CampaignBR</v>
      </c>
      <c r="K1759" s="4" t="n">
        <f aca="false">IFERROR(I1759*60,"")</f>
        <v>72.102</v>
      </c>
    </row>
    <row r="1760" customFormat="false" ht="15" hidden="false" customHeight="false" outlineLevel="0" collapsed="false">
      <c r="A1760" s="4" t="s">
        <v>15</v>
      </c>
      <c r="B1760" s="4" t="s">
        <v>1432</v>
      </c>
      <c r="C1760" s="4" t="s">
        <v>1440</v>
      </c>
      <c r="D1760" s="4" t="s">
        <v>275</v>
      </c>
      <c r="E1760" s="4" t="s">
        <v>63</v>
      </c>
      <c r="F1760" s="4" t="s">
        <v>63</v>
      </c>
      <c r="G1760" s="4" t="s">
        <v>1520</v>
      </c>
      <c r="H1760" s="4"/>
      <c r="I1760" s="4" t="n">
        <v>0.1209</v>
      </c>
      <c r="J1760" s="4" t="str">
        <f aca="false">TRIM(E1760) &amp; TRIM(C1760) &amp; TRIM(D1760)</f>
        <v>First ReviewHTC Adv CampaignGB</v>
      </c>
      <c r="K1760" s="4" t="n">
        <f aca="false">IFERROR(I1760*60,"")</f>
        <v>7.254</v>
      </c>
    </row>
    <row r="1761" customFormat="false" ht="15" hidden="false" customHeight="false" outlineLevel="0" collapsed="false">
      <c r="A1761" s="4" t="s">
        <v>15</v>
      </c>
      <c r="B1761" s="4" t="s">
        <v>1432</v>
      </c>
      <c r="C1761" s="4" t="s">
        <v>1442</v>
      </c>
      <c r="D1761" s="4" t="s">
        <v>275</v>
      </c>
      <c r="E1761" s="4" t="s">
        <v>63</v>
      </c>
      <c r="F1761" s="4" t="s">
        <v>63</v>
      </c>
      <c r="G1761" s="4" t="s">
        <v>1521</v>
      </c>
      <c r="H1761" s="4"/>
      <c r="I1761" s="4" t="n">
        <v>1.8816</v>
      </c>
      <c r="J1761" s="4" t="str">
        <f aca="false">TRIM(E1761) &amp; TRIM(C1761) &amp; TRIM(D1761)</f>
        <v>First ReviewQuest Video SafetyGB</v>
      </c>
      <c r="K1761" s="4" t="n">
        <f aca="false">IFERROR(I1761*60,"")</f>
        <v>112.896</v>
      </c>
    </row>
    <row r="1762" customFormat="false" ht="15" hidden="false" customHeight="false" outlineLevel="0" collapsed="false">
      <c r="A1762" s="4" t="s">
        <v>15</v>
      </c>
      <c r="B1762" s="4" t="s">
        <v>1432</v>
      </c>
      <c r="C1762" s="4" t="s">
        <v>1442</v>
      </c>
      <c r="D1762" s="4" t="s">
        <v>106</v>
      </c>
      <c r="E1762" s="4" t="s">
        <v>63</v>
      </c>
      <c r="F1762" s="4" t="s">
        <v>63</v>
      </c>
      <c r="G1762" s="4" t="s">
        <v>1522</v>
      </c>
      <c r="H1762" s="4"/>
      <c r="I1762" s="4" t="n">
        <v>0.727</v>
      </c>
      <c r="J1762" s="4" t="str">
        <f aca="false">TRIM(E1762) &amp; TRIM(C1762) &amp; TRIM(D1762)</f>
        <v>First ReviewQuest Video SafetyMY</v>
      </c>
      <c r="K1762" s="4" t="n">
        <f aca="false">IFERROR(I1762*60,"")</f>
        <v>43.62</v>
      </c>
    </row>
    <row r="1763" customFormat="false" ht="15" hidden="false" customHeight="false" outlineLevel="0" collapsed="false">
      <c r="A1763" s="4" t="s">
        <v>15</v>
      </c>
      <c r="B1763" s="4" t="s">
        <v>1432</v>
      </c>
      <c r="C1763" s="4" t="s">
        <v>1438</v>
      </c>
      <c r="D1763" s="4" t="s">
        <v>157</v>
      </c>
      <c r="E1763" s="4" t="s">
        <v>63</v>
      </c>
      <c r="F1763" s="4" t="s">
        <v>63</v>
      </c>
      <c r="G1763" s="4" t="s">
        <v>1523</v>
      </c>
      <c r="H1763" s="4"/>
      <c r="I1763" s="4" t="n">
        <v>0.9299</v>
      </c>
      <c r="J1763" s="4" t="str">
        <f aca="false">TRIM(E1763) &amp; TRIM(C1763) &amp; TRIM(D1763)</f>
        <v>First ReviewQuest Adv VideoSA</v>
      </c>
      <c r="K1763" s="4" t="n">
        <f aca="false">IFERROR(I1763*60,"")</f>
        <v>55.794</v>
      </c>
    </row>
    <row r="1764" customFormat="false" ht="15" hidden="false" customHeight="false" outlineLevel="0" collapsed="false">
      <c r="A1764" s="4" t="s">
        <v>15</v>
      </c>
      <c r="B1764" s="4" t="s">
        <v>1432</v>
      </c>
      <c r="C1764" s="4" t="s">
        <v>1442</v>
      </c>
      <c r="D1764" s="4" t="s">
        <v>190</v>
      </c>
      <c r="E1764" s="4" t="s">
        <v>63</v>
      </c>
      <c r="F1764" s="4" t="s">
        <v>63</v>
      </c>
      <c r="G1764" s="4" t="s">
        <v>1524</v>
      </c>
      <c r="H1764" s="4"/>
      <c r="I1764" s="4" t="n">
        <v>0.2818</v>
      </c>
      <c r="J1764" s="4" t="str">
        <f aca="false">TRIM(E1764) &amp; TRIM(C1764) &amp; TRIM(D1764)</f>
        <v>First ReviewQuest Video SafetyPH</v>
      </c>
      <c r="K1764" s="4" t="n">
        <f aca="false">IFERROR(I1764*60,"")</f>
        <v>16.908</v>
      </c>
    </row>
    <row r="1765" customFormat="false" ht="15" hidden="false" customHeight="false" outlineLevel="0" collapsed="false">
      <c r="A1765" s="4" t="s">
        <v>15</v>
      </c>
      <c r="B1765" s="4" t="s">
        <v>1432</v>
      </c>
      <c r="C1765" s="4" t="s">
        <v>1458</v>
      </c>
      <c r="D1765" s="4" t="s">
        <v>190</v>
      </c>
      <c r="E1765" s="4" t="s">
        <v>63</v>
      </c>
      <c r="F1765" s="4" t="s">
        <v>63</v>
      </c>
      <c r="G1765" s="4" t="s">
        <v>1525</v>
      </c>
      <c r="H1765" s="4"/>
      <c r="I1765" s="4" t="n">
        <v>0.4927</v>
      </c>
      <c r="J1765" s="4" t="str">
        <f aca="false">TRIM(E1765) &amp; TRIM(C1765) &amp; TRIM(D1765)</f>
        <v>First ReviewHTC Adv VideoPH</v>
      </c>
      <c r="K1765" s="4" t="n">
        <f aca="false">IFERROR(I1765*60,"")</f>
        <v>29.562</v>
      </c>
    </row>
    <row r="1766" customFormat="false" ht="15" hidden="false" customHeight="false" outlineLevel="0" collapsed="false">
      <c r="A1766" s="4" t="s">
        <v>15</v>
      </c>
      <c r="B1766" s="4" t="s">
        <v>1526</v>
      </c>
      <c r="C1766" s="4" t="s">
        <v>1527</v>
      </c>
      <c r="D1766" s="4" t="s">
        <v>145</v>
      </c>
      <c r="E1766" s="4" t="s">
        <v>66</v>
      </c>
      <c r="F1766" s="4" t="s">
        <v>67</v>
      </c>
      <c r="G1766" s="4" t="s">
        <v>1528</v>
      </c>
      <c r="H1766" s="4"/>
      <c r="I1766" s="4" t="n">
        <v>1.3736</v>
      </c>
      <c r="J1766" s="4" t="str">
        <f aca="false">TRIM(E1766) &amp; TRIM(C1766) &amp; TRIM(D1766)</f>
        <v>Posted RecallBoost CarouselRS</v>
      </c>
      <c r="K1766" s="4" t="n">
        <f aca="false">IFERROR(I1766*60,"")</f>
        <v>82.416</v>
      </c>
    </row>
    <row r="1767" customFormat="false" ht="15" hidden="false" customHeight="false" outlineLevel="0" collapsed="false">
      <c r="A1767" s="4" t="s">
        <v>15</v>
      </c>
      <c r="B1767" s="4" t="s">
        <v>1526</v>
      </c>
      <c r="C1767" s="4" t="s">
        <v>1529</v>
      </c>
      <c r="D1767" s="4" t="s">
        <v>157</v>
      </c>
      <c r="E1767" s="4" t="s">
        <v>63</v>
      </c>
      <c r="F1767" s="4" t="s">
        <v>63</v>
      </c>
      <c r="G1767" s="4" t="s">
        <v>1530</v>
      </c>
      <c r="H1767" s="4"/>
      <c r="I1767" s="4" t="n">
        <v>1.1805</v>
      </c>
      <c r="J1767" s="4" t="str">
        <f aca="false">TRIM(E1767) &amp; TRIM(C1767) &amp; TRIM(D1767)</f>
        <v>First ReviewBoost LivestreamSA</v>
      </c>
      <c r="K1767" s="4" t="n">
        <f aca="false">IFERROR(I1767*60,"")</f>
        <v>70.83</v>
      </c>
    </row>
    <row r="1768" customFormat="false" ht="15" hidden="false" customHeight="false" outlineLevel="0" collapsed="false">
      <c r="A1768" s="4" t="s">
        <v>15</v>
      </c>
      <c r="B1768" s="4" t="s">
        <v>1526</v>
      </c>
      <c r="C1768" s="4" t="s">
        <v>1529</v>
      </c>
      <c r="D1768" s="4" t="s">
        <v>203</v>
      </c>
      <c r="E1768" s="4" t="s">
        <v>66</v>
      </c>
      <c r="F1768" s="4" t="s">
        <v>67</v>
      </c>
      <c r="G1768" s="4" t="s">
        <v>1531</v>
      </c>
      <c r="H1768" s="4"/>
      <c r="I1768" s="4" t="n">
        <v>1.7739</v>
      </c>
      <c r="J1768" s="4" t="str">
        <f aca="false">TRIM(E1768) &amp; TRIM(C1768) &amp; TRIM(D1768)</f>
        <v>Posted RecallBoost LivestreamCA</v>
      </c>
      <c r="K1768" s="4" t="n">
        <f aca="false">IFERROR(I1768*60,"")</f>
        <v>106.434</v>
      </c>
    </row>
    <row r="1769" customFormat="false" ht="15" hidden="false" customHeight="false" outlineLevel="0" collapsed="false">
      <c r="A1769" s="4" t="s">
        <v>15</v>
      </c>
      <c r="B1769" s="4" t="s">
        <v>1526</v>
      </c>
      <c r="C1769" s="4" t="s">
        <v>1529</v>
      </c>
      <c r="D1769" s="4" t="s">
        <v>139</v>
      </c>
      <c r="E1769" s="4" t="s">
        <v>66</v>
      </c>
      <c r="F1769" s="4" t="s">
        <v>67</v>
      </c>
      <c r="G1769" s="4" t="s">
        <v>1532</v>
      </c>
      <c r="H1769" s="4"/>
      <c r="I1769" s="4" t="n">
        <v>1.3534</v>
      </c>
      <c r="J1769" s="4" t="str">
        <f aca="false">TRIM(E1769) &amp; TRIM(C1769) &amp; TRIM(D1769)</f>
        <v>Posted RecallBoost LivestreamEG</v>
      </c>
      <c r="K1769" s="4" t="n">
        <f aca="false">IFERROR(I1769*60,"")</f>
        <v>81.204</v>
      </c>
    </row>
    <row r="1770" customFormat="false" ht="15" hidden="false" customHeight="false" outlineLevel="0" collapsed="false">
      <c r="A1770" s="4" t="s">
        <v>15</v>
      </c>
      <c r="B1770" s="4" t="s">
        <v>1526</v>
      </c>
      <c r="C1770" s="4" t="s">
        <v>1527</v>
      </c>
      <c r="D1770" s="4" t="s">
        <v>190</v>
      </c>
      <c r="E1770" s="4" t="s">
        <v>63</v>
      </c>
      <c r="F1770" s="4" t="s">
        <v>63</v>
      </c>
      <c r="G1770" s="4" t="s">
        <v>1533</v>
      </c>
      <c r="H1770" s="4"/>
      <c r="I1770" s="4" t="n">
        <v>1.3767</v>
      </c>
      <c r="J1770" s="4" t="str">
        <f aca="false">TRIM(E1770) &amp; TRIM(C1770) &amp; TRIM(D1770)</f>
        <v>First ReviewBoost CarouselPH</v>
      </c>
      <c r="K1770" s="4" t="n">
        <f aca="false">IFERROR(I1770*60,"")</f>
        <v>82.602</v>
      </c>
    </row>
    <row r="1771" customFormat="false" ht="15" hidden="false" customHeight="false" outlineLevel="0" collapsed="false">
      <c r="A1771" s="4" t="s">
        <v>15</v>
      </c>
      <c r="B1771" s="4" t="s">
        <v>1526</v>
      </c>
      <c r="C1771" s="4" t="s">
        <v>1527</v>
      </c>
      <c r="D1771" s="4" t="s">
        <v>319</v>
      </c>
      <c r="E1771" s="4" t="s">
        <v>63</v>
      </c>
      <c r="F1771" s="4" t="s">
        <v>63</v>
      </c>
      <c r="G1771" s="4" t="s">
        <v>1534</v>
      </c>
      <c r="H1771" s="4"/>
      <c r="I1771" s="4" t="n">
        <v>1.4849</v>
      </c>
      <c r="J1771" s="4" t="str">
        <f aca="false">TRIM(E1771) &amp; TRIM(C1771) &amp; TRIM(D1771)</f>
        <v>First ReviewBoost CarouselSK</v>
      </c>
      <c r="K1771" s="4" t="n">
        <f aca="false">IFERROR(I1771*60,"")</f>
        <v>89.094</v>
      </c>
    </row>
    <row r="1772" customFormat="false" ht="15" hidden="false" customHeight="false" outlineLevel="0" collapsed="false">
      <c r="A1772" s="4" t="s">
        <v>15</v>
      </c>
      <c r="B1772" s="4" t="s">
        <v>1526</v>
      </c>
      <c r="C1772" s="4" t="s">
        <v>1535</v>
      </c>
      <c r="D1772" s="4" t="s">
        <v>357</v>
      </c>
      <c r="E1772" s="4" t="s">
        <v>66</v>
      </c>
      <c r="F1772" s="4" t="s">
        <v>67</v>
      </c>
      <c r="G1772" s="4" t="s">
        <v>1536</v>
      </c>
      <c r="H1772" s="4"/>
      <c r="I1772" s="4" t="n">
        <v>2.0736</v>
      </c>
      <c r="J1772" s="4" t="str">
        <f aca="false">TRIM(E1772) &amp; TRIM(C1772) &amp; TRIM(D1772)</f>
        <v>Posted RecallBoost VideoHU</v>
      </c>
      <c r="K1772" s="4" t="n">
        <f aca="false">IFERROR(I1772*60,"")</f>
        <v>124.416</v>
      </c>
    </row>
    <row r="1773" customFormat="false" ht="15" hidden="false" customHeight="false" outlineLevel="0" collapsed="false">
      <c r="A1773" s="4" t="s">
        <v>15</v>
      </c>
      <c r="B1773" s="4" t="s">
        <v>1526</v>
      </c>
      <c r="C1773" s="4" t="s">
        <v>1535</v>
      </c>
      <c r="D1773" s="4" t="s">
        <v>1537</v>
      </c>
      <c r="E1773" s="4" t="s">
        <v>63</v>
      </c>
      <c r="F1773" s="4" t="s">
        <v>63</v>
      </c>
      <c r="G1773" s="4" t="s">
        <v>1538</v>
      </c>
      <c r="H1773" s="4"/>
      <c r="I1773" s="4" t="n">
        <v>3.5747</v>
      </c>
      <c r="J1773" s="4" t="str">
        <f aca="false">TRIM(E1773) &amp; TRIM(C1773) &amp; TRIM(D1773)</f>
        <v>First ReviewBoost VideoLA</v>
      </c>
      <c r="K1773" s="4" t="n">
        <f aca="false">IFERROR(I1773*60,"")</f>
        <v>214.482</v>
      </c>
    </row>
    <row r="1774" customFormat="false" ht="15" hidden="false" customHeight="false" outlineLevel="0" collapsed="false">
      <c r="A1774" s="4" t="s">
        <v>15</v>
      </c>
      <c r="B1774" s="4" t="s">
        <v>1526</v>
      </c>
      <c r="C1774" s="4" t="s">
        <v>1535</v>
      </c>
      <c r="D1774" s="4" t="s">
        <v>87</v>
      </c>
      <c r="E1774" s="4" t="s">
        <v>63</v>
      </c>
      <c r="F1774" s="4" t="s">
        <v>63</v>
      </c>
      <c r="G1774" s="4" t="s">
        <v>1539</v>
      </c>
      <c r="H1774" s="4"/>
      <c r="I1774" s="4" t="n">
        <v>1.4198</v>
      </c>
      <c r="J1774" s="4" t="str">
        <f aca="false">TRIM(E1774) &amp; TRIM(C1774) &amp; TRIM(D1774)</f>
        <v>First ReviewBoost VideoAE</v>
      </c>
      <c r="K1774" s="4" t="n">
        <f aca="false">IFERROR(I1774*60,"")</f>
        <v>85.188</v>
      </c>
    </row>
    <row r="1775" customFormat="false" ht="15" hidden="false" customHeight="false" outlineLevel="0" collapsed="false">
      <c r="A1775" s="4" t="s">
        <v>15</v>
      </c>
      <c r="B1775" s="4" t="s">
        <v>1526</v>
      </c>
      <c r="C1775" s="4" t="s">
        <v>1527</v>
      </c>
      <c r="D1775" s="4" t="s">
        <v>192</v>
      </c>
      <c r="E1775" s="4" t="s">
        <v>63</v>
      </c>
      <c r="F1775" s="4" t="s">
        <v>63</v>
      </c>
      <c r="G1775" s="4" t="s">
        <v>1540</v>
      </c>
      <c r="H1775" s="4"/>
      <c r="I1775" s="4" t="n">
        <v>1.7697</v>
      </c>
      <c r="J1775" s="4" t="str">
        <f aca="false">TRIM(E1775) &amp; TRIM(C1775) &amp; TRIM(D1775)</f>
        <v>First ReviewBoost CarouselGT</v>
      </c>
      <c r="K1775" s="4" t="n">
        <f aca="false">IFERROR(I1775*60,"")</f>
        <v>106.182</v>
      </c>
    </row>
    <row r="1776" customFormat="false" ht="15" hidden="false" customHeight="false" outlineLevel="0" collapsed="false">
      <c r="A1776" s="4" t="s">
        <v>15</v>
      </c>
      <c r="B1776" s="4" t="s">
        <v>1526</v>
      </c>
      <c r="C1776" s="4" t="s">
        <v>1527</v>
      </c>
      <c r="D1776" s="4" t="s">
        <v>117</v>
      </c>
      <c r="E1776" s="4" t="s">
        <v>63</v>
      </c>
      <c r="F1776" s="4" t="s">
        <v>63</v>
      </c>
      <c r="G1776" s="4" t="s">
        <v>1541</v>
      </c>
      <c r="H1776" s="4"/>
      <c r="I1776" s="4" t="n">
        <v>1.4126</v>
      </c>
      <c r="J1776" s="4" t="str">
        <f aca="false">TRIM(E1776) &amp; TRIM(C1776) &amp; TRIM(D1776)</f>
        <v>First ReviewBoost CarouselAR</v>
      </c>
      <c r="K1776" s="4" t="n">
        <f aca="false">IFERROR(I1776*60,"")</f>
        <v>84.756</v>
      </c>
    </row>
    <row r="1777" customFormat="false" ht="15" hidden="false" customHeight="false" outlineLevel="0" collapsed="false">
      <c r="A1777" s="4" t="s">
        <v>15</v>
      </c>
      <c r="B1777" s="4" t="s">
        <v>1526</v>
      </c>
      <c r="C1777" s="4" t="s">
        <v>1535</v>
      </c>
      <c r="D1777" s="4" t="s">
        <v>357</v>
      </c>
      <c r="E1777" s="4" t="s">
        <v>59</v>
      </c>
      <c r="F1777" s="4" t="s">
        <v>59</v>
      </c>
      <c r="G1777" s="4" t="s">
        <v>1536</v>
      </c>
      <c r="H1777" s="4"/>
      <c r="I1777" s="4" t="n">
        <v>1.8146</v>
      </c>
      <c r="J1777" s="4" t="str">
        <f aca="false">TRIM(E1777) &amp; TRIM(C1777) &amp; TRIM(D1777)</f>
        <v>Re-reviewBoost VideoHU</v>
      </c>
      <c r="K1777" s="4" t="n">
        <f aca="false">IFERROR(I1777*60,"")</f>
        <v>108.876</v>
      </c>
    </row>
    <row r="1778" customFormat="false" ht="15" hidden="false" customHeight="false" outlineLevel="0" collapsed="false">
      <c r="A1778" s="4" t="s">
        <v>15</v>
      </c>
      <c r="B1778" s="4" t="s">
        <v>1526</v>
      </c>
      <c r="C1778" s="4" t="s">
        <v>1529</v>
      </c>
      <c r="D1778" s="4" t="s">
        <v>206</v>
      </c>
      <c r="E1778" s="4" t="s">
        <v>66</v>
      </c>
      <c r="F1778" s="4" t="s">
        <v>67</v>
      </c>
      <c r="G1778" s="4" t="s">
        <v>1542</v>
      </c>
      <c r="H1778" s="4"/>
      <c r="I1778" s="4" t="n">
        <v>1.6289</v>
      </c>
      <c r="J1778" s="4" t="str">
        <f aca="false">TRIM(E1778) &amp; TRIM(C1778) &amp; TRIM(D1778)</f>
        <v>Posted RecallBoost LivestreamDZ</v>
      </c>
      <c r="K1778" s="4" t="n">
        <f aca="false">IFERROR(I1778*60,"")</f>
        <v>97.734</v>
      </c>
    </row>
    <row r="1779" customFormat="false" ht="15" hidden="false" customHeight="false" outlineLevel="0" collapsed="false">
      <c r="A1779" s="4" t="s">
        <v>15</v>
      </c>
      <c r="B1779" s="4" t="s">
        <v>1526</v>
      </c>
      <c r="C1779" s="4" t="s">
        <v>1527</v>
      </c>
      <c r="D1779" s="4" t="s">
        <v>58</v>
      </c>
      <c r="E1779" s="4" t="s">
        <v>66</v>
      </c>
      <c r="F1779" s="4" t="s">
        <v>67</v>
      </c>
      <c r="G1779" s="4" t="s">
        <v>1543</v>
      </c>
      <c r="H1779" s="4"/>
      <c r="I1779" s="4" t="n">
        <v>0.6517</v>
      </c>
      <c r="J1779" s="4" t="str">
        <f aca="false">TRIM(E1779) &amp; TRIM(C1779) &amp; TRIM(D1779)</f>
        <v>Posted RecallBoost CarouselSG</v>
      </c>
      <c r="K1779" s="4" t="n">
        <f aca="false">IFERROR(I1779*60,"")</f>
        <v>39.102</v>
      </c>
    </row>
    <row r="1780" customFormat="false" ht="15" hidden="false" customHeight="false" outlineLevel="0" collapsed="false">
      <c r="A1780" s="4" t="s">
        <v>15</v>
      </c>
      <c r="B1780" s="4" t="s">
        <v>1526</v>
      </c>
      <c r="C1780" s="4" t="s">
        <v>1535</v>
      </c>
      <c r="D1780" s="4" t="s">
        <v>145</v>
      </c>
      <c r="E1780" s="4" t="s">
        <v>63</v>
      </c>
      <c r="F1780" s="4" t="s">
        <v>63</v>
      </c>
      <c r="G1780" s="4" t="s">
        <v>1544</v>
      </c>
      <c r="H1780" s="4"/>
      <c r="I1780" s="4" t="n">
        <v>3.0518</v>
      </c>
      <c r="J1780" s="4" t="str">
        <f aca="false">TRIM(E1780) &amp; TRIM(C1780) &amp; TRIM(D1780)</f>
        <v>First ReviewBoost VideoRS</v>
      </c>
      <c r="K1780" s="4" t="n">
        <f aca="false">IFERROR(I1780*60,"")</f>
        <v>183.108</v>
      </c>
    </row>
    <row r="1781" customFormat="false" ht="15" hidden="false" customHeight="false" outlineLevel="0" collapsed="false">
      <c r="A1781" s="4" t="s">
        <v>15</v>
      </c>
      <c r="B1781" s="4" t="s">
        <v>1526</v>
      </c>
      <c r="C1781" s="4" t="s">
        <v>1529</v>
      </c>
      <c r="D1781" s="4" t="s">
        <v>95</v>
      </c>
      <c r="E1781" s="4" t="s">
        <v>63</v>
      </c>
      <c r="F1781" s="4" t="s">
        <v>63</v>
      </c>
      <c r="G1781" s="4" t="s">
        <v>1545</v>
      </c>
      <c r="H1781" s="4"/>
      <c r="I1781" s="4" t="n">
        <v>2.4141</v>
      </c>
      <c r="J1781" s="4" t="str">
        <f aca="false">TRIM(E1781) &amp; TRIM(C1781) &amp; TRIM(D1781)</f>
        <v>First ReviewBoost LivestreamVN</v>
      </c>
      <c r="K1781" s="4" t="n">
        <f aca="false">IFERROR(I1781*60,"")</f>
        <v>144.846</v>
      </c>
    </row>
    <row r="1782" customFormat="false" ht="15" hidden="false" customHeight="false" outlineLevel="0" collapsed="false">
      <c r="A1782" s="4" t="s">
        <v>15</v>
      </c>
      <c r="B1782" s="4" t="s">
        <v>1526</v>
      </c>
      <c r="C1782" s="4" t="s">
        <v>1527</v>
      </c>
      <c r="D1782" s="4" t="s">
        <v>255</v>
      </c>
      <c r="E1782" s="4" t="s">
        <v>66</v>
      </c>
      <c r="F1782" s="4" t="s">
        <v>67</v>
      </c>
      <c r="G1782" s="4" t="s">
        <v>1546</v>
      </c>
      <c r="H1782" s="4"/>
      <c r="I1782" s="4" t="n">
        <v>1.0826</v>
      </c>
      <c r="J1782" s="4" t="str">
        <f aca="false">TRIM(E1782) &amp; TRIM(C1782) &amp; TRIM(D1782)</f>
        <v>Posted RecallBoost CarouselNZ</v>
      </c>
      <c r="K1782" s="4" t="n">
        <f aca="false">IFERROR(I1782*60,"")</f>
        <v>64.956</v>
      </c>
    </row>
    <row r="1783" customFormat="false" ht="15" hidden="false" customHeight="false" outlineLevel="0" collapsed="false">
      <c r="A1783" s="4" t="s">
        <v>15</v>
      </c>
      <c r="B1783" s="4" t="s">
        <v>1526</v>
      </c>
      <c r="C1783" s="4" t="s">
        <v>1535</v>
      </c>
      <c r="D1783" s="4" t="s">
        <v>1547</v>
      </c>
      <c r="E1783" s="4" t="s">
        <v>63</v>
      </c>
      <c r="F1783" s="4" t="s">
        <v>63</v>
      </c>
      <c r="G1783" s="4" t="s">
        <v>1548</v>
      </c>
      <c r="H1783" s="4"/>
      <c r="I1783" s="4" t="n">
        <v>1.5192</v>
      </c>
      <c r="J1783" s="4" t="str">
        <f aca="false">TRIM(E1783) &amp; TRIM(C1783) &amp; TRIM(D1783)</f>
        <v>First ReviewBoost VideoHN</v>
      </c>
      <c r="K1783" s="4" t="n">
        <f aca="false">IFERROR(I1783*60,"")</f>
        <v>91.152</v>
      </c>
    </row>
    <row r="1784" customFormat="false" ht="15" hidden="false" customHeight="false" outlineLevel="0" collapsed="false">
      <c r="A1784" s="4" t="s">
        <v>15</v>
      </c>
      <c r="B1784" s="4" t="s">
        <v>1526</v>
      </c>
      <c r="C1784" s="4" t="s">
        <v>1535</v>
      </c>
      <c r="D1784" s="4" t="s">
        <v>139</v>
      </c>
      <c r="E1784" s="4" t="s">
        <v>66</v>
      </c>
      <c r="F1784" s="4" t="s">
        <v>67</v>
      </c>
      <c r="G1784" s="4" t="s">
        <v>1549</v>
      </c>
      <c r="H1784" s="4"/>
      <c r="I1784" s="4" t="n">
        <v>1.5231</v>
      </c>
      <c r="J1784" s="4" t="str">
        <f aca="false">TRIM(E1784) &amp; TRIM(C1784) &amp; TRIM(D1784)</f>
        <v>Posted RecallBoost VideoEG</v>
      </c>
      <c r="K1784" s="4" t="n">
        <f aca="false">IFERROR(I1784*60,"")</f>
        <v>91.386</v>
      </c>
    </row>
    <row r="1785" customFormat="false" ht="15" hidden="false" customHeight="false" outlineLevel="0" collapsed="false">
      <c r="A1785" s="4" t="s">
        <v>15</v>
      </c>
      <c r="B1785" s="4" t="s">
        <v>1526</v>
      </c>
      <c r="C1785" s="4" t="s">
        <v>1529</v>
      </c>
      <c r="D1785" s="4" t="s">
        <v>1550</v>
      </c>
      <c r="E1785" s="4" t="s">
        <v>66</v>
      </c>
      <c r="F1785" s="4" t="s">
        <v>67</v>
      </c>
      <c r="G1785" s="4" t="s">
        <v>1551</v>
      </c>
      <c r="H1785" s="4"/>
      <c r="I1785" s="4" t="n">
        <v>2.5744</v>
      </c>
      <c r="J1785" s="4" t="str">
        <f aca="false">TRIM(E1785) &amp; TRIM(C1785) &amp; TRIM(D1785)</f>
        <v>Posted RecallBoost LivestreamLY</v>
      </c>
      <c r="K1785" s="4" t="n">
        <f aca="false">IFERROR(I1785*60,"")</f>
        <v>154.464</v>
      </c>
    </row>
    <row r="1786" customFormat="false" ht="15" hidden="false" customHeight="false" outlineLevel="0" collapsed="false">
      <c r="A1786" s="4" t="s">
        <v>15</v>
      </c>
      <c r="B1786" s="4" t="s">
        <v>1526</v>
      </c>
      <c r="C1786" s="4" t="s">
        <v>1535</v>
      </c>
      <c r="D1786" s="4" t="s">
        <v>299</v>
      </c>
      <c r="E1786" s="4" t="s">
        <v>66</v>
      </c>
      <c r="F1786" s="4" t="s">
        <v>67</v>
      </c>
      <c r="G1786" s="4" t="s">
        <v>1552</v>
      </c>
      <c r="H1786" s="4"/>
      <c r="I1786" s="4" t="n">
        <v>1.6583</v>
      </c>
      <c r="J1786" s="4" t="str">
        <f aca="false">TRIM(E1786) &amp; TRIM(C1786) &amp; TRIM(D1786)</f>
        <v>Posted RecallBoost VideoQA</v>
      </c>
      <c r="K1786" s="4" t="n">
        <f aca="false">IFERROR(I1786*60,"")</f>
        <v>99.498</v>
      </c>
    </row>
    <row r="1787" customFormat="false" ht="15" hidden="false" customHeight="false" outlineLevel="0" collapsed="false">
      <c r="A1787" s="4" t="s">
        <v>15</v>
      </c>
      <c r="B1787" s="4" t="s">
        <v>1526</v>
      </c>
      <c r="C1787" s="4" t="s">
        <v>1535</v>
      </c>
      <c r="D1787" s="4" t="s">
        <v>154</v>
      </c>
      <c r="E1787" s="4" t="s">
        <v>66</v>
      </c>
      <c r="F1787" s="4" t="s">
        <v>67</v>
      </c>
      <c r="G1787" s="4" t="s">
        <v>1553</v>
      </c>
      <c r="H1787" s="4"/>
      <c r="I1787" s="4" t="n">
        <v>2.0144</v>
      </c>
      <c r="J1787" s="4" t="str">
        <f aca="false">TRIM(E1787) &amp; TRIM(C1787) &amp; TRIM(D1787)</f>
        <v>Posted RecallBoost VideoES</v>
      </c>
      <c r="K1787" s="4" t="n">
        <f aca="false">IFERROR(I1787*60,"")</f>
        <v>120.864</v>
      </c>
    </row>
    <row r="1788" customFormat="false" ht="15" hidden="false" customHeight="false" outlineLevel="0" collapsed="false">
      <c r="A1788" s="4" t="s">
        <v>15</v>
      </c>
      <c r="B1788" s="4" t="s">
        <v>1526</v>
      </c>
      <c r="C1788" s="4" t="s">
        <v>1535</v>
      </c>
      <c r="D1788" s="4" t="s">
        <v>73</v>
      </c>
      <c r="E1788" s="4" t="s">
        <v>66</v>
      </c>
      <c r="F1788" s="4" t="s">
        <v>67</v>
      </c>
      <c r="G1788" s="4" t="s">
        <v>1554</v>
      </c>
      <c r="H1788" s="4"/>
      <c r="I1788" s="4" t="n">
        <v>1.0561</v>
      </c>
      <c r="J1788" s="4" t="str">
        <f aca="false">TRIM(E1788) &amp; TRIM(C1788) &amp; TRIM(D1788)</f>
        <v>Posted RecallBoost VideoIQ</v>
      </c>
      <c r="K1788" s="4" t="n">
        <f aca="false">IFERROR(I1788*60,"")</f>
        <v>63.366</v>
      </c>
    </row>
    <row r="1789" customFormat="false" ht="15" hidden="false" customHeight="false" outlineLevel="0" collapsed="false">
      <c r="A1789" s="4" t="s">
        <v>15</v>
      </c>
      <c r="B1789" s="4" t="s">
        <v>1526</v>
      </c>
      <c r="C1789" s="4" t="s">
        <v>1529</v>
      </c>
      <c r="D1789" s="4" t="s">
        <v>62</v>
      </c>
      <c r="E1789" s="4" t="s">
        <v>63</v>
      </c>
      <c r="F1789" s="4" t="s">
        <v>63</v>
      </c>
      <c r="G1789" s="4" t="s">
        <v>1555</v>
      </c>
      <c r="H1789" s="4"/>
      <c r="I1789" s="4" t="n">
        <v>1.3583</v>
      </c>
      <c r="J1789" s="4" t="str">
        <f aca="false">TRIM(E1789) &amp; TRIM(C1789) &amp; TRIM(D1789)</f>
        <v>First ReviewBoost LivestreamCL</v>
      </c>
      <c r="K1789" s="4" t="n">
        <f aca="false">IFERROR(I1789*60,"")</f>
        <v>81.498</v>
      </c>
    </row>
    <row r="1790" customFormat="false" ht="15" hidden="false" customHeight="false" outlineLevel="0" collapsed="false">
      <c r="A1790" s="4" t="s">
        <v>15</v>
      </c>
      <c r="B1790" s="4" t="s">
        <v>1526</v>
      </c>
      <c r="C1790" s="4" t="s">
        <v>1535</v>
      </c>
      <c r="D1790" s="4" t="s">
        <v>308</v>
      </c>
      <c r="E1790" s="4" t="s">
        <v>63</v>
      </c>
      <c r="F1790" s="4" t="s">
        <v>63</v>
      </c>
      <c r="G1790" s="4" t="s">
        <v>1556</v>
      </c>
      <c r="H1790" s="4"/>
      <c r="I1790" s="4" t="n">
        <v>3.328</v>
      </c>
      <c r="J1790" s="4" t="str">
        <f aca="false">TRIM(E1790) &amp; TRIM(C1790) &amp; TRIM(D1790)</f>
        <v>First ReviewBoost VideoPL</v>
      </c>
      <c r="K1790" s="4" t="n">
        <f aca="false">IFERROR(I1790*60,"")</f>
        <v>199.68</v>
      </c>
    </row>
    <row r="1791" customFormat="false" ht="15" hidden="false" customHeight="false" outlineLevel="0" collapsed="false">
      <c r="A1791" s="4" t="s">
        <v>15</v>
      </c>
      <c r="B1791" s="4" t="s">
        <v>1526</v>
      </c>
      <c r="C1791" s="4" t="s">
        <v>1527</v>
      </c>
      <c r="D1791" s="4" t="s">
        <v>152</v>
      </c>
      <c r="E1791" s="4" t="s">
        <v>63</v>
      </c>
      <c r="F1791" s="4" t="s">
        <v>63</v>
      </c>
      <c r="G1791" s="4" t="s">
        <v>1557</v>
      </c>
      <c r="H1791" s="4"/>
      <c r="I1791" s="4" t="n">
        <v>1.1249</v>
      </c>
      <c r="J1791" s="4" t="str">
        <f aca="false">TRIM(E1791) &amp; TRIM(C1791) &amp; TRIM(D1791)</f>
        <v>First ReviewBoost CarouselCY</v>
      </c>
      <c r="K1791" s="4" t="n">
        <f aca="false">IFERROR(I1791*60,"")</f>
        <v>67.494</v>
      </c>
    </row>
    <row r="1792" customFormat="false" ht="15" hidden="false" customHeight="false" outlineLevel="0" collapsed="false">
      <c r="A1792" s="4" t="s">
        <v>15</v>
      </c>
      <c r="B1792" s="4" t="s">
        <v>1526</v>
      </c>
      <c r="C1792" s="4" t="s">
        <v>1527</v>
      </c>
      <c r="D1792" s="4" t="s">
        <v>82</v>
      </c>
      <c r="E1792" s="4" t="s">
        <v>66</v>
      </c>
      <c r="F1792" s="4" t="s">
        <v>67</v>
      </c>
      <c r="G1792" s="4" t="s">
        <v>1558</v>
      </c>
      <c r="H1792" s="4"/>
      <c r="I1792" s="4" t="n">
        <v>1.8005</v>
      </c>
      <c r="J1792" s="4" t="str">
        <f aca="false">TRIM(E1792) &amp; TRIM(C1792) &amp; TRIM(D1792)</f>
        <v>Posted RecallBoost CarouselKH</v>
      </c>
      <c r="K1792" s="4" t="n">
        <f aca="false">IFERROR(I1792*60,"")</f>
        <v>108.03</v>
      </c>
    </row>
    <row r="1793" customFormat="false" ht="15" hidden="false" customHeight="false" outlineLevel="0" collapsed="false">
      <c r="A1793" s="4" t="s">
        <v>15</v>
      </c>
      <c r="B1793" s="4" t="s">
        <v>1526</v>
      </c>
      <c r="C1793" s="4" t="s">
        <v>1527</v>
      </c>
      <c r="D1793" s="4" t="s">
        <v>197</v>
      </c>
      <c r="E1793" s="4" t="s">
        <v>59</v>
      </c>
      <c r="F1793" s="4" t="s">
        <v>59</v>
      </c>
      <c r="G1793" s="4" t="s">
        <v>1559</v>
      </c>
      <c r="H1793" s="4"/>
      <c r="I1793" s="4" t="n">
        <v>1.2335</v>
      </c>
      <c r="J1793" s="4" t="str">
        <f aca="false">TRIM(E1793) &amp; TRIM(C1793) &amp; TRIM(D1793)</f>
        <v>Re-reviewBoost CarouselGR</v>
      </c>
      <c r="K1793" s="4" t="n">
        <f aca="false">IFERROR(I1793*60,"")</f>
        <v>74.01</v>
      </c>
    </row>
    <row r="1794" customFormat="false" ht="15" hidden="false" customHeight="false" outlineLevel="0" collapsed="false">
      <c r="A1794" s="4" t="s">
        <v>15</v>
      </c>
      <c r="B1794" s="4" t="s">
        <v>1526</v>
      </c>
      <c r="C1794" s="4" t="s">
        <v>1527</v>
      </c>
      <c r="D1794" s="4" t="s">
        <v>115</v>
      </c>
      <c r="E1794" s="4" t="s">
        <v>59</v>
      </c>
      <c r="F1794" s="4" t="s">
        <v>59</v>
      </c>
      <c r="G1794" s="4" t="s">
        <v>1560</v>
      </c>
      <c r="H1794" s="4"/>
      <c r="I1794" s="4" t="n">
        <v>2.0364</v>
      </c>
      <c r="J1794" s="4" t="str">
        <f aca="false">TRIM(E1794) &amp; TRIM(C1794) &amp; TRIM(D1794)</f>
        <v>Re-reviewBoost CarouselAT</v>
      </c>
      <c r="K1794" s="4" t="n">
        <f aca="false">IFERROR(I1794*60,"")</f>
        <v>122.184</v>
      </c>
    </row>
    <row r="1795" customFormat="false" ht="15" hidden="false" customHeight="false" outlineLevel="0" collapsed="false">
      <c r="A1795" s="4" t="s">
        <v>15</v>
      </c>
      <c r="B1795" s="4" t="s">
        <v>1526</v>
      </c>
      <c r="C1795" s="4" t="s">
        <v>1527</v>
      </c>
      <c r="D1795" s="4" t="s">
        <v>251</v>
      </c>
      <c r="E1795" s="4" t="s">
        <v>59</v>
      </c>
      <c r="F1795" s="4" t="s">
        <v>59</v>
      </c>
      <c r="G1795" s="4" t="s">
        <v>1561</v>
      </c>
      <c r="H1795" s="4"/>
      <c r="I1795" s="4" t="n">
        <v>1.5404</v>
      </c>
      <c r="J1795" s="4" t="str">
        <f aca="false">TRIM(E1795) &amp; TRIM(C1795) &amp; TRIM(D1795)</f>
        <v>Re-reviewBoost CarouselRO</v>
      </c>
      <c r="K1795" s="4" t="n">
        <f aca="false">IFERROR(I1795*60,"")</f>
        <v>92.424</v>
      </c>
    </row>
    <row r="1796" customFormat="false" ht="15" hidden="false" customHeight="false" outlineLevel="0" collapsed="false">
      <c r="A1796" s="4" t="s">
        <v>15</v>
      </c>
      <c r="B1796" s="4" t="s">
        <v>1526</v>
      </c>
      <c r="C1796" s="4" t="s">
        <v>1529</v>
      </c>
      <c r="D1796" s="4" t="s">
        <v>308</v>
      </c>
      <c r="E1796" s="4" t="s">
        <v>66</v>
      </c>
      <c r="F1796" s="4" t="s">
        <v>67</v>
      </c>
      <c r="G1796" s="4" t="s">
        <v>1562</v>
      </c>
      <c r="H1796" s="4"/>
      <c r="I1796" s="4" t="n">
        <v>3.0762</v>
      </c>
      <c r="J1796" s="4" t="str">
        <f aca="false">TRIM(E1796) &amp; TRIM(C1796) &amp; TRIM(D1796)</f>
        <v>Posted RecallBoost LivestreamPL</v>
      </c>
      <c r="K1796" s="4" t="n">
        <f aca="false">IFERROR(I1796*60,"")</f>
        <v>184.572</v>
      </c>
    </row>
    <row r="1797" customFormat="false" ht="15" hidden="false" customHeight="false" outlineLevel="0" collapsed="false">
      <c r="A1797" s="4" t="s">
        <v>15</v>
      </c>
      <c r="B1797" s="4" t="s">
        <v>1526</v>
      </c>
      <c r="C1797" s="4" t="s">
        <v>1527</v>
      </c>
      <c r="D1797" s="4" t="s">
        <v>243</v>
      </c>
      <c r="E1797" s="4" t="s">
        <v>66</v>
      </c>
      <c r="F1797" s="4" t="s">
        <v>67</v>
      </c>
      <c r="G1797" s="4" t="s">
        <v>1563</v>
      </c>
      <c r="H1797" s="4"/>
      <c r="I1797" s="4" t="n">
        <v>1.7497</v>
      </c>
      <c r="J1797" s="4" t="str">
        <f aca="false">TRIM(E1797) &amp; TRIM(C1797) &amp; TRIM(D1797)</f>
        <v>Posted RecallBoost CarouselBY</v>
      </c>
      <c r="K1797" s="4" t="n">
        <f aca="false">IFERROR(I1797*60,"")</f>
        <v>104.982</v>
      </c>
    </row>
    <row r="1798" customFormat="false" ht="15" hidden="false" customHeight="false" outlineLevel="0" collapsed="false">
      <c r="A1798" s="4" t="s">
        <v>15</v>
      </c>
      <c r="B1798" s="4" t="s">
        <v>1526</v>
      </c>
      <c r="C1798" s="4" t="s">
        <v>1527</v>
      </c>
      <c r="D1798" s="4" t="s">
        <v>139</v>
      </c>
      <c r="E1798" s="4" t="s">
        <v>63</v>
      </c>
      <c r="F1798" s="4" t="s">
        <v>63</v>
      </c>
      <c r="G1798" s="4" t="s">
        <v>1564</v>
      </c>
      <c r="H1798" s="4"/>
      <c r="I1798" s="4" t="n">
        <v>0.7966</v>
      </c>
      <c r="J1798" s="4" t="str">
        <f aca="false">TRIM(E1798) &amp; TRIM(C1798) &amp; TRIM(D1798)</f>
        <v>First ReviewBoost CarouselEG</v>
      </c>
      <c r="K1798" s="4" t="n">
        <f aca="false">IFERROR(I1798*60,"")</f>
        <v>47.796</v>
      </c>
    </row>
    <row r="1799" customFormat="false" ht="15" hidden="false" customHeight="false" outlineLevel="0" collapsed="false">
      <c r="A1799" s="4" t="s">
        <v>15</v>
      </c>
      <c r="B1799" s="4" t="s">
        <v>1526</v>
      </c>
      <c r="C1799" s="4" t="s">
        <v>1529</v>
      </c>
      <c r="D1799" s="4" t="s">
        <v>208</v>
      </c>
      <c r="E1799" s="4" t="s">
        <v>63</v>
      </c>
      <c r="F1799" s="4" t="s">
        <v>63</v>
      </c>
      <c r="G1799" s="4" t="s">
        <v>1565</v>
      </c>
      <c r="H1799" s="4"/>
      <c r="I1799" s="4" t="n">
        <v>1.1811</v>
      </c>
      <c r="J1799" s="4" t="str">
        <f aca="false">TRIM(E1799) &amp; TRIM(C1799) &amp; TRIM(D1799)</f>
        <v>First ReviewBoost LivestreamCO</v>
      </c>
      <c r="K1799" s="4" t="n">
        <f aca="false">IFERROR(I1799*60,"")</f>
        <v>70.866</v>
      </c>
    </row>
    <row r="1800" customFormat="false" ht="15" hidden="false" customHeight="false" outlineLevel="0" collapsed="false">
      <c r="A1800" s="4" t="s">
        <v>15</v>
      </c>
      <c r="B1800" s="4" t="s">
        <v>1526</v>
      </c>
      <c r="C1800" s="4" t="s">
        <v>1527</v>
      </c>
      <c r="D1800" s="4" t="s">
        <v>157</v>
      </c>
      <c r="E1800" s="4" t="s">
        <v>63</v>
      </c>
      <c r="F1800" s="4" t="s">
        <v>63</v>
      </c>
      <c r="G1800" s="4" t="s">
        <v>1566</v>
      </c>
      <c r="H1800" s="4"/>
      <c r="I1800" s="4" t="n">
        <v>0.9149</v>
      </c>
      <c r="J1800" s="4" t="str">
        <f aca="false">TRIM(E1800) &amp; TRIM(C1800) &amp; TRIM(D1800)</f>
        <v>First ReviewBoost CarouselSA</v>
      </c>
      <c r="K1800" s="4" t="n">
        <f aca="false">IFERROR(I1800*60,"")</f>
        <v>54.894</v>
      </c>
    </row>
    <row r="1801" customFormat="false" ht="15" hidden="false" customHeight="false" outlineLevel="0" collapsed="false">
      <c r="A1801" s="4" t="s">
        <v>15</v>
      </c>
      <c r="B1801" s="4" t="s">
        <v>1526</v>
      </c>
      <c r="C1801" s="4" t="s">
        <v>1527</v>
      </c>
      <c r="D1801" s="4" t="s">
        <v>221</v>
      </c>
      <c r="E1801" s="4" t="s">
        <v>63</v>
      </c>
      <c r="F1801" s="4" t="s">
        <v>63</v>
      </c>
      <c r="G1801" s="4" t="s">
        <v>1567</v>
      </c>
      <c r="H1801" s="4"/>
      <c r="I1801" s="4" t="n">
        <v>0.8321</v>
      </c>
      <c r="J1801" s="4" t="str">
        <f aca="false">TRIM(E1801) &amp; TRIM(C1801) &amp; TRIM(D1801)</f>
        <v>First ReviewBoost CarouselOM</v>
      </c>
      <c r="K1801" s="4" t="n">
        <f aca="false">IFERROR(I1801*60,"")</f>
        <v>49.926</v>
      </c>
    </row>
    <row r="1802" customFormat="false" ht="15" hidden="false" customHeight="false" outlineLevel="0" collapsed="false">
      <c r="A1802" s="4" t="s">
        <v>15</v>
      </c>
      <c r="B1802" s="4" t="s">
        <v>1526</v>
      </c>
      <c r="C1802" s="4" t="s">
        <v>1535</v>
      </c>
      <c r="D1802" s="4" t="s">
        <v>1568</v>
      </c>
      <c r="E1802" s="4" t="s">
        <v>63</v>
      </c>
      <c r="F1802" s="4" t="s">
        <v>63</v>
      </c>
      <c r="G1802" s="4" t="s">
        <v>1569</v>
      </c>
      <c r="H1802" s="4"/>
      <c r="I1802" s="4" t="n">
        <v>1.6059</v>
      </c>
      <c r="J1802" s="4" t="str">
        <f aca="false">TRIM(E1802) &amp; TRIM(C1802) &amp; TRIM(D1802)</f>
        <v>First ReviewBoost VideoNI</v>
      </c>
      <c r="K1802" s="4" t="n">
        <f aca="false">IFERROR(I1802*60,"")</f>
        <v>96.354</v>
      </c>
    </row>
    <row r="1803" customFormat="false" ht="15" hidden="false" customHeight="false" outlineLevel="0" collapsed="false">
      <c r="A1803" s="4" t="s">
        <v>15</v>
      </c>
      <c r="B1803" s="4" t="s">
        <v>1526</v>
      </c>
      <c r="C1803" s="4" t="s">
        <v>1535</v>
      </c>
      <c r="D1803" s="4" t="s">
        <v>341</v>
      </c>
      <c r="E1803" s="4" t="s">
        <v>59</v>
      </c>
      <c r="F1803" s="4" t="s">
        <v>59</v>
      </c>
      <c r="G1803" s="4" t="s">
        <v>1570</v>
      </c>
      <c r="H1803" s="4"/>
      <c r="I1803" s="4" t="n">
        <v>1.9277</v>
      </c>
      <c r="J1803" s="4" t="str">
        <f aca="false">TRIM(E1803) &amp; TRIM(C1803) &amp; TRIM(D1803)</f>
        <v>Re-reviewBoost VideoBG</v>
      </c>
      <c r="K1803" s="4" t="n">
        <f aca="false">IFERROR(I1803*60,"")</f>
        <v>115.662</v>
      </c>
    </row>
    <row r="1804" customFormat="false" ht="15" hidden="false" customHeight="false" outlineLevel="0" collapsed="false">
      <c r="A1804" s="4" t="s">
        <v>15</v>
      </c>
      <c r="B1804" s="4" t="s">
        <v>1526</v>
      </c>
      <c r="C1804" s="4" t="s">
        <v>1527</v>
      </c>
      <c r="D1804" s="4" t="s">
        <v>73</v>
      </c>
      <c r="E1804" s="4" t="s">
        <v>66</v>
      </c>
      <c r="F1804" s="4" t="s">
        <v>67</v>
      </c>
      <c r="G1804" s="4" t="s">
        <v>1571</v>
      </c>
      <c r="H1804" s="4"/>
      <c r="I1804" s="4" t="n">
        <v>1.0718</v>
      </c>
      <c r="J1804" s="4" t="str">
        <f aca="false">TRIM(E1804) &amp; TRIM(C1804) &amp; TRIM(D1804)</f>
        <v>Posted RecallBoost CarouselIQ</v>
      </c>
      <c r="K1804" s="4" t="n">
        <f aca="false">IFERROR(I1804*60,"")</f>
        <v>64.308</v>
      </c>
    </row>
    <row r="1805" customFormat="false" ht="15" hidden="false" customHeight="false" outlineLevel="0" collapsed="false">
      <c r="A1805" s="4" t="s">
        <v>15</v>
      </c>
      <c r="B1805" s="4" t="s">
        <v>1526</v>
      </c>
      <c r="C1805" s="4" t="s">
        <v>1529</v>
      </c>
      <c r="D1805" s="4" t="s">
        <v>100</v>
      </c>
      <c r="E1805" s="4" t="s">
        <v>66</v>
      </c>
      <c r="F1805" s="4" t="s">
        <v>67</v>
      </c>
      <c r="G1805" s="4" t="s">
        <v>1572</v>
      </c>
      <c r="H1805" s="4"/>
      <c r="I1805" s="4" t="n">
        <v>1.1279</v>
      </c>
      <c r="J1805" s="4" t="str">
        <f aca="false">TRIM(E1805) &amp; TRIM(C1805) &amp; TRIM(D1805)</f>
        <v>Posted RecallBoost LivestreamAU</v>
      </c>
      <c r="K1805" s="4" t="n">
        <f aca="false">IFERROR(I1805*60,"")</f>
        <v>67.674</v>
      </c>
    </row>
    <row r="1806" customFormat="false" ht="15" hidden="false" customHeight="false" outlineLevel="0" collapsed="false">
      <c r="A1806" s="4" t="s">
        <v>15</v>
      </c>
      <c r="B1806" s="4" t="s">
        <v>1526</v>
      </c>
      <c r="C1806" s="4" t="s">
        <v>1535</v>
      </c>
      <c r="D1806" s="4" t="s">
        <v>195</v>
      </c>
      <c r="E1806" s="4" t="s">
        <v>59</v>
      </c>
      <c r="F1806" s="4" t="s">
        <v>59</v>
      </c>
      <c r="G1806" s="4" t="s">
        <v>1573</v>
      </c>
      <c r="H1806" s="4"/>
      <c r="I1806" s="4" t="n">
        <v>2.0771</v>
      </c>
      <c r="J1806" s="4" t="str">
        <f aca="false">TRIM(E1806) &amp; TRIM(C1806) &amp; TRIM(D1806)</f>
        <v>Re-reviewBoost VideoIT</v>
      </c>
      <c r="K1806" s="4" t="n">
        <f aca="false">IFERROR(I1806*60,"")</f>
        <v>124.626</v>
      </c>
    </row>
    <row r="1807" customFormat="false" ht="15" hidden="false" customHeight="false" outlineLevel="0" collapsed="false">
      <c r="A1807" s="4" t="s">
        <v>15</v>
      </c>
      <c r="B1807" s="4" t="s">
        <v>1526</v>
      </c>
      <c r="C1807" s="4" t="s">
        <v>1527</v>
      </c>
      <c r="D1807" s="4" t="s">
        <v>95</v>
      </c>
      <c r="E1807" s="4" t="s">
        <v>63</v>
      </c>
      <c r="F1807" s="4" t="s">
        <v>63</v>
      </c>
      <c r="G1807" s="4" t="s">
        <v>1574</v>
      </c>
      <c r="H1807" s="4"/>
      <c r="I1807" s="4" t="n">
        <v>1.7933</v>
      </c>
      <c r="J1807" s="4" t="str">
        <f aca="false">TRIM(E1807) &amp; TRIM(C1807) &amp; TRIM(D1807)</f>
        <v>First ReviewBoost CarouselVN</v>
      </c>
      <c r="K1807" s="4" t="n">
        <f aca="false">IFERROR(I1807*60,"")</f>
        <v>107.598</v>
      </c>
    </row>
    <row r="1808" customFormat="false" ht="15" hidden="false" customHeight="false" outlineLevel="0" collapsed="false">
      <c r="A1808" s="4" t="s">
        <v>15</v>
      </c>
      <c r="B1808" s="4" t="s">
        <v>1526</v>
      </c>
      <c r="C1808" s="4" t="s">
        <v>1527</v>
      </c>
      <c r="D1808" s="4" t="s">
        <v>362</v>
      </c>
      <c r="E1808" s="4" t="s">
        <v>66</v>
      </c>
      <c r="F1808" s="4" t="s">
        <v>67</v>
      </c>
      <c r="G1808" s="4" t="s">
        <v>1575</v>
      </c>
      <c r="H1808" s="4"/>
      <c r="I1808" s="4" t="n">
        <v>0.8815</v>
      </c>
      <c r="J1808" s="4" t="str">
        <f aca="false">TRIM(E1808) &amp; TRIM(C1808) &amp; TRIM(D1808)</f>
        <v>Posted RecallBoost CarouselPA</v>
      </c>
      <c r="K1808" s="4" t="n">
        <f aca="false">IFERROR(I1808*60,"")</f>
        <v>52.89</v>
      </c>
    </row>
    <row r="1809" customFormat="false" ht="15" hidden="false" customHeight="false" outlineLevel="0" collapsed="false">
      <c r="A1809" s="4" t="s">
        <v>15</v>
      </c>
      <c r="B1809" s="4" t="s">
        <v>1526</v>
      </c>
      <c r="C1809" s="4" t="s">
        <v>1529</v>
      </c>
      <c r="D1809" s="4" t="s">
        <v>124</v>
      </c>
      <c r="E1809" s="4" t="s">
        <v>63</v>
      </c>
      <c r="F1809" s="4" t="s">
        <v>63</v>
      </c>
      <c r="G1809" s="4" t="s">
        <v>1576</v>
      </c>
      <c r="H1809" s="4"/>
      <c r="I1809" s="4" t="n">
        <v>2.8854</v>
      </c>
      <c r="J1809" s="4" t="str">
        <f aca="false">TRIM(E1809) &amp; TRIM(C1809) &amp; TRIM(D1809)</f>
        <v>First ReviewBoost LivestreamPT</v>
      </c>
      <c r="K1809" s="4" t="n">
        <f aca="false">IFERROR(I1809*60,"")</f>
        <v>173.124</v>
      </c>
    </row>
    <row r="1810" customFormat="false" ht="15" hidden="false" customHeight="false" outlineLevel="0" collapsed="false">
      <c r="A1810" s="4" t="s">
        <v>15</v>
      </c>
      <c r="B1810" s="4" t="s">
        <v>1526</v>
      </c>
      <c r="C1810" s="4" t="s">
        <v>1527</v>
      </c>
      <c r="D1810" s="4" t="s">
        <v>168</v>
      </c>
      <c r="E1810" s="4" t="s">
        <v>66</v>
      </c>
      <c r="F1810" s="4" t="s">
        <v>67</v>
      </c>
      <c r="G1810" s="4" t="s">
        <v>1577</v>
      </c>
      <c r="H1810" s="4"/>
      <c r="I1810" s="4" t="n">
        <v>1.3489</v>
      </c>
      <c r="J1810" s="4" t="str">
        <f aca="false">TRIM(E1810) &amp; TRIM(C1810) &amp; TRIM(D1810)</f>
        <v>Posted RecallBoost CarouselKZ</v>
      </c>
      <c r="K1810" s="4" t="n">
        <f aca="false">IFERROR(I1810*60,"")</f>
        <v>80.934</v>
      </c>
    </row>
    <row r="1811" customFormat="false" ht="15" hidden="false" customHeight="false" outlineLevel="0" collapsed="false">
      <c r="A1811" s="4" t="s">
        <v>15</v>
      </c>
      <c r="B1811" s="4" t="s">
        <v>1526</v>
      </c>
      <c r="C1811" s="4" t="s">
        <v>1535</v>
      </c>
      <c r="D1811" s="4" t="s">
        <v>159</v>
      </c>
      <c r="E1811" s="4" t="s">
        <v>63</v>
      </c>
      <c r="F1811" s="4" t="s">
        <v>63</v>
      </c>
      <c r="G1811" s="4" t="s">
        <v>1578</v>
      </c>
      <c r="H1811" s="4"/>
      <c r="I1811" s="4" t="n">
        <v>1.9891</v>
      </c>
      <c r="J1811" s="4" t="str">
        <f aca="false">TRIM(E1811) &amp; TRIM(C1811) &amp; TRIM(D1811)</f>
        <v>First ReviewBoost VideoDO</v>
      </c>
      <c r="K1811" s="4" t="n">
        <f aca="false">IFERROR(I1811*60,"")</f>
        <v>119.346</v>
      </c>
    </row>
    <row r="1812" customFormat="false" ht="15" hidden="false" customHeight="false" outlineLevel="0" collapsed="false">
      <c r="A1812" s="4" t="s">
        <v>15</v>
      </c>
      <c r="B1812" s="4" t="s">
        <v>1526</v>
      </c>
      <c r="C1812" s="4" t="s">
        <v>1527</v>
      </c>
      <c r="D1812" s="4" t="s">
        <v>97</v>
      </c>
      <c r="E1812" s="4" t="s">
        <v>66</v>
      </c>
      <c r="F1812" s="4" t="s">
        <v>67</v>
      </c>
      <c r="G1812" s="4" t="s">
        <v>1579</v>
      </c>
      <c r="H1812" s="4"/>
      <c r="I1812" s="4" t="n">
        <v>0.8568</v>
      </c>
      <c r="J1812" s="4" t="str">
        <f aca="false">TRIM(E1812) &amp; TRIM(C1812) &amp; TRIM(D1812)</f>
        <v>Posted RecallBoost CarouselBR</v>
      </c>
      <c r="K1812" s="4" t="n">
        <f aca="false">IFERROR(I1812*60,"")</f>
        <v>51.408</v>
      </c>
    </row>
    <row r="1813" customFormat="false" ht="15" hidden="false" customHeight="false" outlineLevel="0" collapsed="false">
      <c r="A1813" s="4" t="s">
        <v>15</v>
      </c>
      <c r="B1813" s="4" t="s">
        <v>1526</v>
      </c>
      <c r="C1813" s="4" t="s">
        <v>1535</v>
      </c>
      <c r="D1813" s="4" t="s">
        <v>1580</v>
      </c>
      <c r="E1813" s="4" t="s">
        <v>66</v>
      </c>
      <c r="F1813" s="4" t="s">
        <v>67</v>
      </c>
      <c r="G1813" s="4" t="s">
        <v>1581</v>
      </c>
      <c r="H1813" s="4"/>
      <c r="I1813" s="4" t="n">
        <v>2.7838</v>
      </c>
      <c r="J1813" s="4" t="str">
        <f aca="false">TRIM(E1813) &amp; TRIM(C1813) &amp; TRIM(D1813)</f>
        <v>Posted RecallBoost VideoET</v>
      </c>
      <c r="K1813" s="4" t="n">
        <f aca="false">IFERROR(I1813*60,"")</f>
        <v>167.028</v>
      </c>
    </row>
    <row r="1814" customFormat="false" ht="15" hidden="false" customHeight="false" outlineLevel="0" collapsed="false">
      <c r="A1814" s="4" t="s">
        <v>15</v>
      </c>
      <c r="B1814" s="4" t="s">
        <v>1526</v>
      </c>
      <c r="C1814" s="4" t="s">
        <v>1529</v>
      </c>
      <c r="D1814" s="4" t="s">
        <v>251</v>
      </c>
      <c r="E1814" s="4" t="s">
        <v>59</v>
      </c>
      <c r="F1814" s="4" t="s">
        <v>59</v>
      </c>
      <c r="G1814" s="4" t="s">
        <v>1582</v>
      </c>
      <c r="H1814" s="4"/>
      <c r="I1814" s="4" t="n">
        <v>1.8811</v>
      </c>
      <c r="J1814" s="4" t="str">
        <f aca="false">TRIM(E1814) &amp; TRIM(C1814) &amp; TRIM(D1814)</f>
        <v>Re-reviewBoost LivestreamRO</v>
      </c>
      <c r="K1814" s="4" t="n">
        <f aca="false">IFERROR(I1814*60,"")</f>
        <v>112.866</v>
      </c>
    </row>
    <row r="1815" customFormat="false" ht="15" hidden="false" customHeight="false" outlineLevel="0" collapsed="false">
      <c r="A1815" s="4" t="s">
        <v>15</v>
      </c>
      <c r="B1815" s="4" t="s">
        <v>1526</v>
      </c>
      <c r="C1815" s="4" t="s">
        <v>1527</v>
      </c>
      <c r="D1815" s="4" t="s">
        <v>70</v>
      </c>
      <c r="E1815" s="4" t="s">
        <v>59</v>
      </c>
      <c r="F1815" s="4" t="s">
        <v>59</v>
      </c>
      <c r="G1815" s="4" t="s">
        <v>1583</v>
      </c>
      <c r="H1815" s="4"/>
      <c r="I1815" s="4" t="n">
        <v>0.7509</v>
      </c>
      <c r="J1815" s="4" t="str">
        <f aca="false">TRIM(E1815) &amp; TRIM(C1815) &amp; TRIM(D1815)</f>
        <v>Re-reviewBoost CarouselBE</v>
      </c>
      <c r="K1815" s="4" t="n">
        <f aca="false">IFERROR(I1815*60,"")</f>
        <v>45.054</v>
      </c>
    </row>
    <row r="1816" customFormat="false" ht="15" hidden="false" customHeight="false" outlineLevel="0" collapsed="false">
      <c r="A1816" s="4" t="s">
        <v>15</v>
      </c>
      <c r="B1816" s="4" t="s">
        <v>1526</v>
      </c>
      <c r="C1816" s="4" t="s">
        <v>1529</v>
      </c>
      <c r="D1816" s="4" t="s">
        <v>111</v>
      </c>
      <c r="E1816" s="4" t="s">
        <v>63</v>
      </c>
      <c r="F1816" s="4" t="s">
        <v>63</v>
      </c>
      <c r="G1816" s="4" t="s">
        <v>1584</v>
      </c>
      <c r="H1816" s="4"/>
      <c r="I1816" s="4" t="n">
        <v>1.5354</v>
      </c>
      <c r="J1816" s="4" t="str">
        <f aca="false">TRIM(E1816) &amp; TRIM(C1816) &amp; TRIM(D1816)</f>
        <v>First ReviewBoost LivestreamUS</v>
      </c>
      <c r="K1816" s="4" t="n">
        <f aca="false">IFERROR(I1816*60,"")</f>
        <v>92.124</v>
      </c>
    </row>
    <row r="1817" customFormat="false" ht="15" hidden="false" customHeight="false" outlineLevel="0" collapsed="false">
      <c r="A1817" s="4" t="s">
        <v>15</v>
      </c>
      <c r="B1817" s="4" t="s">
        <v>1526</v>
      </c>
      <c r="C1817" s="4" t="s">
        <v>1527</v>
      </c>
      <c r="D1817" s="4" t="s">
        <v>89</v>
      </c>
      <c r="E1817" s="4" t="s">
        <v>59</v>
      </c>
      <c r="F1817" s="4" t="s">
        <v>59</v>
      </c>
      <c r="G1817" s="4" t="s">
        <v>1585</v>
      </c>
      <c r="H1817" s="4"/>
      <c r="I1817" s="4" t="n">
        <v>0.5115</v>
      </c>
      <c r="J1817" s="4" t="str">
        <f aca="false">TRIM(E1817) &amp; TRIM(C1817) &amp; TRIM(D1817)</f>
        <v>Re-reviewBoost CarouselFI</v>
      </c>
      <c r="K1817" s="4" t="n">
        <f aca="false">IFERROR(I1817*60,"")</f>
        <v>30.69</v>
      </c>
    </row>
    <row r="1818" customFormat="false" ht="15" hidden="false" customHeight="false" outlineLevel="0" collapsed="false">
      <c r="A1818" s="4" t="s">
        <v>15</v>
      </c>
      <c r="B1818" s="4" t="s">
        <v>1526</v>
      </c>
      <c r="C1818" s="4" t="s">
        <v>1529</v>
      </c>
      <c r="D1818" s="4" t="s">
        <v>181</v>
      </c>
      <c r="E1818" s="4" t="s">
        <v>63</v>
      </c>
      <c r="F1818" s="4" t="s">
        <v>63</v>
      </c>
      <c r="G1818" s="4" t="s">
        <v>1586</v>
      </c>
      <c r="H1818" s="4"/>
      <c r="I1818" s="4" t="n">
        <v>0.0825</v>
      </c>
      <c r="J1818" s="4" t="str">
        <f aca="false">TRIM(E1818) &amp; TRIM(C1818) &amp; TRIM(D1818)</f>
        <v>First ReviewBoost LivestreamLB</v>
      </c>
      <c r="K1818" s="4" t="n">
        <f aca="false">IFERROR(I1818*60,"")</f>
        <v>4.95</v>
      </c>
    </row>
    <row r="1819" customFormat="false" ht="15" hidden="false" customHeight="false" outlineLevel="0" collapsed="false">
      <c r="A1819" s="4" t="s">
        <v>15</v>
      </c>
      <c r="B1819" s="4" t="s">
        <v>1526</v>
      </c>
      <c r="C1819" s="4" t="s">
        <v>1529</v>
      </c>
      <c r="D1819" s="4" t="s">
        <v>231</v>
      </c>
      <c r="E1819" s="4" t="s">
        <v>63</v>
      </c>
      <c r="F1819" s="4" t="s">
        <v>63</v>
      </c>
      <c r="G1819" s="4" t="s">
        <v>1587</v>
      </c>
      <c r="H1819" s="4"/>
      <c r="I1819" s="4" t="n">
        <v>2.3604</v>
      </c>
      <c r="J1819" s="4" t="str">
        <f aca="false">TRIM(E1819) &amp; TRIM(C1819) &amp; TRIM(D1819)</f>
        <v>First ReviewBoost LivestreamIL</v>
      </c>
      <c r="K1819" s="4" t="n">
        <f aca="false">IFERROR(I1819*60,"")</f>
        <v>141.624</v>
      </c>
    </row>
    <row r="1820" customFormat="false" ht="15" hidden="false" customHeight="false" outlineLevel="0" collapsed="false">
      <c r="A1820" s="4" t="s">
        <v>15</v>
      </c>
      <c r="B1820" s="4" t="s">
        <v>1526</v>
      </c>
      <c r="C1820" s="4" t="s">
        <v>1535</v>
      </c>
      <c r="D1820" s="4" t="s">
        <v>113</v>
      </c>
      <c r="E1820" s="4" t="s">
        <v>63</v>
      </c>
      <c r="F1820" s="4" t="s">
        <v>63</v>
      </c>
      <c r="G1820" s="4" t="s">
        <v>1588</v>
      </c>
      <c r="H1820" s="4"/>
      <c r="I1820" s="4" t="n">
        <v>2.5791</v>
      </c>
      <c r="J1820" s="4" t="str">
        <f aca="false">TRIM(E1820) &amp; TRIM(C1820) &amp; TRIM(D1820)</f>
        <v>First ReviewBoost VideoNL</v>
      </c>
      <c r="K1820" s="4" t="n">
        <f aca="false">IFERROR(I1820*60,"")</f>
        <v>154.746</v>
      </c>
    </row>
    <row r="1821" customFormat="false" ht="15" hidden="false" customHeight="false" outlineLevel="0" collapsed="false">
      <c r="A1821" s="4" t="s">
        <v>15</v>
      </c>
      <c r="B1821" s="4" t="s">
        <v>1526</v>
      </c>
      <c r="C1821" s="4" t="s">
        <v>1535</v>
      </c>
      <c r="D1821" s="4" t="s">
        <v>1589</v>
      </c>
      <c r="E1821" s="4" t="s">
        <v>63</v>
      </c>
      <c r="F1821" s="4" t="s">
        <v>63</v>
      </c>
      <c r="G1821" s="4" t="s">
        <v>1590</v>
      </c>
      <c r="H1821" s="4"/>
      <c r="I1821" s="4" t="n">
        <v>1.7343</v>
      </c>
      <c r="J1821" s="4" t="str">
        <f aca="false">TRIM(E1821) &amp; TRIM(C1821) &amp; TRIM(D1821)</f>
        <v>First ReviewBoost VideoSV</v>
      </c>
      <c r="K1821" s="4" t="n">
        <f aca="false">IFERROR(I1821*60,"")</f>
        <v>104.058</v>
      </c>
    </row>
    <row r="1822" customFormat="false" ht="15" hidden="false" customHeight="false" outlineLevel="0" collapsed="false">
      <c r="A1822" s="4" t="s">
        <v>15</v>
      </c>
      <c r="B1822" s="4" t="s">
        <v>1526</v>
      </c>
      <c r="C1822" s="4" t="s">
        <v>1527</v>
      </c>
      <c r="D1822" s="4" t="s">
        <v>216</v>
      </c>
      <c r="E1822" s="4" t="s">
        <v>66</v>
      </c>
      <c r="F1822" s="4" t="s">
        <v>67</v>
      </c>
      <c r="G1822" s="4" t="s">
        <v>1591</v>
      </c>
      <c r="H1822" s="4"/>
      <c r="I1822" s="4" t="n">
        <v>1.4396</v>
      </c>
      <c r="J1822" s="4" t="str">
        <f aca="false">TRIM(E1822) &amp; TRIM(C1822) &amp; TRIM(D1822)</f>
        <v>Posted RecallBoost CarouselPY</v>
      </c>
      <c r="K1822" s="4" t="n">
        <f aca="false">IFERROR(I1822*60,"")</f>
        <v>86.376</v>
      </c>
    </row>
    <row r="1823" customFormat="false" ht="15" hidden="false" customHeight="false" outlineLevel="0" collapsed="false">
      <c r="A1823" s="4" t="s">
        <v>15</v>
      </c>
      <c r="B1823" s="4" t="s">
        <v>1526</v>
      </c>
      <c r="C1823" s="4" t="s">
        <v>1527</v>
      </c>
      <c r="D1823" s="4" t="s">
        <v>121</v>
      </c>
      <c r="E1823" s="4" t="s">
        <v>63</v>
      </c>
      <c r="F1823" s="4" t="s">
        <v>63</v>
      </c>
      <c r="G1823" s="4" t="s">
        <v>1592</v>
      </c>
      <c r="H1823" s="4"/>
      <c r="I1823" s="4" t="n">
        <v>3.5318</v>
      </c>
      <c r="J1823" s="4" t="str">
        <f aca="false">TRIM(E1823) &amp; TRIM(C1823) &amp; TRIM(D1823)</f>
        <v>First ReviewBoost CarouselKR</v>
      </c>
      <c r="K1823" s="4" t="n">
        <f aca="false">IFERROR(I1823*60,"")</f>
        <v>211.908</v>
      </c>
    </row>
    <row r="1824" customFormat="false" ht="15" hidden="false" customHeight="false" outlineLevel="0" collapsed="false">
      <c r="A1824" s="4" t="s">
        <v>15</v>
      </c>
      <c r="B1824" s="4" t="s">
        <v>1526</v>
      </c>
      <c r="C1824" s="4" t="s">
        <v>1535</v>
      </c>
      <c r="D1824" s="4" t="s">
        <v>1593</v>
      </c>
      <c r="E1824" s="4" t="s">
        <v>63</v>
      </c>
      <c r="F1824" s="4" t="s">
        <v>63</v>
      </c>
      <c r="G1824" s="4" t="s">
        <v>1594</v>
      </c>
      <c r="H1824" s="4"/>
      <c r="I1824" s="4" t="n">
        <v>2.1112</v>
      </c>
      <c r="J1824" s="4" t="str">
        <f aca="false">TRIM(E1824) &amp; TRIM(C1824) &amp; TRIM(D1824)</f>
        <v>First ReviewBoost VideoBN</v>
      </c>
      <c r="K1824" s="4" t="n">
        <f aca="false">IFERROR(I1824*60,"")</f>
        <v>126.672</v>
      </c>
    </row>
    <row r="1825" customFormat="false" ht="15" hidden="false" customHeight="false" outlineLevel="0" collapsed="false">
      <c r="A1825" s="4" t="s">
        <v>15</v>
      </c>
      <c r="B1825" s="4" t="s">
        <v>1526</v>
      </c>
      <c r="C1825" s="4" t="s">
        <v>1529</v>
      </c>
      <c r="D1825" s="4" t="s">
        <v>192</v>
      </c>
      <c r="E1825" s="4" t="s">
        <v>63</v>
      </c>
      <c r="F1825" s="4" t="s">
        <v>63</v>
      </c>
      <c r="G1825" s="4" t="s">
        <v>1595</v>
      </c>
      <c r="H1825" s="4"/>
      <c r="I1825" s="4" t="n">
        <v>0.1556</v>
      </c>
      <c r="J1825" s="4" t="str">
        <f aca="false">TRIM(E1825) &amp; TRIM(C1825) &amp; TRIM(D1825)</f>
        <v>First ReviewBoost LivestreamGT</v>
      </c>
      <c r="K1825" s="4" t="n">
        <f aca="false">IFERROR(I1825*60,"")</f>
        <v>9.336</v>
      </c>
    </row>
    <row r="1826" customFormat="false" ht="15" hidden="false" customHeight="false" outlineLevel="0" collapsed="false">
      <c r="A1826" s="4" t="s">
        <v>15</v>
      </c>
      <c r="B1826" s="4" t="s">
        <v>1526</v>
      </c>
      <c r="C1826" s="4" t="s">
        <v>1535</v>
      </c>
      <c r="D1826" s="4" t="s">
        <v>341</v>
      </c>
      <c r="E1826" s="4" t="s">
        <v>66</v>
      </c>
      <c r="F1826" s="4" t="s">
        <v>67</v>
      </c>
      <c r="G1826" s="4" t="s">
        <v>1570</v>
      </c>
      <c r="H1826" s="4"/>
      <c r="I1826" s="4" t="n">
        <v>2.0964</v>
      </c>
      <c r="J1826" s="4" t="str">
        <f aca="false">TRIM(E1826) &amp; TRIM(C1826) &amp; TRIM(D1826)</f>
        <v>Posted RecallBoost VideoBG</v>
      </c>
      <c r="K1826" s="4" t="n">
        <f aca="false">IFERROR(I1826*60,"")</f>
        <v>125.784</v>
      </c>
    </row>
    <row r="1827" customFormat="false" ht="15" hidden="false" customHeight="false" outlineLevel="0" collapsed="false">
      <c r="A1827" s="4" t="s">
        <v>15</v>
      </c>
      <c r="B1827" s="4" t="s">
        <v>1526</v>
      </c>
      <c r="C1827" s="4" t="s">
        <v>1529</v>
      </c>
      <c r="D1827" s="4" t="s">
        <v>136</v>
      </c>
      <c r="E1827" s="4" t="s">
        <v>66</v>
      </c>
      <c r="F1827" s="4" t="s">
        <v>67</v>
      </c>
      <c r="G1827" s="4" t="s">
        <v>1596</v>
      </c>
      <c r="H1827" s="4"/>
      <c r="I1827" s="4" t="n">
        <v>1.0484</v>
      </c>
      <c r="J1827" s="4" t="str">
        <f aca="false">TRIM(E1827) &amp; TRIM(C1827) &amp; TRIM(D1827)</f>
        <v>Posted RecallBoost LivestreamPE</v>
      </c>
      <c r="K1827" s="4" t="n">
        <f aca="false">IFERROR(I1827*60,"")</f>
        <v>62.904</v>
      </c>
    </row>
    <row r="1828" customFormat="false" ht="15" hidden="false" customHeight="false" outlineLevel="0" collapsed="false">
      <c r="A1828" s="4" t="s">
        <v>15</v>
      </c>
      <c r="B1828" s="4" t="s">
        <v>1526</v>
      </c>
      <c r="C1828" s="4" t="s">
        <v>1535</v>
      </c>
      <c r="D1828" s="4" t="s">
        <v>185</v>
      </c>
      <c r="E1828" s="4" t="s">
        <v>63</v>
      </c>
      <c r="F1828" s="4" t="s">
        <v>63</v>
      </c>
      <c r="G1828" s="4" t="s">
        <v>1597</v>
      </c>
      <c r="H1828" s="4"/>
      <c r="I1828" s="4" t="n">
        <v>1.6481</v>
      </c>
      <c r="J1828" s="4" t="str">
        <f aca="false">TRIM(E1828) &amp; TRIM(C1828) &amp; TRIM(D1828)</f>
        <v>First ReviewBoost VideoDK</v>
      </c>
      <c r="K1828" s="4" t="n">
        <f aca="false">IFERROR(I1828*60,"")</f>
        <v>98.886</v>
      </c>
    </row>
    <row r="1829" customFormat="false" ht="15" hidden="false" customHeight="false" outlineLevel="0" collapsed="false">
      <c r="A1829" s="4" t="s">
        <v>15</v>
      </c>
      <c r="B1829" s="4" t="s">
        <v>1526</v>
      </c>
      <c r="C1829" s="4" t="s">
        <v>1535</v>
      </c>
      <c r="D1829" s="4" t="s">
        <v>246</v>
      </c>
      <c r="E1829" s="4" t="s">
        <v>59</v>
      </c>
      <c r="F1829" s="4" t="s">
        <v>59</v>
      </c>
      <c r="G1829" s="4" t="s">
        <v>1598</v>
      </c>
      <c r="H1829" s="4"/>
      <c r="I1829" s="4" t="n">
        <v>2.8114</v>
      </c>
      <c r="J1829" s="4" t="str">
        <f aca="false">TRIM(E1829) &amp; TRIM(C1829) &amp; TRIM(D1829)</f>
        <v>Re-reviewBoost VideoLV</v>
      </c>
      <c r="K1829" s="4" t="n">
        <f aca="false">IFERROR(I1829*60,"")</f>
        <v>168.684</v>
      </c>
    </row>
    <row r="1830" customFormat="false" ht="15" hidden="false" customHeight="false" outlineLevel="0" collapsed="false">
      <c r="A1830" s="4" t="s">
        <v>15</v>
      </c>
      <c r="B1830" s="4" t="s">
        <v>1526</v>
      </c>
      <c r="C1830" s="4" t="s">
        <v>1535</v>
      </c>
      <c r="D1830" s="4" t="s">
        <v>136</v>
      </c>
      <c r="E1830" s="4" t="s">
        <v>66</v>
      </c>
      <c r="F1830" s="4" t="s">
        <v>67</v>
      </c>
      <c r="G1830" s="4" t="s">
        <v>1599</v>
      </c>
      <c r="H1830" s="4"/>
      <c r="I1830" s="4" t="n">
        <v>1.4015</v>
      </c>
      <c r="J1830" s="4" t="str">
        <f aca="false">TRIM(E1830) &amp; TRIM(C1830) &amp; TRIM(D1830)</f>
        <v>Posted RecallBoost VideoPE</v>
      </c>
      <c r="K1830" s="4" t="n">
        <f aca="false">IFERROR(I1830*60,"")</f>
        <v>84.09</v>
      </c>
    </row>
    <row r="1831" customFormat="false" ht="15" hidden="false" customHeight="false" outlineLevel="0" collapsed="false">
      <c r="A1831" s="4" t="s">
        <v>15</v>
      </c>
      <c r="B1831" s="4" t="s">
        <v>1526</v>
      </c>
      <c r="C1831" s="4" t="s">
        <v>1535</v>
      </c>
      <c r="D1831" s="4" t="s">
        <v>206</v>
      </c>
      <c r="E1831" s="4" t="s">
        <v>63</v>
      </c>
      <c r="F1831" s="4" t="s">
        <v>63</v>
      </c>
      <c r="G1831" s="4" t="s">
        <v>1600</v>
      </c>
      <c r="H1831" s="4"/>
      <c r="I1831" s="4" t="n">
        <v>1.5255</v>
      </c>
      <c r="J1831" s="4" t="str">
        <f aca="false">TRIM(E1831) &amp; TRIM(C1831) &amp; TRIM(D1831)</f>
        <v>First ReviewBoost VideoDZ</v>
      </c>
      <c r="K1831" s="4" t="n">
        <f aca="false">IFERROR(I1831*60,"")</f>
        <v>91.53</v>
      </c>
    </row>
    <row r="1832" customFormat="false" ht="15" hidden="false" customHeight="false" outlineLevel="0" collapsed="false">
      <c r="A1832" s="4" t="s">
        <v>15</v>
      </c>
      <c r="B1832" s="4" t="s">
        <v>1526</v>
      </c>
      <c r="C1832" s="4" t="s">
        <v>1529</v>
      </c>
      <c r="D1832" s="4" t="s">
        <v>178</v>
      </c>
      <c r="E1832" s="4" t="s">
        <v>63</v>
      </c>
      <c r="F1832" s="4" t="s">
        <v>63</v>
      </c>
      <c r="G1832" s="4" t="s">
        <v>1601</v>
      </c>
      <c r="H1832" s="4"/>
      <c r="I1832" s="4" t="n">
        <v>2.3733</v>
      </c>
      <c r="J1832" s="4" t="str">
        <f aca="false">TRIM(E1832) &amp; TRIM(C1832) &amp; TRIM(D1832)</f>
        <v>First ReviewBoost LivestreamBO</v>
      </c>
      <c r="K1832" s="4" t="n">
        <f aca="false">IFERROR(I1832*60,"")</f>
        <v>142.398</v>
      </c>
    </row>
    <row r="1833" customFormat="false" ht="15" hidden="false" customHeight="false" outlineLevel="0" collapsed="false">
      <c r="A1833" s="4" t="s">
        <v>15</v>
      </c>
      <c r="B1833" s="4" t="s">
        <v>1526</v>
      </c>
      <c r="C1833" s="4" t="s">
        <v>1535</v>
      </c>
      <c r="D1833" s="4" t="s">
        <v>65</v>
      </c>
      <c r="E1833" s="4" t="s">
        <v>66</v>
      </c>
      <c r="F1833" s="4" t="s">
        <v>67</v>
      </c>
      <c r="G1833" s="4" t="s">
        <v>1602</v>
      </c>
      <c r="H1833" s="4"/>
      <c r="I1833" s="4" t="n">
        <v>0.936</v>
      </c>
      <c r="J1833" s="4" t="str">
        <f aca="false">TRIM(E1833) &amp; TRIM(C1833) &amp; TRIM(D1833)</f>
        <v>Posted RecallBoost VideoEE</v>
      </c>
      <c r="K1833" s="4" t="n">
        <f aca="false">IFERROR(I1833*60,"")</f>
        <v>56.16</v>
      </c>
    </row>
    <row r="1834" customFormat="false" ht="15" hidden="false" customHeight="false" outlineLevel="0" collapsed="false">
      <c r="A1834" s="4" t="s">
        <v>15</v>
      </c>
      <c r="B1834" s="4" t="s">
        <v>1526</v>
      </c>
      <c r="C1834" s="4" t="s">
        <v>1527</v>
      </c>
      <c r="D1834" s="4" t="s">
        <v>113</v>
      </c>
      <c r="E1834" s="4" t="s">
        <v>66</v>
      </c>
      <c r="F1834" s="4" t="s">
        <v>67</v>
      </c>
      <c r="G1834" s="4" t="s">
        <v>1603</v>
      </c>
      <c r="H1834" s="4"/>
      <c r="I1834" s="4" t="n">
        <v>1.2877</v>
      </c>
      <c r="J1834" s="4" t="str">
        <f aca="false">TRIM(E1834) &amp; TRIM(C1834) &amp; TRIM(D1834)</f>
        <v>Posted RecallBoost CarouselNL</v>
      </c>
      <c r="K1834" s="4" t="n">
        <f aca="false">IFERROR(I1834*60,"")</f>
        <v>77.262</v>
      </c>
    </row>
    <row r="1835" customFormat="false" ht="15" hidden="false" customHeight="false" outlineLevel="0" collapsed="false">
      <c r="A1835" s="4" t="s">
        <v>15</v>
      </c>
      <c r="B1835" s="4" t="s">
        <v>1526</v>
      </c>
      <c r="C1835" s="4" t="s">
        <v>1529</v>
      </c>
      <c r="D1835" s="4" t="s">
        <v>106</v>
      </c>
      <c r="E1835" s="4" t="s">
        <v>66</v>
      </c>
      <c r="F1835" s="4" t="s">
        <v>67</v>
      </c>
      <c r="G1835" s="4" t="s">
        <v>1604</v>
      </c>
      <c r="H1835" s="4"/>
      <c r="I1835" s="4" t="n">
        <v>1.4291</v>
      </c>
      <c r="J1835" s="4" t="str">
        <f aca="false">TRIM(E1835) &amp; TRIM(C1835) &amp; TRIM(D1835)</f>
        <v>Posted RecallBoost LivestreamMY</v>
      </c>
      <c r="K1835" s="4" t="n">
        <f aca="false">IFERROR(I1835*60,"")</f>
        <v>85.746</v>
      </c>
    </row>
    <row r="1836" customFormat="false" ht="15" hidden="false" customHeight="false" outlineLevel="0" collapsed="false">
      <c r="A1836" s="4" t="s">
        <v>15</v>
      </c>
      <c r="B1836" s="4" t="s">
        <v>1526</v>
      </c>
      <c r="C1836" s="4" t="s">
        <v>1535</v>
      </c>
      <c r="D1836" s="4" t="s">
        <v>141</v>
      </c>
      <c r="E1836" s="4" t="s">
        <v>66</v>
      </c>
      <c r="F1836" s="4" t="s">
        <v>67</v>
      </c>
      <c r="G1836" s="4" t="s">
        <v>1605</v>
      </c>
      <c r="H1836" s="4"/>
      <c r="I1836" s="4" t="n">
        <v>1.3191</v>
      </c>
      <c r="J1836" s="4" t="str">
        <f aca="false">TRIM(E1836) &amp; TRIM(C1836) &amp; TRIM(D1836)</f>
        <v>Posted RecallBoost VideoAZ</v>
      </c>
      <c r="K1836" s="4" t="n">
        <f aca="false">IFERROR(I1836*60,"")</f>
        <v>79.146</v>
      </c>
    </row>
    <row r="1837" customFormat="false" ht="15" hidden="false" customHeight="false" outlineLevel="0" collapsed="false">
      <c r="A1837" s="4" t="s">
        <v>15</v>
      </c>
      <c r="B1837" s="4" t="s">
        <v>1526</v>
      </c>
      <c r="C1837" s="4" t="s">
        <v>1535</v>
      </c>
      <c r="D1837" s="4" t="s">
        <v>121</v>
      </c>
      <c r="E1837" s="4" t="s">
        <v>63</v>
      </c>
      <c r="F1837" s="4" t="s">
        <v>63</v>
      </c>
      <c r="G1837" s="4" t="s">
        <v>1606</v>
      </c>
      <c r="H1837" s="4"/>
      <c r="I1837" s="4" t="n">
        <v>3.1843</v>
      </c>
      <c r="J1837" s="4" t="str">
        <f aca="false">TRIM(E1837) &amp; TRIM(C1837) &amp; TRIM(D1837)</f>
        <v>First ReviewBoost VideoKR</v>
      </c>
      <c r="K1837" s="4" t="n">
        <f aca="false">IFERROR(I1837*60,"")</f>
        <v>191.058</v>
      </c>
    </row>
    <row r="1838" customFormat="false" ht="15" hidden="false" customHeight="false" outlineLevel="0" collapsed="false">
      <c r="A1838" s="4" t="s">
        <v>15</v>
      </c>
      <c r="B1838" s="4" t="s">
        <v>1526</v>
      </c>
      <c r="C1838" s="4" t="s">
        <v>1535</v>
      </c>
      <c r="D1838" s="4" t="s">
        <v>166</v>
      </c>
      <c r="E1838" s="4" t="s">
        <v>59</v>
      </c>
      <c r="F1838" s="4" t="s">
        <v>59</v>
      </c>
      <c r="G1838" s="4" t="s">
        <v>1607</v>
      </c>
      <c r="H1838" s="4"/>
      <c r="I1838" s="4" t="n">
        <v>1.7598</v>
      </c>
      <c r="J1838" s="4" t="str">
        <f aca="false">TRIM(E1838) &amp; TRIM(C1838) &amp; TRIM(D1838)</f>
        <v>Re-reviewBoost VideoCZ</v>
      </c>
      <c r="K1838" s="4" t="n">
        <f aca="false">IFERROR(I1838*60,"")</f>
        <v>105.588</v>
      </c>
    </row>
    <row r="1839" customFormat="false" ht="15" hidden="false" customHeight="false" outlineLevel="0" collapsed="false">
      <c r="A1839" s="4" t="s">
        <v>15</v>
      </c>
      <c r="B1839" s="4" t="s">
        <v>1526</v>
      </c>
      <c r="C1839" s="4" t="s">
        <v>1535</v>
      </c>
      <c r="D1839" s="4" t="s">
        <v>306</v>
      </c>
      <c r="E1839" s="4" t="s">
        <v>66</v>
      </c>
      <c r="F1839" s="4" t="s">
        <v>67</v>
      </c>
      <c r="G1839" s="4" t="s">
        <v>1608</v>
      </c>
      <c r="H1839" s="4"/>
      <c r="I1839" s="4" t="n">
        <v>1.2558</v>
      </c>
      <c r="J1839" s="4" t="str">
        <f aca="false">TRIM(E1839) &amp; TRIM(C1839) &amp; TRIM(D1839)</f>
        <v>Posted RecallBoost VideoTH</v>
      </c>
      <c r="K1839" s="4" t="n">
        <f aca="false">IFERROR(I1839*60,"")</f>
        <v>75.348</v>
      </c>
    </row>
    <row r="1840" customFormat="false" ht="15" hidden="false" customHeight="false" outlineLevel="0" collapsed="false">
      <c r="A1840" s="4" t="s">
        <v>15</v>
      </c>
      <c r="B1840" s="4" t="s">
        <v>1526</v>
      </c>
      <c r="C1840" s="4" t="s">
        <v>1535</v>
      </c>
      <c r="D1840" s="4" t="s">
        <v>208</v>
      </c>
      <c r="E1840" s="4" t="s">
        <v>63</v>
      </c>
      <c r="F1840" s="4" t="s">
        <v>63</v>
      </c>
      <c r="G1840" s="4" t="s">
        <v>1609</v>
      </c>
      <c r="H1840" s="4"/>
      <c r="I1840" s="4" t="n">
        <v>1.5373</v>
      </c>
      <c r="J1840" s="4" t="str">
        <f aca="false">TRIM(E1840) &amp; TRIM(C1840) &amp; TRIM(D1840)</f>
        <v>First ReviewBoost VideoCO</v>
      </c>
      <c r="K1840" s="4" t="n">
        <f aca="false">IFERROR(I1840*60,"")</f>
        <v>92.238</v>
      </c>
    </row>
    <row r="1841" customFormat="false" ht="15" hidden="false" customHeight="false" outlineLevel="0" collapsed="false">
      <c r="A1841" s="4" t="s">
        <v>15</v>
      </c>
      <c r="B1841" s="4" t="s">
        <v>1526</v>
      </c>
      <c r="C1841" s="4" t="s">
        <v>1535</v>
      </c>
      <c r="D1841" s="4" t="s">
        <v>178</v>
      </c>
      <c r="E1841" s="4" t="s">
        <v>63</v>
      </c>
      <c r="F1841" s="4" t="s">
        <v>63</v>
      </c>
      <c r="G1841" s="4" t="s">
        <v>1610</v>
      </c>
      <c r="H1841" s="4"/>
      <c r="I1841" s="4" t="n">
        <v>2.3284</v>
      </c>
      <c r="J1841" s="4" t="str">
        <f aca="false">TRIM(E1841) &amp; TRIM(C1841) &amp; TRIM(D1841)</f>
        <v>First ReviewBoost VideoBO</v>
      </c>
      <c r="K1841" s="4" t="n">
        <f aca="false">IFERROR(I1841*60,"")</f>
        <v>139.704</v>
      </c>
    </row>
    <row r="1842" customFormat="false" ht="15" hidden="false" customHeight="false" outlineLevel="0" collapsed="false">
      <c r="A1842" s="4" t="s">
        <v>15</v>
      </c>
      <c r="B1842" s="4" t="s">
        <v>1526</v>
      </c>
      <c r="C1842" s="4" t="s">
        <v>1529</v>
      </c>
      <c r="D1842" s="4" t="s">
        <v>113</v>
      </c>
      <c r="E1842" s="4" t="s">
        <v>66</v>
      </c>
      <c r="F1842" s="4" t="s">
        <v>67</v>
      </c>
      <c r="G1842" s="4" t="s">
        <v>1611</v>
      </c>
      <c r="H1842" s="4"/>
      <c r="I1842" s="4" t="n">
        <v>2.452</v>
      </c>
      <c r="J1842" s="4" t="str">
        <f aca="false">TRIM(E1842) &amp; TRIM(C1842) &amp; TRIM(D1842)</f>
        <v>Posted RecallBoost LivestreamNL</v>
      </c>
      <c r="K1842" s="4" t="n">
        <f aca="false">IFERROR(I1842*60,"")</f>
        <v>147.12</v>
      </c>
    </row>
    <row r="1843" customFormat="false" ht="15" hidden="false" customHeight="false" outlineLevel="0" collapsed="false">
      <c r="A1843" s="4" t="s">
        <v>15</v>
      </c>
      <c r="B1843" s="4" t="s">
        <v>1526</v>
      </c>
      <c r="C1843" s="4" t="s">
        <v>1535</v>
      </c>
      <c r="D1843" s="4" t="s">
        <v>130</v>
      </c>
      <c r="E1843" s="4" t="s">
        <v>63</v>
      </c>
      <c r="F1843" s="4" t="s">
        <v>63</v>
      </c>
      <c r="G1843" s="4" t="s">
        <v>1612</v>
      </c>
      <c r="H1843" s="4"/>
      <c r="I1843" s="4" t="n">
        <v>1.7737</v>
      </c>
      <c r="J1843" s="4" t="str">
        <f aca="false">TRIM(E1843) &amp; TRIM(C1843) &amp; TRIM(D1843)</f>
        <v>First ReviewBoost VideoMA</v>
      </c>
      <c r="K1843" s="4" t="n">
        <f aca="false">IFERROR(I1843*60,"")</f>
        <v>106.422</v>
      </c>
    </row>
    <row r="1844" customFormat="false" ht="15" hidden="false" customHeight="false" outlineLevel="0" collapsed="false">
      <c r="A1844" s="4" t="s">
        <v>15</v>
      </c>
      <c r="B1844" s="4" t="s">
        <v>1526</v>
      </c>
      <c r="C1844" s="4" t="s">
        <v>1527</v>
      </c>
      <c r="D1844" s="4" t="s">
        <v>130</v>
      </c>
      <c r="E1844" s="4" t="s">
        <v>66</v>
      </c>
      <c r="F1844" s="4" t="s">
        <v>67</v>
      </c>
      <c r="G1844" s="4" t="s">
        <v>1613</v>
      </c>
      <c r="H1844" s="4"/>
      <c r="I1844" s="4" t="n">
        <v>0.9742</v>
      </c>
      <c r="J1844" s="4" t="str">
        <f aca="false">TRIM(E1844) &amp; TRIM(C1844) &amp; TRIM(D1844)</f>
        <v>Posted RecallBoost CarouselMA</v>
      </c>
      <c r="K1844" s="4" t="n">
        <f aca="false">IFERROR(I1844*60,"")</f>
        <v>58.452</v>
      </c>
    </row>
    <row r="1845" customFormat="false" ht="15" hidden="false" customHeight="false" outlineLevel="0" collapsed="false">
      <c r="A1845" s="4" t="s">
        <v>15</v>
      </c>
      <c r="B1845" s="4" t="s">
        <v>1526</v>
      </c>
      <c r="C1845" s="4" t="s">
        <v>1527</v>
      </c>
      <c r="D1845" s="4" t="s">
        <v>206</v>
      </c>
      <c r="E1845" s="4" t="s">
        <v>66</v>
      </c>
      <c r="F1845" s="4" t="s">
        <v>67</v>
      </c>
      <c r="G1845" s="4" t="s">
        <v>1614</v>
      </c>
      <c r="H1845" s="4"/>
      <c r="I1845" s="4" t="n">
        <v>2.7423</v>
      </c>
      <c r="J1845" s="4" t="str">
        <f aca="false">TRIM(E1845) &amp; TRIM(C1845) &amp; TRIM(D1845)</f>
        <v>Posted RecallBoost CarouselDZ</v>
      </c>
      <c r="K1845" s="4" t="n">
        <f aca="false">IFERROR(I1845*60,"")</f>
        <v>164.538</v>
      </c>
    </row>
    <row r="1846" customFormat="false" ht="15" hidden="false" customHeight="false" outlineLevel="0" collapsed="false">
      <c r="A1846" s="4" t="s">
        <v>15</v>
      </c>
      <c r="B1846" s="4" t="s">
        <v>1526</v>
      </c>
      <c r="C1846" s="4" t="s">
        <v>1527</v>
      </c>
      <c r="D1846" s="4" t="s">
        <v>306</v>
      </c>
      <c r="E1846" s="4" t="s">
        <v>66</v>
      </c>
      <c r="F1846" s="4" t="s">
        <v>67</v>
      </c>
      <c r="G1846" s="4" t="s">
        <v>1615</v>
      </c>
      <c r="H1846" s="4"/>
      <c r="I1846" s="4" t="n">
        <v>0.9686</v>
      </c>
      <c r="J1846" s="4" t="str">
        <f aca="false">TRIM(E1846) &amp; TRIM(C1846) &amp; TRIM(D1846)</f>
        <v>Posted RecallBoost CarouselTH</v>
      </c>
      <c r="K1846" s="4" t="n">
        <f aca="false">IFERROR(I1846*60,"")</f>
        <v>58.116</v>
      </c>
    </row>
    <row r="1847" customFormat="false" ht="15" hidden="false" customHeight="false" outlineLevel="0" collapsed="false">
      <c r="A1847" s="4" t="s">
        <v>15</v>
      </c>
      <c r="B1847" s="4" t="s">
        <v>1526</v>
      </c>
      <c r="C1847" s="4" t="s">
        <v>1535</v>
      </c>
      <c r="D1847" s="4" t="s">
        <v>275</v>
      </c>
      <c r="E1847" s="4" t="s">
        <v>63</v>
      </c>
      <c r="F1847" s="4" t="s">
        <v>63</v>
      </c>
      <c r="G1847" s="4" t="s">
        <v>1616</v>
      </c>
      <c r="H1847" s="4"/>
      <c r="I1847" s="4" t="n">
        <v>1.9869</v>
      </c>
      <c r="J1847" s="4" t="str">
        <f aca="false">TRIM(E1847) &amp; TRIM(C1847) &amp; TRIM(D1847)</f>
        <v>First ReviewBoost VideoGB</v>
      </c>
      <c r="K1847" s="4" t="n">
        <f aca="false">IFERROR(I1847*60,"")</f>
        <v>119.214</v>
      </c>
    </row>
    <row r="1848" customFormat="false" ht="15" hidden="false" customHeight="false" outlineLevel="0" collapsed="false">
      <c r="A1848" s="4" t="s">
        <v>15</v>
      </c>
      <c r="B1848" s="4" t="s">
        <v>1526</v>
      </c>
      <c r="C1848" s="4" t="s">
        <v>1529</v>
      </c>
      <c r="D1848" s="4" t="s">
        <v>190</v>
      </c>
      <c r="E1848" s="4" t="s">
        <v>63</v>
      </c>
      <c r="F1848" s="4" t="s">
        <v>63</v>
      </c>
      <c r="G1848" s="4" t="s">
        <v>1617</v>
      </c>
      <c r="H1848" s="4"/>
      <c r="I1848" s="4" t="n">
        <v>1.5527</v>
      </c>
      <c r="J1848" s="4" t="str">
        <f aca="false">TRIM(E1848) &amp; TRIM(C1848) &amp; TRIM(D1848)</f>
        <v>First ReviewBoost LivestreamPH</v>
      </c>
      <c r="K1848" s="4" t="n">
        <f aca="false">IFERROR(I1848*60,"")</f>
        <v>93.162</v>
      </c>
    </row>
    <row r="1849" customFormat="false" ht="15" hidden="false" customHeight="false" outlineLevel="0" collapsed="false">
      <c r="A1849" s="4" t="s">
        <v>15</v>
      </c>
      <c r="B1849" s="4" t="s">
        <v>1526</v>
      </c>
      <c r="C1849" s="4" t="s">
        <v>1527</v>
      </c>
      <c r="D1849" s="4" t="s">
        <v>289</v>
      </c>
      <c r="E1849" s="4" t="s">
        <v>63</v>
      </c>
      <c r="F1849" s="4" t="s">
        <v>63</v>
      </c>
      <c r="G1849" s="4" t="s">
        <v>1618</v>
      </c>
      <c r="H1849" s="4"/>
      <c r="I1849" s="4" t="n">
        <v>1.7833</v>
      </c>
      <c r="J1849" s="4" t="str">
        <f aca="false">TRIM(E1849) &amp; TRIM(C1849) &amp; TRIM(D1849)</f>
        <v>First ReviewBoost CarouselLK</v>
      </c>
      <c r="K1849" s="4" t="n">
        <f aca="false">IFERROR(I1849*60,"")</f>
        <v>106.998</v>
      </c>
    </row>
    <row r="1850" customFormat="false" ht="15" hidden="false" customHeight="false" outlineLevel="0" collapsed="false">
      <c r="A1850" s="4" t="s">
        <v>15</v>
      </c>
      <c r="B1850" s="4" t="s">
        <v>1526</v>
      </c>
      <c r="C1850" s="4" t="s">
        <v>1527</v>
      </c>
      <c r="D1850" s="4" t="s">
        <v>1593</v>
      </c>
      <c r="E1850" s="4" t="s">
        <v>66</v>
      </c>
      <c r="F1850" s="4" t="s">
        <v>67</v>
      </c>
      <c r="G1850" s="4" t="s">
        <v>1619</v>
      </c>
      <c r="H1850" s="4"/>
      <c r="I1850" s="4" t="n">
        <v>1.1725</v>
      </c>
      <c r="J1850" s="4" t="str">
        <f aca="false">TRIM(E1850) &amp; TRIM(C1850) &amp; TRIM(D1850)</f>
        <v>Posted RecallBoost CarouselBN</v>
      </c>
      <c r="K1850" s="4" t="n">
        <f aca="false">IFERROR(I1850*60,"")</f>
        <v>70.35</v>
      </c>
    </row>
    <row r="1851" customFormat="false" ht="15" hidden="false" customHeight="false" outlineLevel="0" collapsed="false">
      <c r="A1851" s="4" t="s">
        <v>15</v>
      </c>
      <c r="B1851" s="4" t="s">
        <v>1526</v>
      </c>
      <c r="C1851" s="4" t="s">
        <v>1535</v>
      </c>
      <c r="D1851" s="4" t="s">
        <v>267</v>
      </c>
      <c r="E1851" s="4" t="s">
        <v>66</v>
      </c>
      <c r="F1851" s="4" t="s">
        <v>67</v>
      </c>
      <c r="G1851" s="4" t="s">
        <v>1620</v>
      </c>
      <c r="H1851" s="4"/>
      <c r="I1851" s="4" t="n">
        <v>1.0511</v>
      </c>
      <c r="J1851" s="4" t="str">
        <f aca="false">TRIM(E1851) &amp; TRIM(C1851) &amp; TRIM(D1851)</f>
        <v>Posted RecallBoost VideoID</v>
      </c>
      <c r="K1851" s="4" t="n">
        <f aca="false">IFERROR(I1851*60,"")</f>
        <v>63.066</v>
      </c>
    </row>
    <row r="1852" customFormat="false" ht="15" hidden="false" customHeight="false" outlineLevel="0" collapsed="false">
      <c r="A1852" s="4" t="s">
        <v>15</v>
      </c>
      <c r="B1852" s="4" t="s">
        <v>1526</v>
      </c>
      <c r="C1852" s="4" t="s">
        <v>1535</v>
      </c>
      <c r="D1852" s="4" t="s">
        <v>117</v>
      </c>
      <c r="E1852" s="4" t="s">
        <v>63</v>
      </c>
      <c r="F1852" s="4" t="s">
        <v>63</v>
      </c>
      <c r="G1852" s="4" t="s">
        <v>1621</v>
      </c>
      <c r="H1852" s="4"/>
      <c r="I1852" s="4" t="n">
        <v>1.7158</v>
      </c>
      <c r="J1852" s="4" t="str">
        <f aca="false">TRIM(E1852) &amp; TRIM(C1852) &amp; TRIM(D1852)</f>
        <v>First ReviewBoost VideoAR</v>
      </c>
      <c r="K1852" s="4" t="n">
        <f aca="false">IFERROR(I1852*60,"")</f>
        <v>102.948</v>
      </c>
    </row>
    <row r="1853" customFormat="false" ht="15" hidden="false" customHeight="false" outlineLevel="0" collapsed="false">
      <c r="A1853" s="4" t="s">
        <v>15</v>
      </c>
      <c r="B1853" s="4" t="s">
        <v>1526</v>
      </c>
      <c r="C1853" s="4" t="s">
        <v>1529</v>
      </c>
      <c r="D1853" s="4" t="s">
        <v>1622</v>
      </c>
      <c r="E1853" s="4" t="s">
        <v>63</v>
      </c>
      <c r="F1853" s="4" t="s">
        <v>63</v>
      </c>
      <c r="G1853" s="4" t="s">
        <v>1623</v>
      </c>
      <c r="H1853" s="4"/>
      <c r="I1853" s="4" t="n">
        <v>4.1117</v>
      </c>
      <c r="J1853" s="4" t="str">
        <f aca="false">TRIM(E1853) &amp; TRIM(C1853) &amp; TRIM(D1853)</f>
        <v>First ReviewBoost LivestreamTZ</v>
      </c>
      <c r="K1853" s="4" t="n">
        <f aca="false">IFERROR(I1853*60,"")</f>
        <v>246.702</v>
      </c>
    </row>
    <row r="1854" customFormat="false" ht="15" hidden="false" customHeight="false" outlineLevel="0" collapsed="false">
      <c r="A1854" s="4" t="s">
        <v>15</v>
      </c>
      <c r="B1854" s="4" t="s">
        <v>1526</v>
      </c>
      <c r="C1854" s="4" t="s">
        <v>1527</v>
      </c>
      <c r="D1854" s="4" t="s">
        <v>195</v>
      </c>
      <c r="E1854" s="4" t="s">
        <v>66</v>
      </c>
      <c r="F1854" s="4" t="s">
        <v>67</v>
      </c>
      <c r="G1854" s="4" t="s">
        <v>1624</v>
      </c>
      <c r="H1854" s="4"/>
      <c r="I1854" s="4" t="n">
        <v>2.3734</v>
      </c>
      <c r="J1854" s="4" t="str">
        <f aca="false">TRIM(E1854) &amp; TRIM(C1854) &amp; TRIM(D1854)</f>
        <v>Posted RecallBoost CarouselIT</v>
      </c>
      <c r="K1854" s="4" t="n">
        <f aca="false">IFERROR(I1854*60,"")</f>
        <v>142.404</v>
      </c>
    </row>
    <row r="1855" customFormat="false" ht="15" hidden="false" customHeight="false" outlineLevel="0" collapsed="false">
      <c r="A1855" s="4" t="s">
        <v>15</v>
      </c>
      <c r="B1855" s="4" t="s">
        <v>1526</v>
      </c>
      <c r="C1855" s="4" t="s">
        <v>1527</v>
      </c>
      <c r="D1855" s="4" t="s">
        <v>1625</v>
      </c>
      <c r="E1855" s="4" t="s">
        <v>63</v>
      </c>
      <c r="F1855" s="4" t="s">
        <v>63</v>
      </c>
      <c r="G1855" s="4" t="s">
        <v>1626</v>
      </c>
      <c r="H1855" s="4"/>
      <c r="I1855" s="4" t="n">
        <v>1.8001</v>
      </c>
      <c r="J1855" s="4" t="str">
        <f aca="false">TRIM(E1855) &amp; TRIM(C1855) &amp; TRIM(D1855)</f>
        <v>First ReviewBoost CarouselSN</v>
      </c>
      <c r="K1855" s="4" t="n">
        <f aca="false">IFERROR(I1855*60,"")</f>
        <v>108.006</v>
      </c>
    </row>
    <row r="1856" customFormat="false" ht="15" hidden="false" customHeight="false" outlineLevel="0" collapsed="false">
      <c r="A1856" s="4" t="s">
        <v>15</v>
      </c>
      <c r="B1856" s="4" t="s">
        <v>1526</v>
      </c>
      <c r="C1856" s="4" t="s">
        <v>1535</v>
      </c>
      <c r="D1856" s="4" t="s">
        <v>246</v>
      </c>
      <c r="E1856" s="4" t="s">
        <v>63</v>
      </c>
      <c r="F1856" s="4" t="s">
        <v>63</v>
      </c>
      <c r="G1856" s="4" t="s">
        <v>1598</v>
      </c>
      <c r="H1856" s="4"/>
      <c r="I1856" s="4" t="n">
        <v>2.3545</v>
      </c>
      <c r="J1856" s="4" t="str">
        <f aca="false">TRIM(E1856) &amp; TRIM(C1856) &amp; TRIM(D1856)</f>
        <v>First ReviewBoost VideoLV</v>
      </c>
      <c r="K1856" s="4" t="n">
        <f aca="false">IFERROR(I1856*60,"")</f>
        <v>141.27</v>
      </c>
    </row>
    <row r="1857" customFormat="false" ht="15" hidden="false" customHeight="false" outlineLevel="0" collapsed="false">
      <c r="A1857" s="4" t="s">
        <v>15</v>
      </c>
      <c r="B1857" s="4" t="s">
        <v>1526</v>
      </c>
      <c r="C1857" s="4" t="s">
        <v>1535</v>
      </c>
      <c r="D1857" s="4" t="s">
        <v>157</v>
      </c>
      <c r="E1857" s="4" t="s">
        <v>63</v>
      </c>
      <c r="F1857" s="4" t="s">
        <v>63</v>
      </c>
      <c r="G1857" s="4" t="s">
        <v>1627</v>
      </c>
      <c r="H1857" s="4"/>
      <c r="I1857" s="4" t="n">
        <v>1.0884</v>
      </c>
      <c r="J1857" s="4" t="str">
        <f aca="false">TRIM(E1857) &amp; TRIM(C1857) &amp; TRIM(D1857)</f>
        <v>First ReviewBoost VideoSA</v>
      </c>
      <c r="K1857" s="4" t="n">
        <f aca="false">IFERROR(I1857*60,"")</f>
        <v>65.304</v>
      </c>
    </row>
    <row r="1858" customFormat="false" ht="15" hidden="false" customHeight="false" outlineLevel="0" collapsed="false">
      <c r="A1858" s="4" t="s">
        <v>15</v>
      </c>
      <c r="B1858" s="4" t="s">
        <v>1526</v>
      </c>
      <c r="C1858" s="4" t="s">
        <v>1535</v>
      </c>
      <c r="D1858" s="4" t="s">
        <v>171</v>
      </c>
      <c r="E1858" s="4" t="s">
        <v>63</v>
      </c>
      <c r="F1858" s="4" t="s">
        <v>63</v>
      </c>
      <c r="G1858" s="4" t="s">
        <v>1628</v>
      </c>
      <c r="H1858" s="4"/>
      <c r="I1858" s="4" t="n">
        <v>3.0925</v>
      </c>
      <c r="J1858" s="4" t="str">
        <f aca="false">TRIM(E1858) &amp; TRIM(C1858) &amp; TRIM(D1858)</f>
        <v>First ReviewBoost VideoKE</v>
      </c>
      <c r="K1858" s="4" t="n">
        <f aca="false">IFERROR(I1858*60,"")</f>
        <v>185.55</v>
      </c>
    </row>
    <row r="1859" customFormat="false" ht="15" hidden="false" customHeight="false" outlineLevel="0" collapsed="false">
      <c r="A1859" s="4" t="s">
        <v>15</v>
      </c>
      <c r="B1859" s="4" t="s">
        <v>1526</v>
      </c>
      <c r="C1859" s="4" t="s">
        <v>1535</v>
      </c>
      <c r="D1859" s="4" t="s">
        <v>210</v>
      </c>
      <c r="E1859" s="4" t="s">
        <v>63</v>
      </c>
      <c r="F1859" s="4" t="s">
        <v>63</v>
      </c>
      <c r="G1859" s="4" t="s">
        <v>1629</v>
      </c>
      <c r="H1859" s="4"/>
      <c r="I1859" s="4" t="n">
        <v>0.8919</v>
      </c>
      <c r="J1859" s="4" t="str">
        <f aca="false">TRIM(E1859) &amp; TRIM(C1859) &amp; TRIM(D1859)</f>
        <v>First ReviewBoost VideoPK</v>
      </c>
      <c r="K1859" s="4" t="n">
        <f aca="false">IFERROR(I1859*60,"")</f>
        <v>53.514</v>
      </c>
    </row>
    <row r="1860" customFormat="false" ht="15" hidden="false" customHeight="false" outlineLevel="0" collapsed="false">
      <c r="A1860" s="4" t="s">
        <v>15</v>
      </c>
      <c r="B1860" s="4" t="s">
        <v>1526</v>
      </c>
      <c r="C1860" s="4" t="s">
        <v>1535</v>
      </c>
      <c r="D1860" s="4" t="s">
        <v>82</v>
      </c>
      <c r="E1860" s="4" t="s">
        <v>66</v>
      </c>
      <c r="F1860" s="4" t="s">
        <v>67</v>
      </c>
      <c r="G1860" s="4" t="s">
        <v>1630</v>
      </c>
      <c r="H1860" s="4"/>
      <c r="I1860" s="4" t="n">
        <v>1.6678</v>
      </c>
      <c r="J1860" s="4" t="str">
        <f aca="false">TRIM(E1860) &amp; TRIM(C1860) &amp; TRIM(D1860)</f>
        <v>Posted RecallBoost VideoKH</v>
      </c>
      <c r="K1860" s="4" t="n">
        <f aca="false">IFERROR(I1860*60,"")</f>
        <v>100.068</v>
      </c>
    </row>
    <row r="1861" customFormat="false" ht="15" hidden="false" customHeight="false" outlineLevel="0" collapsed="false">
      <c r="A1861" s="4" t="s">
        <v>15</v>
      </c>
      <c r="B1861" s="4" t="s">
        <v>1526</v>
      </c>
      <c r="C1861" s="4" t="s">
        <v>1527</v>
      </c>
      <c r="D1861" s="4" t="s">
        <v>267</v>
      </c>
      <c r="E1861" s="4" t="s">
        <v>63</v>
      </c>
      <c r="F1861" s="4" t="s">
        <v>63</v>
      </c>
      <c r="G1861" s="4" t="s">
        <v>1631</v>
      </c>
      <c r="H1861" s="4"/>
      <c r="I1861" s="4" t="n">
        <v>1.1371</v>
      </c>
      <c r="J1861" s="4" t="str">
        <f aca="false">TRIM(E1861) &amp; TRIM(C1861) &amp; TRIM(D1861)</f>
        <v>First ReviewBoost CarouselID</v>
      </c>
      <c r="K1861" s="4" t="n">
        <f aca="false">IFERROR(I1861*60,"")</f>
        <v>68.226</v>
      </c>
    </row>
    <row r="1862" customFormat="false" ht="15" hidden="false" customHeight="false" outlineLevel="0" collapsed="false">
      <c r="A1862" s="4" t="s">
        <v>15</v>
      </c>
      <c r="B1862" s="4" t="s">
        <v>1526</v>
      </c>
      <c r="C1862" s="4" t="s">
        <v>1535</v>
      </c>
      <c r="D1862" s="4" t="s">
        <v>213</v>
      </c>
      <c r="E1862" s="4" t="s">
        <v>59</v>
      </c>
      <c r="F1862" s="4" t="s">
        <v>59</v>
      </c>
      <c r="G1862" s="4" t="s">
        <v>1632</v>
      </c>
      <c r="H1862" s="4"/>
      <c r="I1862" s="4" t="n">
        <v>1.2776</v>
      </c>
      <c r="J1862" s="4" t="str">
        <f aca="false">TRIM(E1862) &amp; TRIM(C1862) &amp; TRIM(D1862)</f>
        <v>Re-reviewBoost VideoFR</v>
      </c>
      <c r="K1862" s="4" t="n">
        <f aca="false">IFERROR(I1862*60,"")</f>
        <v>76.656</v>
      </c>
    </row>
    <row r="1863" customFormat="false" ht="15" hidden="false" customHeight="false" outlineLevel="0" collapsed="false">
      <c r="A1863" s="4" t="s">
        <v>15</v>
      </c>
      <c r="B1863" s="4" t="s">
        <v>1526</v>
      </c>
      <c r="C1863" s="4" t="s">
        <v>1535</v>
      </c>
      <c r="D1863" s="4" t="s">
        <v>79</v>
      </c>
      <c r="E1863" s="4" t="s">
        <v>66</v>
      </c>
      <c r="F1863" s="4" t="s">
        <v>67</v>
      </c>
      <c r="G1863" s="4" t="s">
        <v>1633</v>
      </c>
      <c r="H1863" s="4"/>
      <c r="I1863" s="4" t="n">
        <v>1.009</v>
      </c>
      <c r="J1863" s="4" t="str">
        <f aca="false">TRIM(E1863) &amp; TRIM(C1863) &amp; TRIM(D1863)</f>
        <v>Posted RecallBoost VideoZA</v>
      </c>
      <c r="K1863" s="4" t="n">
        <f aca="false">IFERROR(I1863*60,"")</f>
        <v>60.54</v>
      </c>
    </row>
    <row r="1864" customFormat="false" ht="15" hidden="false" customHeight="false" outlineLevel="0" collapsed="false">
      <c r="A1864" s="4" t="s">
        <v>15</v>
      </c>
      <c r="B1864" s="4" t="s">
        <v>1526</v>
      </c>
      <c r="C1864" s="4" t="s">
        <v>1535</v>
      </c>
      <c r="D1864" s="4" t="s">
        <v>310</v>
      </c>
      <c r="E1864" s="4" t="s">
        <v>66</v>
      </c>
      <c r="F1864" s="4" t="s">
        <v>67</v>
      </c>
      <c r="G1864" s="4" t="s">
        <v>1634</v>
      </c>
      <c r="H1864" s="4"/>
      <c r="I1864" s="4" t="n">
        <v>2.0704</v>
      </c>
      <c r="J1864" s="4" t="str">
        <f aca="false">TRIM(E1864) &amp; TRIM(C1864) &amp; TRIM(D1864)</f>
        <v>Posted RecallBoost VideoUY</v>
      </c>
      <c r="K1864" s="4" t="n">
        <f aca="false">IFERROR(I1864*60,"")</f>
        <v>124.224</v>
      </c>
    </row>
    <row r="1865" customFormat="false" ht="15" hidden="false" customHeight="false" outlineLevel="0" collapsed="false">
      <c r="A1865" s="4" t="s">
        <v>15</v>
      </c>
      <c r="B1865" s="4" t="s">
        <v>1526</v>
      </c>
      <c r="C1865" s="4" t="s">
        <v>1527</v>
      </c>
      <c r="D1865" s="4" t="s">
        <v>310</v>
      </c>
      <c r="E1865" s="4" t="s">
        <v>66</v>
      </c>
      <c r="F1865" s="4" t="s">
        <v>67</v>
      </c>
      <c r="G1865" s="4" t="s">
        <v>1635</v>
      </c>
      <c r="H1865" s="4"/>
      <c r="I1865" s="4" t="n">
        <v>0.9248</v>
      </c>
      <c r="J1865" s="4" t="str">
        <f aca="false">TRIM(E1865) &amp; TRIM(C1865) &amp; TRIM(D1865)</f>
        <v>Posted RecallBoost CarouselUY</v>
      </c>
      <c r="K1865" s="4" t="n">
        <f aca="false">IFERROR(I1865*60,"")</f>
        <v>55.488</v>
      </c>
    </row>
    <row r="1866" customFormat="false" ht="15" hidden="false" customHeight="false" outlineLevel="0" collapsed="false">
      <c r="A1866" s="4" t="s">
        <v>15</v>
      </c>
      <c r="B1866" s="4" t="s">
        <v>1526</v>
      </c>
      <c r="C1866" s="4" t="s">
        <v>1535</v>
      </c>
      <c r="D1866" s="4" t="s">
        <v>255</v>
      </c>
      <c r="E1866" s="4" t="s">
        <v>63</v>
      </c>
      <c r="F1866" s="4" t="s">
        <v>63</v>
      </c>
      <c r="G1866" s="4" t="s">
        <v>1636</v>
      </c>
      <c r="H1866" s="4"/>
      <c r="I1866" s="4" t="n">
        <v>0.8372</v>
      </c>
      <c r="J1866" s="4" t="str">
        <f aca="false">TRIM(E1866) &amp; TRIM(C1866) &amp; TRIM(D1866)</f>
        <v>First ReviewBoost VideoNZ</v>
      </c>
      <c r="K1866" s="4" t="n">
        <f aca="false">IFERROR(I1866*60,"")</f>
        <v>50.232</v>
      </c>
    </row>
    <row r="1867" customFormat="false" ht="15" hidden="false" customHeight="false" outlineLevel="0" collapsed="false">
      <c r="A1867" s="4" t="s">
        <v>15</v>
      </c>
      <c r="B1867" s="4" t="s">
        <v>1526</v>
      </c>
      <c r="C1867" s="4" t="s">
        <v>1527</v>
      </c>
      <c r="D1867" s="4" t="s">
        <v>113</v>
      </c>
      <c r="E1867" s="4" t="s">
        <v>59</v>
      </c>
      <c r="F1867" s="4" t="s">
        <v>59</v>
      </c>
      <c r="G1867" s="4" t="s">
        <v>1603</v>
      </c>
      <c r="H1867" s="4"/>
      <c r="I1867" s="4" t="n">
        <v>13.8229</v>
      </c>
      <c r="J1867" s="4" t="str">
        <f aca="false">TRIM(E1867) &amp; TRIM(C1867) &amp; TRIM(D1867)</f>
        <v>Re-reviewBoost CarouselNL</v>
      </c>
      <c r="K1867" s="4" t="n">
        <f aca="false">IFERROR(I1867*60,"")</f>
        <v>829.374</v>
      </c>
    </row>
    <row r="1868" customFormat="false" ht="15" hidden="false" customHeight="false" outlineLevel="0" collapsed="false">
      <c r="A1868" s="4" t="s">
        <v>15</v>
      </c>
      <c r="B1868" s="4" t="s">
        <v>1526</v>
      </c>
      <c r="C1868" s="4" t="s">
        <v>1535</v>
      </c>
      <c r="D1868" s="4" t="s">
        <v>284</v>
      </c>
      <c r="E1868" s="4" t="s">
        <v>63</v>
      </c>
      <c r="F1868" s="4" t="s">
        <v>63</v>
      </c>
      <c r="G1868" s="4" t="s">
        <v>1637</v>
      </c>
      <c r="H1868" s="4"/>
      <c r="I1868" s="4" t="n">
        <v>1.3742</v>
      </c>
      <c r="J1868" s="4" t="str">
        <f aca="false">TRIM(E1868) &amp; TRIM(C1868) &amp; TRIM(D1868)</f>
        <v>First ReviewBoost VideoTR</v>
      </c>
      <c r="K1868" s="4" t="n">
        <f aca="false">IFERROR(I1868*60,"")</f>
        <v>82.452</v>
      </c>
    </row>
    <row r="1869" customFormat="false" ht="15" hidden="false" customHeight="false" outlineLevel="0" collapsed="false">
      <c r="A1869" s="4" t="s">
        <v>15</v>
      </c>
      <c r="B1869" s="4" t="s">
        <v>1526</v>
      </c>
      <c r="C1869" s="4" t="s">
        <v>1535</v>
      </c>
      <c r="D1869" s="4" t="s">
        <v>199</v>
      </c>
      <c r="E1869" s="4" t="s">
        <v>63</v>
      </c>
      <c r="F1869" s="4" t="s">
        <v>63</v>
      </c>
      <c r="G1869" s="4" t="s">
        <v>1638</v>
      </c>
      <c r="H1869" s="4"/>
      <c r="I1869" s="4" t="n">
        <v>1.2236</v>
      </c>
      <c r="J1869" s="4" t="str">
        <f aca="false">TRIM(E1869) &amp; TRIM(C1869) &amp; TRIM(D1869)</f>
        <v>First ReviewBoost VideoBH</v>
      </c>
      <c r="K1869" s="4" t="n">
        <f aca="false">IFERROR(I1869*60,"")</f>
        <v>73.416</v>
      </c>
    </row>
    <row r="1870" customFormat="false" ht="15" hidden="false" customHeight="false" outlineLevel="0" collapsed="false">
      <c r="A1870" s="4" t="s">
        <v>15</v>
      </c>
      <c r="B1870" s="4" t="s">
        <v>1526</v>
      </c>
      <c r="C1870" s="4" t="s">
        <v>1527</v>
      </c>
      <c r="D1870" s="4" t="s">
        <v>100</v>
      </c>
      <c r="E1870" s="4" t="s">
        <v>66</v>
      </c>
      <c r="F1870" s="4" t="s">
        <v>67</v>
      </c>
      <c r="G1870" s="4" t="s">
        <v>1639</v>
      </c>
      <c r="H1870" s="4"/>
      <c r="I1870" s="4" t="n">
        <v>1.0162</v>
      </c>
      <c r="J1870" s="4" t="str">
        <f aca="false">TRIM(E1870) &amp; TRIM(C1870) &amp; TRIM(D1870)</f>
        <v>Posted RecallBoost CarouselAU</v>
      </c>
      <c r="K1870" s="4" t="n">
        <f aca="false">IFERROR(I1870*60,"")</f>
        <v>60.972</v>
      </c>
    </row>
    <row r="1871" customFormat="false" ht="15" hidden="false" customHeight="false" outlineLevel="0" collapsed="false">
      <c r="A1871" s="4" t="s">
        <v>15</v>
      </c>
      <c r="B1871" s="4" t="s">
        <v>1526</v>
      </c>
      <c r="C1871" s="4" t="s">
        <v>1529</v>
      </c>
      <c r="D1871" s="4" t="s">
        <v>121</v>
      </c>
      <c r="E1871" s="4" t="s">
        <v>63</v>
      </c>
      <c r="F1871" s="4" t="s">
        <v>63</v>
      </c>
      <c r="G1871" s="4" t="s">
        <v>1640</v>
      </c>
      <c r="H1871" s="4"/>
      <c r="I1871" s="4" t="n">
        <v>2.8083</v>
      </c>
      <c r="J1871" s="4" t="str">
        <f aca="false">TRIM(E1871) &amp; TRIM(C1871) &amp; TRIM(D1871)</f>
        <v>First ReviewBoost LivestreamKR</v>
      </c>
      <c r="K1871" s="4" t="n">
        <f aca="false">IFERROR(I1871*60,"")</f>
        <v>168.498</v>
      </c>
    </row>
    <row r="1872" customFormat="false" ht="15" hidden="false" customHeight="false" outlineLevel="0" collapsed="false">
      <c r="A1872" s="4" t="s">
        <v>15</v>
      </c>
      <c r="B1872" s="4" t="s">
        <v>1526</v>
      </c>
      <c r="C1872" s="4" t="s">
        <v>1527</v>
      </c>
      <c r="D1872" s="4" t="s">
        <v>102</v>
      </c>
      <c r="E1872" s="4" t="s">
        <v>63</v>
      </c>
      <c r="F1872" s="4" t="s">
        <v>63</v>
      </c>
      <c r="G1872" s="4" t="s">
        <v>1641</v>
      </c>
      <c r="H1872" s="4"/>
      <c r="I1872" s="4" t="n">
        <v>2.2755</v>
      </c>
      <c r="J1872" s="4" t="str">
        <f aca="false">TRIM(E1872) &amp; TRIM(C1872) &amp; TRIM(D1872)</f>
        <v>First ReviewBoost CarouselSE</v>
      </c>
      <c r="K1872" s="4" t="n">
        <f aca="false">IFERROR(I1872*60,"")</f>
        <v>136.53</v>
      </c>
    </row>
    <row r="1873" customFormat="false" ht="15" hidden="false" customHeight="false" outlineLevel="0" collapsed="false">
      <c r="A1873" s="4" t="s">
        <v>15</v>
      </c>
      <c r="B1873" s="4" t="s">
        <v>1526</v>
      </c>
      <c r="C1873" s="4" t="s">
        <v>1535</v>
      </c>
      <c r="D1873" s="4" t="s">
        <v>197</v>
      </c>
      <c r="E1873" s="4" t="s">
        <v>63</v>
      </c>
      <c r="F1873" s="4" t="s">
        <v>63</v>
      </c>
      <c r="G1873" s="4" t="s">
        <v>1642</v>
      </c>
      <c r="H1873" s="4"/>
      <c r="I1873" s="4" t="n">
        <v>1.5449</v>
      </c>
      <c r="J1873" s="4" t="str">
        <f aca="false">TRIM(E1873) &amp; TRIM(C1873) &amp; TRIM(D1873)</f>
        <v>First ReviewBoost VideoGR</v>
      </c>
      <c r="K1873" s="4" t="n">
        <f aca="false">IFERROR(I1873*60,"")</f>
        <v>92.694</v>
      </c>
    </row>
    <row r="1874" customFormat="false" ht="15" hidden="false" customHeight="false" outlineLevel="0" collapsed="false">
      <c r="A1874" s="4" t="s">
        <v>15</v>
      </c>
      <c r="B1874" s="4" t="s">
        <v>1526</v>
      </c>
      <c r="C1874" s="4" t="s">
        <v>1535</v>
      </c>
      <c r="D1874" s="4" t="s">
        <v>181</v>
      </c>
      <c r="E1874" s="4" t="s">
        <v>63</v>
      </c>
      <c r="F1874" s="4" t="s">
        <v>63</v>
      </c>
      <c r="G1874" s="4" t="s">
        <v>1643</v>
      </c>
      <c r="H1874" s="4"/>
      <c r="I1874" s="4" t="n">
        <v>1.2368</v>
      </c>
      <c r="J1874" s="4" t="str">
        <f aca="false">TRIM(E1874) &amp; TRIM(C1874) &amp; TRIM(D1874)</f>
        <v>First ReviewBoost VideoLB</v>
      </c>
      <c r="K1874" s="4" t="n">
        <f aca="false">IFERROR(I1874*60,"")</f>
        <v>74.208</v>
      </c>
    </row>
    <row r="1875" customFormat="false" ht="15" hidden="false" customHeight="false" outlineLevel="0" collapsed="false">
      <c r="A1875" s="4" t="s">
        <v>15</v>
      </c>
      <c r="B1875" s="4" t="s">
        <v>1526</v>
      </c>
      <c r="C1875" s="4" t="s">
        <v>1529</v>
      </c>
      <c r="D1875" s="4" t="s">
        <v>362</v>
      </c>
      <c r="E1875" s="4" t="s">
        <v>63</v>
      </c>
      <c r="F1875" s="4" t="s">
        <v>63</v>
      </c>
      <c r="G1875" s="4" t="s">
        <v>1644</v>
      </c>
      <c r="H1875" s="4"/>
      <c r="I1875" s="4" t="n">
        <v>0.6638</v>
      </c>
      <c r="J1875" s="4" t="str">
        <f aca="false">TRIM(E1875) &amp; TRIM(C1875) &amp; TRIM(D1875)</f>
        <v>First ReviewBoost LivestreamPA</v>
      </c>
      <c r="K1875" s="4" t="n">
        <f aca="false">IFERROR(I1875*60,"")</f>
        <v>39.828</v>
      </c>
    </row>
    <row r="1876" customFormat="false" ht="15" hidden="false" customHeight="false" outlineLevel="0" collapsed="false">
      <c r="A1876" s="4" t="s">
        <v>15</v>
      </c>
      <c r="B1876" s="4" t="s">
        <v>1526</v>
      </c>
      <c r="C1876" s="4" t="s">
        <v>1527</v>
      </c>
      <c r="D1876" s="4" t="s">
        <v>271</v>
      </c>
      <c r="E1876" s="4" t="s">
        <v>63</v>
      </c>
      <c r="F1876" s="4" t="s">
        <v>63</v>
      </c>
      <c r="G1876" s="4" t="s">
        <v>1645</v>
      </c>
      <c r="H1876" s="4"/>
      <c r="I1876" s="4" t="n">
        <v>0.7225</v>
      </c>
      <c r="J1876" s="4" t="str">
        <f aca="false">TRIM(E1876) &amp; TRIM(C1876) &amp; TRIM(D1876)</f>
        <v>First ReviewBoost CarouselKW</v>
      </c>
      <c r="K1876" s="4" t="n">
        <f aca="false">IFERROR(I1876*60,"")</f>
        <v>43.35</v>
      </c>
    </row>
    <row r="1877" customFormat="false" ht="15" hidden="false" customHeight="false" outlineLevel="0" collapsed="false">
      <c r="A1877" s="4" t="s">
        <v>15</v>
      </c>
      <c r="B1877" s="4" t="s">
        <v>1526</v>
      </c>
      <c r="C1877" s="4" t="s">
        <v>1535</v>
      </c>
      <c r="D1877" s="4" t="s">
        <v>265</v>
      </c>
      <c r="E1877" s="4" t="s">
        <v>63</v>
      </c>
      <c r="F1877" s="4" t="s">
        <v>63</v>
      </c>
      <c r="G1877" s="4" t="s">
        <v>1646</v>
      </c>
      <c r="H1877" s="4"/>
      <c r="I1877" s="4" t="n">
        <v>2.3851</v>
      </c>
      <c r="J1877" s="4" t="str">
        <f aca="false">TRIM(E1877) &amp; TRIM(C1877) &amp; TRIM(D1877)</f>
        <v>First ReviewBoost VideoNO</v>
      </c>
      <c r="K1877" s="4" t="n">
        <f aca="false">IFERROR(I1877*60,"")</f>
        <v>143.106</v>
      </c>
    </row>
    <row r="1878" customFormat="false" ht="15" hidden="false" customHeight="false" outlineLevel="0" collapsed="false">
      <c r="A1878" s="4" t="s">
        <v>15</v>
      </c>
      <c r="B1878" s="4" t="s">
        <v>1526</v>
      </c>
      <c r="C1878" s="4" t="s">
        <v>1529</v>
      </c>
      <c r="D1878" s="4" t="s">
        <v>166</v>
      </c>
      <c r="E1878" s="4" t="s">
        <v>63</v>
      </c>
      <c r="F1878" s="4" t="s">
        <v>63</v>
      </c>
      <c r="G1878" s="4" t="s">
        <v>1647</v>
      </c>
      <c r="H1878" s="4"/>
      <c r="I1878" s="4" t="n">
        <v>2.4981</v>
      </c>
      <c r="J1878" s="4" t="str">
        <f aca="false">TRIM(E1878) &amp; TRIM(C1878) &amp; TRIM(D1878)</f>
        <v>First ReviewBoost LivestreamCZ</v>
      </c>
      <c r="K1878" s="4" t="n">
        <f aca="false">IFERROR(I1878*60,"")</f>
        <v>149.886</v>
      </c>
    </row>
    <row r="1879" customFormat="false" ht="15" hidden="false" customHeight="false" outlineLevel="0" collapsed="false">
      <c r="A1879" s="4" t="s">
        <v>15</v>
      </c>
      <c r="B1879" s="4" t="s">
        <v>1526</v>
      </c>
      <c r="C1879" s="4" t="s">
        <v>1527</v>
      </c>
      <c r="D1879" s="4" t="s">
        <v>178</v>
      </c>
      <c r="E1879" s="4" t="s">
        <v>66</v>
      </c>
      <c r="F1879" s="4" t="s">
        <v>67</v>
      </c>
      <c r="G1879" s="4" t="s">
        <v>1648</v>
      </c>
      <c r="H1879" s="4"/>
      <c r="I1879" s="4" t="n">
        <v>0.7819</v>
      </c>
      <c r="J1879" s="4" t="str">
        <f aca="false">TRIM(E1879) &amp; TRIM(C1879) &amp; TRIM(D1879)</f>
        <v>Posted RecallBoost CarouselBO</v>
      </c>
      <c r="K1879" s="4" t="n">
        <f aca="false">IFERROR(I1879*60,"")</f>
        <v>46.914</v>
      </c>
    </row>
    <row r="1880" customFormat="false" ht="15" hidden="false" customHeight="false" outlineLevel="0" collapsed="false">
      <c r="A1880" s="4" t="s">
        <v>15</v>
      </c>
      <c r="B1880" s="4" t="s">
        <v>1526</v>
      </c>
      <c r="C1880" s="4" t="s">
        <v>1527</v>
      </c>
      <c r="D1880" s="4" t="s">
        <v>124</v>
      </c>
      <c r="E1880" s="4" t="s">
        <v>63</v>
      </c>
      <c r="F1880" s="4" t="s">
        <v>63</v>
      </c>
      <c r="G1880" s="4" t="s">
        <v>1649</v>
      </c>
      <c r="H1880" s="4"/>
      <c r="I1880" s="4" t="n">
        <v>1.6045</v>
      </c>
      <c r="J1880" s="4" t="str">
        <f aca="false">TRIM(E1880) &amp; TRIM(C1880) &amp; TRIM(D1880)</f>
        <v>First ReviewBoost CarouselPT</v>
      </c>
      <c r="K1880" s="4" t="n">
        <f aca="false">IFERROR(I1880*60,"")</f>
        <v>96.27</v>
      </c>
    </row>
    <row r="1881" customFormat="false" ht="15" hidden="false" customHeight="false" outlineLevel="0" collapsed="false">
      <c r="A1881" s="4" t="s">
        <v>15</v>
      </c>
      <c r="B1881" s="4" t="s">
        <v>1526</v>
      </c>
      <c r="C1881" s="4" t="s">
        <v>1535</v>
      </c>
      <c r="D1881" s="4" t="s">
        <v>104</v>
      </c>
      <c r="E1881" s="4" t="s">
        <v>66</v>
      </c>
      <c r="F1881" s="4" t="s">
        <v>67</v>
      </c>
      <c r="G1881" s="4" t="s">
        <v>1650</v>
      </c>
      <c r="H1881" s="4"/>
      <c r="I1881" s="4" t="n">
        <v>1.2422</v>
      </c>
      <c r="J1881" s="4" t="str">
        <f aca="false">TRIM(E1881) &amp; TRIM(C1881) &amp; TRIM(D1881)</f>
        <v>Posted RecallBoost VideoIE</v>
      </c>
      <c r="K1881" s="4" t="n">
        <f aca="false">IFERROR(I1881*60,"")</f>
        <v>74.532</v>
      </c>
    </row>
    <row r="1882" customFormat="false" ht="15" hidden="false" customHeight="false" outlineLevel="0" collapsed="false">
      <c r="A1882" s="4" t="s">
        <v>15</v>
      </c>
      <c r="B1882" s="4" t="s">
        <v>1526</v>
      </c>
      <c r="C1882" s="4" t="s">
        <v>1535</v>
      </c>
      <c r="D1882" s="4" t="s">
        <v>150</v>
      </c>
      <c r="E1882" s="4" t="s">
        <v>59</v>
      </c>
      <c r="F1882" s="4" t="s">
        <v>59</v>
      </c>
      <c r="G1882" s="4" t="s">
        <v>1651</v>
      </c>
      <c r="H1882" s="4"/>
      <c r="I1882" s="4" t="n">
        <v>1.7933</v>
      </c>
      <c r="J1882" s="4" t="str">
        <f aca="false">TRIM(E1882) &amp; TRIM(C1882) &amp; TRIM(D1882)</f>
        <v>Re-reviewBoost VideoDE</v>
      </c>
      <c r="K1882" s="4" t="n">
        <f aca="false">IFERROR(I1882*60,"")</f>
        <v>107.598</v>
      </c>
    </row>
    <row r="1883" customFormat="false" ht="15" hidden="false" customHeight="false" outlineLevel="0" collapsed="false">
      <c r="A1883" s="4" t="s">
        <v>15</v>
      </c>
      <c r="B1883" s="4" t="s">
        <v>1526</v>
      </c>
      <c r="C1883" s="4" t="s">
        <v>1527</v>
      </c>
      <c r="D1883" s="4" t="s">
        <v>310</v>
      </c>
      <c r="E1883" s="4" t="s">
        <v>63</v>
      </c>
      <c r="F1883" s="4" t="s">
        <v>63</v>
      </c>
      <c r="G1883" s="4" t="s">
        <v>1635</v>
      </c>
      <c r="H1883" s="4"/>
      <c r="I1883" s="4" t="n">
        <v>1.6163</v>
      </c>
      <c r="J1883" s="4" t="str">
        <f aca="false">TRIM(E1883) &amp; TRIM(C1883) &amp; TRIM(D1883)</f>
        <v>First ReviewBoost CarouselUY</v>
      </c>
      <c r="K1883" s="4" t="n">
        <f aca="false">IFERROR(I1883*60,"")</f>
        <v>96.978</v>
      </c>
    </row>
    <row r="1884" customFormat="false" ht="15" hidden="false" customHeight="false" outlineLevel="0" collapsed="false">
      <c r="A1884" s="4" t="s">
        <v>15</v>
      </c>
      <c r="B1884" s="4" t="s">
        <v>1526</v>
      </c>
      <c r="C1884" s="4" t="s">
        <v>1535</v>
      </c>
      <c r="D1884" s="4" t="s">
        <v>1652</v>
      </c>
      <c r="E1884" s="4" t="s">
        <v>63</v>
      </c>
      <c r="F1884" s="4" t="s">
        <v>63</v>
      </c>
      <c r="G1884" s="4" t="s">
        <v>1653</v>
      </c>
      <c r="H1884" s="4"/>
      <c r="I1884" s="4" t="n">
        <v>2.7697</v>
      </c>
      <c r="J1884" s="4" t="str">
        <f aca="false">TRIM(E1884) &amp; TRIM(C1884) &amp; TRIM(D1884)</f>
        <v>First ReviewBoost VideoML</v>
      </c>
      <c r="K1884" s="4" t="n">
        <f aca="false">IFERROR(I1884*60,"")</f>
        <v>166.182</v>
      </c>
    </row>
    <row r="1885" customFormat="false" ht="15" hidden="false" customHeight="false" outlineLevel="0" collapsed="false">
      <c r="A1885" s="4" t="s">
        <v>15</v>
      </c>
      <c r="B1885" s="4" t="s">
        <v>1526</v>
      </c>
      <c r="C1885" s="4" t="s">
        <v>1529</v>
      </c>
      <c r="D1885" s="4" t="s">
        <v>58</v>
      </c>
      <c r="E1885" s="4" t="s">
        <v>66</v>
      </c>
      <c r="F1885" s="4" t="s">
        <v>67</v>
      </c>
      <c r="G1885" s="4" t="s">
        <v>1654</v>
      </c>
      <c r="H1885" s="4"/>
      <c r="I1885" s="4" t="n">
        <v>1.223</v>
      </c>
      <c r="J1885" s="4" t="str">
        <f aca="false">TRIM(E1885) &amp; TRIM(C1885) &amp; TRIM(D1885)</f>
        <v>Posted RecallBoost LivestreamSG</v>
      </c>
      <c r="K1885" s="4" t="n">
        <f aca="false">IFERROR(I1885*60,"")</f>
        <v>73.38</v>
      </c>
    </row>
    <row r="1886" customFormat="false" ht="15" hidden="false" customHeight="false" outlineLevel="0" collapsed="false">
      <c r="A1886" s="4" t="s">
        <v>15</v>
      </c>
      <c r="B1886" s="4" t="s">
        <v>1526</v>
      </c>
      <c r="C1886" s="4" t="s">
        <v>1527</v>
      </c>
      <c r="D1886" s="4" t="s">
        <v>100</v>
      </c>
      <c r="E1886" s="4" t="s">
        <v>63</v>
      </c>
      <c r="F1886" s="4" t="s">
        <v>63</v>
      </c>
      <c r="G1886" s="4" t="s">
        <v>1639</v>
      </c>
      <c r="H1886" s="4"/>
      <c r="I1886" s="4" t="n">
        <v>0.9358</v>
      </c>
      <c r="J1886" s="4" t="str">
        <f aca="false">TRIM(E1886) &amp; TRIM(C1886) &amp; TRIM(D1886)</f>
        <v>First ReviewBoost CarouselAU</v>
      </c>
      <c r="K1886" s="4" t="n">
        <f aca="false">IFERROR(I1886*60,"")</f>
        <v>56.148</v>
      </c>
    </row>
    <row r="1887" customFormat="false" ht="15" hidden="false" customHeight="false" outlineLevel="0" collapsed="false">
      <c r="A1887" s="4" t="s">
        <v>15</v>
      </c>
      <c r="B1887" s="4" t="s">
        <v>1526</v>
      </c>
      <c r="C1887" s="4" t="s">
        <v>1529</v>
      </c>
      <c r="D1887" s="4" t="s">
        <v>284</v>
      </c>
      <c r="E1887" s="4" t="s">
        <v>66</v>
      </c>
      <c r="F1887" s="4" t="s">
        <v>67</v>
      </c>
      <c r="G1887" s="4" t="s">
        <v>1655</v>
      </c>
      <c r="H1887" s="4"/>
      <c r="I1887" s="4" t="n">
        <v>1.7113</v>
      </c>
      <c r="J1887" s="4" t="str">
        <f aca="false">TRIM(E1887) &amp; TRIM(C1887) &amp; TRIM(D1887)</f>
        <v>Posted RecallBoost LivestreamTR</v>
      </c>
      <c r="K1887" s="4" t="n">
        <f aca="false">IFERROR(I1887*60,"")</f>
        <v>102.678</v>
      </c>
    </row>
    <row r="1888" customFormat="false" ht="15" hidden="false" customHeight="false" outlineLevel="0" collapsed="false">
      <c r="A1888" s="4" t="s">
        <v>15</v>
      </c>
      <c r="B1888" s="4" t="s">
        <v>1526</v>
      </c>
      <c r="C1888" s="4" t="s">
        <v>1535</v>
      </c>
      <c r="D1888" s="4" t="s">
        <v>1622</v>
      </c>
      <c r="E1888" s="4" t="s">
        <v>63</v>
      </c>
      <c r="F1888" s="4" t="s">
        <v>63</v>
      </c>
      <c r="G1888" s="4" t="s">
        <v>1656</v>
      </c>
      <c r="H1888" s="4"/>
      <c r="I1888" s="4" t="n">
        <v>3.9268</v>
      </c>
      <c r="J1888" s="4" t="str">
        <f aca="false">TRIM(E1888) &amp; TRIM(C1888) &amp; TRIM(D1888)</f>
        <v>First ReviewBoost VideoTZ</v>
      </c>
      <c r="K1888" s="4" t="n">
        <f aca="false">IFERROR(I1888*60,"")</f>
        <v>235.608</v>
      </c>
    </row>
    <row r="1889" customFormat="false" ht="15" hidden="false" customHeight="false" outlineLevel="0" collapsed="false">
      <c r="A1889" s="4" t="s">
        <v>15</v>
      </c>
      <c r="B1889" s="4" t="s">
        <v>1526</v>
      </c>
      <c r="C1889" s="4" t="s">
        <v>1527</v>
      </c>
      <c r="D1889" s="4" t="s">
        <v>130</v>
      </c>
      <c r="E1889" s="4" t="s">
        <v>63</v>
      </c>
      <c r="F1889" s="4" t="s">
        <v>63</v>
      </c>
      <c r="G1889" s="4" t="s">
        <v>1613</v>
      </c>
      <c r="H1889" s="4"/>
      <c r="I1889" s="4" t="n">
        <v>0.8499</v>
      </c>
      <c r="J1889" s="4" t="str">
        <f aca="false">TRIM(E1889) &amp; TRIM(C1889) &amp; TRIM(D1889)</f>
        <v>First ReviewBoost CarouselMA</v>
      </c>
      <c r="K1889" s="4" t="n">
        <f aca="false">IFERROR(I1889*60,"")</f>
        <v>50.994</v>
      </c>
    </row>
    <row r="1890" customFormat="false" ht="15" hidden="false" customHeight="false" outlineLevel="0" collapsed="false">
      <c r="A1890" s="4" t="s">
        <v>15</v>
      </c>
      <c r="B1890" s="4" t="s">
        <v>1526</v>
      </c>
      <c r="C1890" s="4" t="s">
        <v>1527</v>
      </c>
      <c r="D1890" s="4" t="s">
        <v>70</v>
      </c>
      <c r="E1890" s="4" t="s">
        <v>66</v>
      </c>
      <c r="F1890" s="4" t="s">
        <v>67</v>
      </c>
      <c r="G1890" s="4" t="s">
        <v>1583</v>
      </c>
      <c r="H1890" s="4"/>
      <c r="I1890" s="4" t="n">
        <v>1.4435</v>
      </c>
      <c r="J1890" s="4" t="str">
        <f aca="false">TRIM(E1890) &amp; TRIM(C1890) &amp; TRIM(D1890)</f>
        <v>Posted RecallBoost CarouselBE</v>
      </c>
      <c r="K1890" s="4" t="n">
        <f aca="false">IFERROR(I1890*60,"")</f>
        <v>86.61</v>
      </c>
    </row>
    <row r="1891" customFormat="false" ht="15" hidden="false" customHeight="false" outlineLevel="0" collapsed="false">
      <c r="A1891" s="4" t="s">
        <v>15</v>
      </c>
      <c r="B1891" s="4" t="s">
        <v>1526</v>
      </c>
      <c r="C1891" s="4" t="s">
        <v>1535</v>
      </c>
      <c r="D1891" s="4" t="s">
        <v>85</v>
      </c>
      <c r="E1891" s="4" t="s">
        <v>63</v>
      </c>
      <c r="F1891" s="4" t="s">
        <v>63</v>
      </c>
      <c r="G1891" s="4" t="s">
        <v>1657</v>
      </c>
      <c r="H1891" s="4"/>
      <c r="I1891" s="4" t="n">
        <v>1.4268</v>
      </c>
      <c r="J1891" s="4" t="str">
        <f aca="false">TRIM(E1891) &amp; TRIM(C1891) &amp; TRIM(D1891)</f>
        <v>First ReviewBoost VideoEC</v>
      </c>
      <c r="K1891" s="4" t="n">
        <f aca="false">IFERROR(I1891*60,"")</f>
        <v>85.608</v>
      </c>
    </row>
    <row r="1892" customFormat="false" ht="15" hidden="false" customHeight="false" outlineLevel="0" collapsed="false">
      <c r="A1892" s="4" t="s">
        <v>15</v>
      </c>
      <c r="B1892" s="4" t="s">
        <v>1526</v>
      </c>
      <c r="C1892" s="4" t="s">
        <v>1527</v>
      </c>
      <c r="D1892" s="4" t="s">
        <v>284</v>
      </c>
      <c r="E1892" s="4" t="s">
        <v>63</v>
      </c>
      <c r="F1892" s="4" t="s">
        <v>63</v>
      </c>
      <c r="G1892" s="4" t="s">
        <v>1658</v>
      </c>
      <c r="H1892" s="4"/>
      <c r="I1892" s="4" t="n">
        <v>1.3896</v>
      </c>
      <c r="J1892" s="4" t="str">
        <f aca="false">TRIM(E1892) &amp; TRIM(C1892) &amp; TRIM(D1892)</f>
        <v>First ReviewBoost CarouselTR</v>
      </c>
      <c r="K1892" s="4" t="n">
        <f aca="false">IFERROR(I1892*60,"")</f>
        <v>83.376</v>
      </c>
    </row>
    <row r="1893" customFormat="false" ht="15" hidden="false" customHeight="false" outlineLevel="0" collapsed="false">
      <c r="A1893" s="4" t="s">
        <v>15</v>
      </c>
      <c r="B1893" s="4" t="s">
        <v>1526</v>
      </c>
      <c r="C1893" s="4" t="s">
        <v>1535</v>
      </c>
      <c r="D1893" s="4" t="s">
        <v>97</v>
      </c>
      <c r="E1893" s="4" t="s">
        <v>66</v>
      </c>
      <c r="F1893" s="4" t="s">
        <v>67</v>
      </c>
      <c r="G1893" s="4" t="s">
        <v>1659</v>
      </c>
      <c r="H1893" s="4"/>
      <c r="I1893" s="4" t="n">
        <v>0.9541</v>
      </c>
      <c r="J1893" s="4" t="str">
        <f aca="false">TRIM(E1893) &amp; TRIM(C1893) &amp; TRIM(D1893)</f>
        <v>Posted RecallBoost VideoBR</v>
      </c>
      <c r="K1893" s="4" t="n">
        <f aca="false">IFERROR(I1893*60,"")</f>
        <v>57.246</v>
      </c>
    </row>
    <row r="1894" customFormat="false" ht="15" hidden="false" customHeight="false" outlineLevel="0" collapsed="false">
      <c r="A1894" s="4" t="s">
        <v>15</v>
      </c>
      <c r="B1894" s="4" t="s">
        <v>1526</v>
      </c>
      <c r="C1894" s="4" t="s">
        <v>1527</v>
      </c>
      <c r="D1894" s="4" t="s">
        <v>62</v>
      </c>
      <c r="E1894" s="4" t="s">
        <v>66</v>
      </c>
      <c r="F1894" s="4" t="s">
        <v>67</v>
      </c>
      <c r="G1894" s="4" t="s">
        <v>1660</v>
      </c>
      <c r="H1894" s="4"/>
      <c r="I1894" s="4" t="n">
        <v>1.181</v>
      </c>
      <c r="J1894" s="4" t="str">
        <f aca="false">TRIM(E1894) &amp; TRIM(C1894) &amp; TRIM(D1894)</f>
        <v>Posted RecallBoost CarouselCL</v>
      </c>
      <c r="K1894" s="4" t="n">
        <f aca="false">IFERROR(I1894*60,"")</f>
        <v>70.86</v>
      </c>
    </row>
    <row r="1895" customFormat="false" ht="15" hidden="false" customHeight="false" outlineLevel="0" collapsed="false">
      <c r="A1895" s="4" t="s">
        <v>15</v>
      </c>
      <c r="B1895" s="4" t="s">
        <v>1526</v>
      </c>
      <c r="C1895" s="4" t="s">
        <v>1527</v>
      </c>
      <c r="D1895" s="4" t="s">
        <v>1661</v>
      </c>
      <c r="E1895" s="4" t="s">
        <v>63</v>
      </c>
      <c r="F1895" s="4" t="s">
        <v>63</v>
      </c>
      <c r="G1895" s="4" t="s">
        <v>1662</v>
      </c>
      <c r="H1895" s="4"/>
      <c r="I1895" s="4" t="n">
        <v>0.5279</v>
      </c>
      <c r="J1895" s="4" t="str">
        <f aca="false">TRIM(E1895) &amp; TRIM(C1895) &amp; TRIM(D1895)</f>
        <v>First ReviewBoost CarouselAM</v>
      </c>
      <c r="K1895" s="4" t="n">
        <f aca="false">IFERROR(I1895*60,"")</f>
        <v>31.674</v>
      </c>
    </row>
    <row r="1896" customFormat="false" ht="15" hidden="false" customHeight="false" outlineLevel="0" collapsed="false">
      <c r="A1896" s="4" t="s">
        <v>15</v>
      </c>
      <c r="B1896" s="4" t="s">
        <v>1526</v>
      </c>
      <c r="C1896" s="4" t="s">
        <v>1529</v>
      </c>
      <c r="D1896" s="4" t="s">
        <v>357</v>
      </c>
      <c r="E1896" s="4" t="s">
        <v>66</v>
      </c>
      <c r="F1896" s="4" t="s">
        <v>67</v>
      </c>
      <c r="G1896" s="4" t="s">
        <v>1663</v>
      </c>
      <c r="H1896" s="4"/>
      <c r="I1896" s="4" t="n">
        <v>2.248</v>
      </c>
      <c r="J1896" s="4" t="str">
        <f aca="false">TRIM(E1896) &amp; TRIM(C1896) &amp; TRIM(D1896)</f>
        <v>Posted RecallBoost LivestreamHU</v>
      </c>
      <c r="K1896" s="4" t="n">
        <f aca="false">IFERROR(I1896*60,"")</f>
        <v>134.88</v>
      </c>
    </row>
    <row r="1897" customFormat="false" ht="15" hidden="false" customHeight="false" outlineLevel="0" collapsed="false">
      <c r="A1897" s="4" t="s">
        <v>15</v>
      </c>
      <c r="B1897" s="4" t="s">
        <v>1526</v>
      </c>
      <c r="C1897" s="4" t="s">
        <v>1535</v>
      </c>
      <c r="D1897" s="4" t="s">
        <v>243</v>
      </c>
      <c r="E1897" s="4" t="s">
        <v>63</v>
      </c>
      <c r="F1897" s="4" t="s">
        <v>63</v>
      </c>
      <c r="G1897" s="4" t="s">
        <v>1664</v>
      </c>
      <c r="H1897" s="4"/>
      <c r="I1897" s="4" t="n">
        <v>1.5023</v>
      </c>
      <c r="J1897" s="4" t="str">
        <f aca="false">TRIM(E1897) &amp; TRIM(C1897) &amp; TRIM(D1897)</f>
        <v>First ReviewBoost VideoBY</v>
      </c>
      <c r="K1897" s="4" t="n">
        <f aca="false">IFERROR(I1897*60,"")</f>
        <v>90.138</v>
      </c>
    </row>
    <row r="1898" customFormat="false" ht="15" hidden="false" customHeight="false" outlineLevel="0" collapsed="false">
      <c r="A1898" s="4" t="s">
        <v>15</v>
      </c>
      <c r="B1898" s="4" t="s">
        <v>1526</v>
      </c>
      <c r="C1898" s="4" t="s">
        <v>1527</v>
      </c>
      <c r="D1898" s="4" t="s">
        <v>1593</v>
      </c>
      <c r="E1898" s="4" t="s">
        <v>63</v>
      </c>
      <c r="F1898" s="4" t="s">
        <v>63</v>
      </c>
      <c r="G1898" s="4" t="s">
        <v>1619</v>
      </c>
      <c r="H1898" s="4"/>
      <c r="I1898" s="4" t="n">
        <v>1.7447</v>
      </c>
      <c r="J1898" s="4" t="str">
        <f aca="false">TRIM(E1898) &amp; TRIM(C1898) &amp; TRIM(D1898)</f>
        <v>First ReviewBoost CarouselBN</v>
      </c>
      <c r="K1898" s="4" t="n">
        <f aca="false">IFERROR(I1898*60,"")</f>
        <v>104.682</v>
      </c>
    </row>
    <row r="1899" customFormat="false" ht="15" hidden="false" customHeight="false" outlineLevel="0" collapsed="false">
      <c r="A1899" s="4" t="s">
        <v>15</v>
      </c>
      <c r="B1899" s="4" t="s">
        <v>1526</v>
      </c>
      <c r="C1899" s="4" t="s">
        <v>1535</v>
      </c>
      <c r="D1899" s="4" t="s">
        <v>221</v>
      </c>
      <c r="E1899" s="4" t="s">
        <v>66</v>
      </c>
      <c r="F1899" s="4" t="s">
        <v>67</v>
      </c>
      <c r="G1899" s="4" t="s">
        <v>1665</v>
      </c>
      <c r="H1899" s="4"/>
      <c r="I1899" s="4" t="n">
        <v>1.3079</v>
      </c>
      <c r="J1899" s="4" t="str">
        <f aca="false">TRIM(E1899) &amp; TRIM(C1899) &amp; TRIM(D1899)</f>
        <v>Posted RecallBoost VideoOM</v>
      </c>
      <c r="K1899" s="4" t="n">
        <f aca="false">IFERROR(I1899*60,"")</f>
        <v>78.474</v>
      </c>
    </row>
    <row r="1900" customFormat="false" ht="15" hidden="false" customHeight="false" outlineLevel="0" collapsed="false">
      <c r="A1900" s="4" t="s">
        <v>15</v>
      </c>
      <c r="B1900" s="4" t="s">
        <v>1526</v>
      </c>
      <c r="C1900" s="4" t="s">
        <v>1527</v>
      </c>
      <c r="D1900" s="4" t="s">
        <v>357</v>
      </c>
      <c r="E1900" s="4" t="s">
        <v>66</v>
      </c>
      <c r="F1900" s="4" t="s">
        <v>67</v>
      </c>
      <c r="G1900" s="4" t="s">
        <v>1666</v>
      </c>
      <c r="H1900" s="4"/>
      <c r="I1900" s="4" t="n">
        <v>2.1255</v>
      </c>
      <c r="J1900" s="4" t="str">
        <f aca="false">TRIM(E1900) &amp; TRIM(C1900) &amp; TRIM(D1900)</f>
        <v>Posted RecallBoost CarouselHU</v>
      </c>
      <c r="K1900" s="4" t="n">
        <f aca="false">IFERROR(I1900*60,"")</f>
        <v>127.53</v>
      </c>
    </row>
    <row r="1901" customFormat="false" ht="15" hidden="false" customHeight="false" outlineLevel="0" collapsed="false">
      <c r="A1901" s="4" t="s">
        <v>15</v>
      </c>
      <c r="B1901" s="4" t="s">
        <v>1526</v>
      </c>
      <c r="C1901" s="4" t="s">
        <v>1535</v>
      </c>
      <c r="D1901" s="4" t="s">
        <v>152</v>
      </c>
      <c r="E1901" s="4" t="s">
        <v>63</v>
      </c>
      <c r="F1901" s="4" t="s">
        <v>63</v>
      </c>
      <c r="G1901" s="4" t="s">
        <v>1667</v>
      </c>
      <c r="H1901" s="4"/>
      <c r="I1901" s="4" t="n">
        <v>0.7666</v>
      </c>
      <c r="J1901" s="4" t="str">
        <f aca="false">TRIM(E1901) &amp; TRIM(C1901) &amp; TRIM(D1901)</f>
        <v>First ReviewBoost VideoCY</v>
      </c>
      <c r="K1901" s="4" t="n">
        <f aca="false">IFERROR(I1901*60,"")</f>
        <v>45.996</v>
      </c>
    </row>
    <row r="1902" customFormat="false" ht="15" hidden="false" customHeight="false" outlineLevel="0" collapsed="false">
      <c r="A1902" s="4" t="s">
        <v>15</v>
      </c>
      <c r="B1902" s="4" t="s">
        <v>1526</v>
      </c>
      <c r="C1902" s="4" t="s">
        <v>1529</v>
      </c>
      <c r="D1902" s="4" t="s">
        <v>195</v>
      </c>
      <c r="E1902" s="4" t="s">
        <v>63</v>
      </c>
      <c r="F1902" s="4" t="s">
        <v>63</v>
      </c>
      <c r="G1902" s="4" t="s">
        <v>1668</v>
      </c>
      <c r="H1902" s="4"/>
      <c r="I1902" s="4" t="n">
        <v>4.5602</v>
      </c>
      <c r="J1902" s="4" t="str">
        <f aca="false">TRIM(E1902) &amp; TRIM(C1902) &amp; TRIM(D1902)</f>
        <v>First ReviewBoost LivestreamIT</v>
      </c>
      <c r="K1902" s="4" t="n">
        <f aca="false">IFERROR(I1902*60,"")</f>
        <v>273.612</v>
      </c>
    </row>
    <row r="1903" customFormat="false" ht="15" hidden="false" customHeight="false" outlineLevel="0" collapsed="false">
      <c r="A1903" s="4" t="s">
        <v>15</v>
      </c>
      <c r="B1903" s="4" t="s">
        <v>1526</v>
      </c>
      <c r="C1903" s="4" t="s">
        <v>1527</v>
      </c>
      <c r="D1903" s="4" t="s">
        <v>238</v>
      </c>
      <c r="E1903" s="4" t="s">
        <v>66</v>
      </c>
      <c r="F1903" s="4" t="s">
        <v>67</v>
      </c>
      <c r="G1903" s="4" t="s">
        <v>1669</v>
      </c>
      <c r="H1903" s="4"/>
      <c r="I1903" s="4" t="n">
        <v>1.9072</v>
      </c>
      <c r="J1903" s="4" t="str">
        <f aca="false">TRIM(E1903) &amp; TRIM(C1903) &amp; TRIM(D1903)</f>
        <v>Posted RecallBoost CarouselCH</v>
      </c>
      <c r="K1903" s="4" t="n">
        <f aca="false">IFERROR(I1903*60,"")</f>
        <v>114.432</v>
      </c>
    </row>
    <row r="1904" customFormat="false" ht="15" hidden="false" customHeight="false" outlineLevel="0" collapsed="false">
      <c r="A1904" s="4" t="s">
        <v>15</v>
      </c>
      <c r="B1904" s="4" t="s">
        <v>1526</v>
      </c>
      <c r="C1904" s="4" t="s">
        <v>1535</v>
      </c>
      <c r="D1904" s="4" t="s">
        <v>289</v>
      </c>
      <c r="E1904" s="4" t="s">
        <v>63</v>
      </c>
      <c r="F1904" s="4" t="s">
        <v>63</v>
      </c>
      <c r="G1904" s="4" t="s">
        <v>1670</v>
      </c>
      <c r="H1904" s="4"/>
      <c r="I1904" s="4" t="n">
        <v>2.3848</v>
      </c>
      <c r="J1904" s="4" t="str">
        <f aca="false">TRIM(E1904) &amp; TRIM(C1904) &amp; TRIM(D1904)</f>
        <v>First ReviewBoost VideoLK</v>
      </c>
      <c r="K1904" s="4" t="n">
        <f aca="false">IFERROR(I1904*60,"")</f>
        <v>143.088</v>
      </c>
    </row>
    <row r="1905" customFormat="false" ht="15" hidden="false" customHeight="false" outlineLevel="0" collapsed="false">
      <c r="A1905" s="4" t="s">
        <v>15</v>
      </c>
      <c r="B1905" s="4" t="s">
        <v>1526</v>
      </c>
      <c r="C1905" s="4" t="s">
        <v>1527</v>
      </c>
      <c r="D1905" s="4" t="s">
        <v>284</v>
      </c>
      <c r="E1905" s="4" t="s">
        <v>66</v>
      </c>
      <c r="F1905" s="4" t="s">
        <v>67</v>
      </c>
      <c r="G1905" s="4" t="s">
        <v>1658</v>
      </c>
      <c r="H1905" s="4"/>
      <c r="I1905" s="4" t="n">
        <v>0.6623</v>
      </c>
      <c r="J1905" s="4" t="str">
        <f aca="false">TRIM(E1905) &amp; TRIM(C1905) &amp; TRIM(D1905)</f>
        <v>Posted RecallBoost CarouselTR</v>
      </c>
      <c r="K1905" s="4" t="n">
        <f aca="false">IFERROR(I1905*60,"")</f>
        <v>39.738</v>
      </c>
    </row>
    <row r="1906" customFormat="false" ht="15" hidden="false" customHeight="false" outlineLevel="0" collapsed="false">
      <c r="A1906" s="4" t="s">
        <v>15</v>
      </c>
      <c r="B1906" s="4" t="s">
        <v>1526</v>
      </c>
      <c r="C1906" s="4" t="s">
        <v>1529</v>
      </c>
      <c r="D1906" s="4" t="s">
        <v>70</v>
      </c>
      <c r="E1906" s="4" t="s">
        <v>63</v>
      </c>
      <c r="F1906" s="4" t="s">
        <v>63</v>
      </c>
      <c r="G1906" s="4" t="s">
        <v>1671</v>
      </c>
      <c r="H1906" s="4"/>
      <c r="I1906" s="4" t="n">
        <v>0.8572</v>
      </c>
      <c r="J1906" s="4" t="str">
        <f aca="false">TRIM(E1906) &amp; TRIM(C1906) &amp; TRIM(D1906)</f>
        <v>First ReviewBoost LivestreamBE</v>
      </c>
      <c r="K1906" s="4" t="n">
        <f aca="false">IFERROR(I1906*60,"")</f>
        <v>51.432</v>
      </c>
    </row>
    <row r="1907" customFormat="false" ht="15" hidden="false" customHeight="false" outlineLevel="0" collapsed="false">
      <c r="A1907" s="4" t="s">
        <v>15</v>
      </c>
      <c r="B1907" s="4" t="s">
        <v>1526</v>
      </c>
      <c r="C1907" s="4" t="s">
        <v>1527</v>
      </c>
      <c r="D1907" s="4" t="s">
        <v>203</v>
      </c>
      <c r="E1907" s="4" t="s">
        <v>63</v>
      </c>
      <c r="F1907" s="4" t="s">
        <v>63</v>
      </c>
      <c r="G1907" s="4" t="s">
        <v>1672</v>
      </c>
      <c r="H1907" s="4"/>
      <c r="I1907" s="4" t="n">
        <v>1.7026</v>
      </c>
      <c r="J1907" s="4" t="str">
        <f aca="false">TRIM(E1907) &amp; TRIM(C1907) &amp; TRIM(D1907)</f>
        <v>First ReviewBoost CarouselCA</v>
      </c>
      <c r="K1907" s="4" t="n">
        <f aca="false">IFERROR(I1907*60,"")</f>
        <v>102.156</v>
      </c>
    </row>
    <row r="1908" customFormat="false" ht="15" hidden="false" customHeight="false" outlineLevel="0" collapsed="false">
      <c r="A1908" s="4" t="s">
        <v>15</v>
      </c>
      <c r="B1908" s="4" t="s">
        <v>1526</v>
      </c>
      <c r="C1908" s="4" t="s">
        <v>1529</v>
      </c>
      <c r="D1908" s="4" t="s">
        <v>357</v>
      </c>
      <c r="E1908" s="4" t="s">
        <v>63</v>
      </c>
      <c r="F1908" s="4" t="s">
        <v>63</v>
      </c>
      <c r="G1908" s="4" t="s">
        <v>1663</v>
      </c>
      <c r="H1908" s="4"/>
      <c r="I1908" s="4" t="n">
        <v>2.0945</v>
      </c>
      <c r="J1908" s="4" t="str">
        <f aca="false">TRIM(E1908) &amp; TRIM(C1908) &amp; TRIM(D1908)</f>
        <v>First ReviewBoost LivestreamHU</v>
      </c>
      <c r="K1908" s="4" t="n">
        <f aca="false">IFERROR(I1908*60,"")</f>
        <v>125.67</v>
      </c>
    </row>
    <row r="1909" customFormat="false" ht="15" hidden="false" customHeight="false" outlineLevel="0" collapsed="false">
      <c r="A1909" s="4" t="s">
        <v>15</v>
      </c>
      <c r="B1909" s="4" t="s">
        <v>1526</v>
      </c>
      <c r="C1909" s="4" t="s">
        <v>1535</v>
      </c>
      <c r="D1909" s="4" t="s">
        <v>1673</v>
      </c>
      <c r="E1909" s="4" t="s">
        <v>66</v>
      </c>
      <c r="F1909" s="4" t="s">
        <v>67</v>
      </c>
      <c r="G1909" s="4" t="s">
        <v>1674</v>
      </c>
      <c r="H1909" s="4"/>
      <c r="I1909" s="4" t="n">
        <v>2.7081</v>
      </c>
      <c r="J1909" s="4" t="str">
        <f aca="false">TRIM(E1909) &amp; TRIM(C1909) &amp; TRIM(D1909)</f>
        <v>Posted RecallBoost VideoAL</v>
      </c>
      <c r="K1909" s="4" t="n">
        <f aca="false">IFERROR(I1909*60,"")</f>
        <v>162.486</v>
      </c>
    </row>
    <row r="1910" customFormat="false" ht="15" hidden="false" customHeight="false" outlineLevel="0" collapsed="false">
      <c r="A1910" s="4" t="s">
        <v>15</v>
      </c>
      <c r="B1910" s="4" t="s">
        <v>1526</v>
      </c>
      <c r="C1910" s="4" t="s">
        <v>1535</v>
      </c>
      <c r="D1910" s="4" t="s">
        <v>362</v>
      </c>
      <c r="E1910" s="4" t="s">
        <v>66</v>
      </c>
      <c r="F1910" s="4" t="s">
        <v>67</v>
      </c>
      <c r="G1910" s="4" t="s">
        <v>1675</v>
      </c>
      <c r="H1910" s="4"/>
      <c r="I1910" s="4" t="n">
        <v>1.2861</v>
      </c>
      <c r="J1910" s="4" t="str">
        <f aca="false">TRIM(E1910) &amp; TRIM(C1910) &amp; TRIM(D1910)</f>
        <v>Posted RecallBoost VideoPA</v>
      </c>
      <c r="K1910" s="4" t="n">
        <f aca="false">IFERROR(I1910*60,"")</f>
        <v>77.166</v>
      </c>
    </row>
    <row r="1911" customFormat="false" ht="15" hidden="false" customHeight="false" outlineLevel="0" collapsed="false">
      <c r="A1911" s="4" t="s">
        <v>15</v>
      </c>
      <c r="B1911" s="4" t="s">
        <v>1526</v>
      </c>
      <c r="C1911" s="4" t="s">
        <v>1529</v>
      </c>
      <c r="D1911" s="4" t="s">
        <v>79</v>
      </c>
      <c r="E1911" s="4" t="s">
        <v>66</v>
      </c>
      <c r="F1911" s="4" t="s">
        <v>67</v>
      </c>
      <c r="G1911" s="4" t="s">
        <v>1676</v>
      </c>
      <c r="H1911" s="4"/>
      <c r="I1911" s="4" t="n">
        <v>1.8364</v>
      </c>
      <c r="J1911" s="4" t="str">
        <f aca="false">TRIM(E1911) &amp; TRIM(C1911) &amp; TRIM(D1911)</f>
        <v>Posted RecallBoost LivestreamZA</v>
      </c>
      <c r="K1911" s="4" t="n">
        <f aca="false">IFERROR(I1911*60,"")</f>
        <v>110.184</v>
      </c>
    </row>
    <row r="1912" customFormat="false" ht="15" hidden="false" customHeight="false" outlineLevel="0" collapsed="false">
      <c r="A1912" s="4" t="s">
        <v>15</v>
      </c>
      <c r="B1912" s="4" t="s">
        <v>1526</v>
      </c>
      <c r="C1912" s="4" t="s">
        <v>1535</v>
      </c>
      <c r="D1912" s="4" t="s">
        <v>265</v>
      </c>
      <c r="E1912" s="4" t="s">
        <v>59</v>
      </c>
      <c r="F1912" s="4" t="s">
        <v>59</v>
      </c>
      <c r="G1912" s="4" t="s">
        <v>1646</v>
      </c>
      <c r="H1912" s="4"/>
      <c r="I1912" s="4" t="n">
        <v>1.6523</v>
      </c>
      <c r="J1912" s="4" t="str">
        <f aca="false">TRIM(E1912) &amp; TRIM(C1912) &amp; TRIM(D1912)</f>
        <v>Re-reviewBoost VideoNO</v>
      </c>
      <c r="K1912" s="4" t="n">
        <f aca="false">IFERROR(I1912*60,"")</f>
        <v>99.138</v>
      </c>
    </row>
    <row r="1913" customFormat="false" ht="15" hidden="false" customHeight="false" outlineLevel="0" collapsed="false">
      <c r="A1913" s="4" t="s">
        <v>15</v>
      </c>
      <c r="B1913" s="4" t="s">
        <v>1526</v>
      </c>
      <c r="C1913" s="4" t="s">
        <v>1529</v>
      </c>
      <c r="D1913" s="4" t="s">
        <v>308</v>
      </c>
      <c r="E1913" s="4" t="s">
        <v>63</v>
      </c>
      <c r="F1913" s="4" t="s">
        <v>63</v>
      </c>
      <c r="G1913" s="4" t="s">
        <v>1562</v>
      </c>
      <c r="H1913" s="4"/>
      <c r="I1913" s="4" t="n">
        <v>5.0455</v>
      </c>
      <c r="J1913" s="4" t="str">
        <f aca="false">TRIM(E1913) &amp; TRIM(C1913) &amp; TRIM(D1913)</f>
        <v>First ReviewBoost LivestreamPL</v>
      </c>
      <c r="K1913" s="4" t="n">
        <f aca="false">IFERROR(I1913*60,"")</f>
        <v>302.73</v>
      </c>
    </row>
    <row r="1914" customFormat="false" ht="15" hidden="false" customHeight="false" outlineLevel="0" collapsed="false">
      <c r="A1914" s="4" t="s">
        <v>15</v>
      </c>
      <c r="B1914" s="4" t="s">
        <v>1526</v>
      </c>
      <c r="C1914" s="4" t="s">
        <v>1535</v>
      </c>
      <c r="D1914" s="4" t="s">
        <v>124</v>
      </c>
      <c r="E1914" s="4" t="s">
        <v>59</v>
      </c>
      <c r="F1914" s="4" t="s">
        <v>59</v>
      </c>
      <c r="G1914" s="4" t="s">
        <v>1677</v>
      </c>
      <c r="H1914" s="4"/>
      <c r="I1914" s="4" t="n">
        <v>2.2113</v>
      </c>
      <c r="J1914" s="4" t="str">
        <f aca="false">TRIM(E1914) &amp; TRIM(C1914) &amp; TRIM(D1914)</f>
        <v>Re-reviewBoost VideoPT</v>
      </c>
      <c r="K1914" s="4" t="n">
        <f aca="false">IFERROR(I1914*60,"")</f>
        <v>132.678</v>
      </c>
    </row>
    <row r="1915" customFormat="false" ht="15" hidden="false" customHeight="false" outlineLevel="0" collapsed="false">
      <c r="A1915" s="4" t="s">
        <v>15</v>
      </c>
      <c r="B1915" s="4" t="s">
        <v>1526</v>
      </c>
      <c r="C1915" s="4" t="s">
        <v>1535</v>
      </c>
      <c r="D1915" s="4" t="s">
        <v>192</v>
      </c>
      <c r="E1915" s="4" t="s">
        <v>63</v>
      </c>
      <c r="F1915" s="4" t="s">
        <v>63</v>
      </c>
      <c r="G1915" s="4" t="s">
        <v>1678</v>
      </c>
      <c r="H1915" s="4"/>
      <c r="I1915" s="4" t="n">
        <v>1.7545</v>
      </c>
      <c r="J1915" s="4" t="str">
        <f aca="false">TRIM(E1915) &amp; TRIM(C1915) &amp; TRIM(D1915)</f>
        <v>First ReviewBoost VideoGT</v>
      </c>
      <c r="K1915" s="4" t="n">
        <f aca="false">IFERROR(I1915*60,"")</f>
        <v>105.27</v>
      </c>
    </row>
    <row r="1916" customFormat="false" ht="15" hidden="false" customHeight="false" outlineLevel="0" collapsed="false">
      <c r="A1916" s="4" t="s">
        <v>15</v>
      </c>
      <c r="B1916" s="4" t="s">
        <v>1526</v>
      </c>
      <c r="C1916" s="4" t="s">
        <v>1535</v>
      </c>
      <c r="D1916" s="4" t="s">
        <v>319</v>
      </c>
      <c r="E1916" s="4" t="s">
        <v>66</v>
      </c>
      <c r="F1916" s="4" t="s">
        <v>67</v>
      </c>
      <c r="G1916" s="4" t="s">
        <v>1679</v>
      </c>
      <c r="H1916" s="4"/>
      <c r="I1916" s="4" t="n">
        <v>1.5464</v>
      </c>
      <c r="J1916" s="4" t="str">
        <f aca="false">TRIM(E1916) &amp; TRIM(C1916) &amp; TRIM(D1916)</f>
        <v>Posted RecallBoost VideoSK</v>
      </c>
      <c r="K1916" s="4" t="n">
        <f aca="false">IFERROR(I1916*60,"")</f>
        <v>92.784</v>
      </c>
    </row>
    <row r="1917" customFormat="false" ht="15" hidden="false" customHeight="false" outlineLevel="0" collapsed="false">
      <c r="A1917" s="4" t="s">
        <v>15</v>
      </c>
      <c r="B1917" s="4" t="s">
        <v>1526</v>
      </c>
      <c r="C1917" s="4" t="s">
        <v>1527</v>
      </c>
      <c r="D1917" s="4" t="s">
        <v>246</v>
      </c>
      <c r="E1917" s="4" t="s">
        <v>63</v>
      </c>
      <c r="F1917" s="4" t="s">
        <v>63</v>
      </c>
      <c r="G1917" s="4" t="s">
        <v>1680</v>
      </c>
      <c r="H1917" s="4"/>
      <c r="I1917" s="4" t="n">
        <v>2.288</v>
      </c>
      <c r="J1917" s="4" t="str">
        <f aca="false">TRIM(E1917) &amp; TRIM(C1917) &amp; TRIM(D1917)</f>
        <v>First ReviewBoost CarouselLV</v>
      </c>
      <c r="K1917" s="4" t="n">
        <f aca="false">IFERROR(I1917*60,"")</f>
        <v>137.28</v>
      </c>
    </row>
    <row r="1918" customFormat="false" ht="15" hidden="false" customHeight="false" outlineLevel="0" collapsed="false">
      <c r="A1918" s="4" t="s">
        <v>15</v>
      </c>
      <c r="B1918" s="4" t="s">
        <v>1526</v>
      </c>
      <c r="C1918" s="4" t="s">
        <v>1529</v>
      </c>
      <c r="D1918" s="4" t="s">
        <v>306</v>
      </c>
      <c r="E1918" s="4" t="s">
        <v>66</v>
      </c>
      <c r="F1918" s="4" t="s">
        <v>67</v>
      </c>
      <c r="G1918" s="4" t="s">
        <v>1681</v>
      </c>
      <c r="H1918" s="4"/>
      <c r="I1918" s="4" t="n">
        <v>1.1908</v>
      </c>
      <c r="J1918" s="4" t="str">
        <f aca="false">TRIM(E1918) &amp; TRIM(C1918) &amp; TRIM(D1918)</f>
        <v>Posted RecallBoost LivestreamTH</v>
      </c>
      <c r="K1918" s="4" t="n">
        <f aca="false">IFERROR(I1918*60,"")</f>
        <v>71.448</v>
      </c>
    </row>
    <row r="1919" customFormat="false" ht="15" hidden="false" customHeight="false" outlineLevel="0" collapsed="false">
      <c r="A1919" s="4" t="s">
        <v>15</v>
      </c>
      <c r="B1919" s="4" t="s">
        <v>1526</v>
      </c>
      <c r="C1919" s="4" t="s">
        <v>1535</v>
      </c>
      <c r="D1919" s="4" t="s">
        <v>111</v>
      </c>
      <c r="E1919" s="4" t="s">
        <v>63</v>
      </c>
      <c r="F1919" s="4" t="s">
        <v>63</v>
      </c>
      <c r="G1919" s="4" t="s">
        <v>1682</v>
      </c>
      <c r="H1919" s="4"/>
      <c r="I1919" s="4" t="n">
        <v>1.9864</v>
      </c>
      <c r="J1919" s="4" t="str">
        <f aca="false">TRIM(E1919) &amp; TRIM(C1919) &amp; TRIM(D1919)</f>
        <v>First ReviewBoost VideoUS</v>
      </c>
      <c r="K1919" s="4" t="n">
        <f aca="false">IFERROR(I1919*60,"")</f>
        <v>119.184</v>
      </c>
    </row>
    <row r="1920" customFormat="false" ht="15" hidden="false" customHeight="false" outlineLevel="0" collapsed="false">
      <c r="A1920" s="4" t="s">
        <v>15</v>
      </c>
      <c r="B1920" s="4" t="s">
        <v>1526</v>
      </c>
      <c r="C1920" s="4" t="s">
        <v>1527</v>
      </c>
      <c r="D1920" s="4" t="s">
        <v>235</v>
      </c>
      <c r="E1920" s="4" t="s">
        <v>63</v>
      </c>
      <c r="F1920" s="4" t="s">
        <v>63</v>
      </c>
      <c r="G1920" s="4" t="s">
        <v>1683</v>
      </c>
      <c r="H1920" s="4"/>
      <c r="I1920" s="4" t="n">
        <v>2.2383</v>
      </c>
      <c r="J1920" s="4" t="str">
        <f aca="false">TRIM(E1920) &amp; TRIM(C1920) &amp; TRIM(D1920)</f>
        <v>First ReviewBoost CarouselJP</v>
      </c>
      <c r="K1920" s="4" t="n">
        <f aca="false">IFERROR(I1920*60,"")</f>
        <v>134.298</v>
      </c>
    </row>
    <row r="1921" customFormat="false" ht="15" hidden="false" customHeight="false" outlineLevel="0" collapsed="false">
      <c r="A1921" s="4" t="s">
        <v>15</v>
      </c>
      <c r="B1921" s="4" t="s">
        <v>1526</v>
      </c>
      <c r="C1921" s="4" t="s">
        <v>1527</v>
      </c>
      <c r="D1921" s="4" t="s">
        <v>195</v>
      </c>
      <c r="E1921" s="4" t="s">
        <v>59</v>
      </c>
      <c r="F1921" s="4" t="s">
        <v>59</v>
      </c>
      <c r="G1921" s="4" t="s">
        <v>1624</v>
      </c>
      <c r="H1921" s="4"/>
      <c r="I1921" s="4" t="n">
        <v>2.5313</v>
      </c>
      <c r="J1921" s="4" t="str">
        <f aca="false">TRIM(E1921) &amp; TRIM(C1921) &amp; TRIM(D1921)</f>
        <v>Re-reviewBoost CarouselIT</v>
      </c>
      <c r="K1921" s="4" t="n">
        <f aca="false">IFERROR(I1921*60,"")</f>
        <v>151.878</v>
      </c>
    </row>
    <row r="1922" customFormat="false" ht="15" hidden="false" customHeight="false" outlineLevel="0" collapsed="false">
      <c r="A1922" s="4" t="s">
        <v>15</v>
      </c>
      <c r="B1922" s="4" t="s">
        <v>1526</v>
      </c>
      <c r="C1922" s="4" t="s">
        <v>1535</v>
      </c>
      <c r="D1922" s="4" t="s">
        <v>213</v>
      </c>
      <c r="E1922" s="4" t="s">
        <v>63</v>
      </c>
      <c r="F1922" s="4" t="s">
        <v>63</v>
      </c>
      <c r="G1922" s="4" t="s">
        <v>1632</v>
      </c>
      <c r="H1922" s="4"/>
      <c r="I1922" s="4" t="n">
        <v>1.574</v>
      </c>
      <c r="J1922" s="4" t="str">
        <f aca="false">TRIM(E1922) &amp; TRIM(C1922) &amp; TRIM(D1922)</f>
        <v>First ReviewBoost VideoFR</v>
      </c>
      <c r="K1922" s="4" t="n">
        <f aca="false">IFERROR(I1922*60,"")</f>
        <v>94.44</v>
      </c>
    </row>
    <row r="1923" customFormat="false" ht="15" hidden="false" customHeight="false" outlineLevel="0" collapsed="false">
      <c r="A1923" s="4" t="s">
        <v>15</v>
      </c>
      <c r="B1923" s="4" t="s">
        <v>1526</v>
      </c>
      <c r="C1923" s="4" t="s">
        <v>1529</v>
      </c>
      <c r="D1923" s="4" t="s">
        <v>79</v>
      </c>
      <c r="E1923" s="4" t="s">
        <v>63</v>
      </c>
      <c r="F1923" s="4" t="s">
        <v>63</v>
      </c>
      <c r="G1923" s="4" t="s">
        <v>1676</v>
      </c>
      <c r="H1923" s="4"/>
      <c r="I1923" s="4" t="n">
        <v>2.6404</v>
      </c>
      <c r="J1923" s="4" t="str">
        <f aca="false">TRIM(E1923) &amp; TRIM(C1923) &amp; TRIM(D1923)</f>
        <v>First ReviewBoost LivestreamZA</v>
      </c>
      <c r="K1923" s="4" t="n">
        <f aca="false">IFERROR(I1923*60,"")</f>
        <v>158.424</v>
      </c>
    </row>
    <row r="1924" customFormat="false" ht="15" hidden="false" customHeight="false" outlineLevel="0" collapsed="false">
      <c r="A1924" s="4" t="s">
        <v>15</v>
      </c>
      <c r="B1924" s="4" t="s">
        <v>1526</v>
      </c>
      <c r="C1924" s="4" t="s">
        <v>1527</v>
      </c>
      <c r="D1924" s="4" t="s">
        <v>319</v>
      </c>
      <c r="E1924" s="4" t="s">
        <v>66</v>
      </c>
      <c r="F1924" s="4" t="s">
        <v>67</v>
      </c>
      <c r="G1924" s="4" t="s">
        <v>1534</v>
      </c>
      <c r="H1924" s="4"/>
      <c r="I1924" s="4" t="n">
        <v>1.8123</v>
      </c>
      <c r="J1924" s="4" t="str">
        <f aca="false">TRIM(E1924) &amp; TRIM(C1924) &amp; TRIM(D1924)</f>
        <v>Posted RecallBoost CarouselSK</v>
      </c>
      <c r="K1924" s="4" t="n">
        <f aca="false">IFERROR(I1924*60,"")</f>
        <v>108.738</v>
      </c>
    </row>
    <row r="1925" customFormat="false" ht="15" hidden="false" customHeight="false" outlineLevel="0" collapsed="false">
      <c r="A1925" s="4" t="s">
        <v>15</v>
      </c>
      <c r="B1925" s="4" t="s">
        <v>1526</v>
      </c>
      <c r="C1925" s="4" t="s">
        <v>1527</v>
      </c>
      <c r="D1925" s="4" t="s">
        <v>190</v>
      </c>
      <c r="E1925" s="4" t="s">
        <v>66</v>
      </c>
      <c r="F1925" s="4" t="s">
        <v>67</v>
      </c>
      <c r="G1925" s="4" t="s">
        <v>1533</v>
      </c>
      <c r="H1925" s="4"/>
      <c r="I1925" s="4" t="n">
        <v>1.3717</v>
      </c>
      <c r="J1925" s="4" t="str">
        <f aca="false">TRIM(E1925) &amp; TRIM(C1925) &amp; TRIM(D1925)</f>
        <v>Posted RecallBoost CarouselPH</v>
      </c>
      <c r="K1925" s="4" t="n">
        <f aca="false">IFERROR(I1925*60,"")</f>
        <v>82.302</v>
      </c>
    </row>
    <row r="1926" customFormat="false" ht="15" hidden="false" customHeight="false" outlineLevel="0" collapsed="false">
      <c r="A1926" s="4" t="s">
        <v>15</v>
      </c>
      <c r="B1926" s="4" t="s">
        <v>1526</v>
      </c>
      <c r="C1926" s="4" t="s">
        <v>1527</v>
      </c>
      <c r="D1926" s="4" t="s">
        <v>145</v>
      </c>
      <c r="E1926" s="4" t="s">
        <v>63</v>
      </c>
      <c r="F1926" s="4" t="s">
        <v>63</v>
      </c>
      <c r="G1926" s="4" t="s">
        <v>1528</v>
      </c>
      <c r="H1926" s="4"/>
      <c r="I1926" s="4" t="n">
        <v>2.4586</v>
      </c>
      <c r="J1926" s="4" t="str">
        <f aca="false">TRIM(E1926) &amp; TRIM(C1926) &amp; TRIM(D1926)</f>
        <v>First ReviewBoost CarouselRS</v>
      </c>
      <c r="K1926" s="4" t="n">
        <f aca="false">IFERROR(I1926*60,"")</f>
        <v>147.516</v>
      </c>
    </row>
    <row r="1927" customFormat="false" ht="15" hidden="false" customHeight="false" outlineLevel="0" collapsed="false">
      <c r="A1927" s="4" t="s">
        <v>15</v>
      </c>
      <c r="B1927" s="4" t="s">
        <v>1526</v>
      </c>
      <c r="C1927" s="4" t="s">
        <v>1535</v>
      </c>
      <c r="D1927" s="4" t="s">
        <v>100</v>
      </c>
      <c r="E1927" s="4" t="s">
        <v>63</v>
      </c>
      <c r="F1927" s="4" t="s">
        <v>63</v>
      </c>
      <c r="G1927" s="4" t="s">
        <v>1684</v>
      </c>
      <c r="H1927" s="4"/>
      <c r="I1927" s="4" t="n">
        <v>1.0533</v>
      </c>
      <c r="J1927" s="4" t="str">
        <f aca="false">TRIM(E1927) &amp; TRIM(C1927) &amp; TRIM(D1927)</f>
        <v>First ReviewBoost VideoAU</v>
      </c>
      <c r="K1927" s="4" t="n">
        <f aca="false">IFERROR(I1927*60,"")</f>
        <v>63.198</v>
      </c>
    </row>
    <row r="1928" customFormat="false" ht="15" hidden="false" customHeight="false" outlineLevel="0" collapsed="false">
      <c r="A1928" s="4" t="s">
        <v>15</v>
      </c>
      <c r="B1928" s="4" t="s">
        <v>1526</v>
      </c>
      <c r="C1928" s="4" t="s">
        <v>1527</v>
      </c>
      <c r="D1928" s="4" t="s">
        <v>95</v>
      </c>
      <c r="E1928" s="4" t="s">
        <v>66</v>
      </c>
      <c r="F1928" s="4" t="s">
        <v>67</v>
      </c>
      <c r="G1928" s="4" t="s">
        <v>1574</v>
      </c>
      <c r="H1928" s="4"/>
      <c r="I1928" s="4" t="n">
        <v>1.3094</v>
      </c>
      <c r="J1928" s="4" t="str">
        <f aca="false">TRIM(E1928) &amp; TRIM(C1928) &amp; TRIM(D1928)</f>
        <v>Posted RecallBoost CarouselVN</v>
      </c>
      <c r="K1928" s="4" t="n">
        <f aca="false">IFERROR(I1928*60,"")</f>
        <v>78.564</v>
      </c>
    </row>
    <row r="1929" customFormat="false" ht="15" hidden="false" customHeight="false" outlineLevel="0" collapsed="false">
      <c r="A1929" s="4" t="s">
        <v>15</v>
      </c>
      <c r="B1929" s="4" t="s">
        <v>1526</v>
      </c>
      <c r="C1929" s="4" t="s">
        <v>1535</v>
      </c>
      <c r="D1929" s="4" t="s">
        <v>235</v>
      </c>
      <c r="E1929" s="4" t="s">
        <v>63</v>
      </c>
      <c r="F1929" s="4" t="s">
        <v>63</v>
      </c>
      <c r="G1929" s="4" t="s">
        <v>1685</v>
      </c>
      <c r="H1929" s="4"/>
      <c r="I1929" s="4" t="n">
        <v>2.9812</v>
      </c>
      <c r="J1929" s="4" t="str">
        <f aca="false">TRIM(E1929) &amp; TRIM(C1929) &amp; TRIM(D1929)</f>
        <v>First ReviewBoost VideoJP</v>
      </c>
      <c r="K1929" s="4" t="n">
        <f aca="false">IFERROR(I1929*60,"")</f>
        <v>178.872</v>
      </c>
    </row>
    <row r="1930" customFormat="false" ht="15" hidden="false" customHeight="false" outlineLevel="0" collapsed="false">
      <c r="A1930" s="4" t="s">
        <v>15</v>
      </c>
      <c r="B1930" s="4" t="s">
        <v>1526</v>
      </c>
      <c r="C1930" s="4" t="s">
        <v>1529</v>
      </c>
      <c r="D1930" s="4" t="s">
        <v>299</v>
      </c>
      <c r="E1930" s="4" t="s">
        <v>63</v>
      </c>
      <c r="F1930" s="4" t="s">
        <v>63</v>
      </c>
      <c r="G1930" s="4" t="s">
        <v>1686</v>
      </c>
      <c r="H1930" s="4"/>
      <c r="I1930" s="4" t="n">
        <v>1.1147</v>
      </c>
      <c r="J1930" s="4" t="str">
        <f aca="false">TRIM(E1930) &amp; TRIM(C1930) &amp; TRIM(D1930)</f>
        <v>First ReviewBoost LivestreamQA</v>
      </c>
      <c r="K1930" s="4" t="n">
        <f aca="false">IFERROR(I1930*60,"")</f>
        <v>66.882</v>
      </c>
    </row>
    <row r="1931" customFormat="false" ht="15" hidden="false" customHeight="false" outlineLevel="0" collapsed="false">
      <c r="A1931" s="4" t="s">
        <v>15</v>
      </c>
      <c r="B1931" s="4" t="s">
        <v>1526</v>
      </c>
      <c r="C1931" s="4" t="s">
        <v>1535</v>
      </c>
      <c r="D1931" s="4" t="s">
        <v>203</v>
      </c>
      <c r="E1931" s="4" t="s">
        <v>66</v>
      </c>
      <c r="F1931" s="4" t="s">
        <v>67</v>
      </c>
      <c r="G1931" s="4" t="s">
        <v>1687</v>
      </c>
      <c r="H1931" s="4"/>
      <c r="I1931" s="4" t="n">
        <v>1.3515</v>
      </c>
      <c r="J1931" s="4" t="str">
        <f aca="false">TRIM(E1931) &amp; TRIM(C1931) &amp; TRIM(D1931)</f>
        <v>Posted RecallBoost VideoCA</v>
      </c>
      <c r="K1931" s="4" t="n">
        <f aca="false">IFERROR(I1931*60,"")</f>
        <v>81.09</v>
      </c>
    </row>
    <row r="1932" customFormat="false" ht="15" hidden="false" customHeight="false" outlineLevel="0" collapsed="false">
      <c r="A1932" s="4" t="s">
        <v>15</v>
      </c>
      <c r="B1932" s="4" t="s">
        <v>1526</v>
      </c>
      <c r="C1932" s="4" t="s">
        <v>1527</v>
      </c>
      <c r="D1932" s="4" t="s">
        <v>901</v>
      </c>
      <c r="E1932" s="4" t="s">
        <v>63</v>
      </c>
      <c r="F1932" s="4" t="s">
        <v>63</v>
      </c>
      <c r="G1932" s="4" t="s">
        <v>1688</v>
      </c>
      <c r="H1932" s="4"/>
      <c r="I1932" s="4" t="n">
        <v>1.1983</v>
      </c>
      <c r="J1932" s="4" t="str">
        <f aca="false">TRIM(E1932) &amp; TRIM(C1932) &amp; TRIM(D1932)</f>
        <v>First ReviewBoost CarouselLU</v>
      </c>
      <c r="K1932" s="4" t="n">
        <f aca="false">IFERROR(I1932*60,"")</f>
        <v>71.898</v>
      </c>
    </row>
    <row r="1933" customFormat="false" ht="15" hidden="false" customHeight="false" outlineLevel="0" collapsed="false">
      <c r="A1933" s="4" t="s">
        <v>15</v>
      </c>
      <c r="B1933" s="4" t="s">
        <v>1526</v>
      </c>
      <c r="C1933" s="4" t="s">
        <v>1527</v>
      </c>
      <c r="D1933" s="4" t="s">
        <v>299</v>
      </c>
      <c r="E1933" s="4" t="s">
        <v>66</v>
      </c>
      <c r="F1933" s="4" t="s">
        <v>67</v>
      </c>
      <c r="G1933" s="4" t="s">
        <v>1689</v>
      </c>
      <c r="H1933" s="4"/>
      <c r="I1933" s="4" t="n">
        <v>0.6125</v>
      </c>
      <c r="J1933" s="4" t="str">
        <f aca="false">TRIM(E1933) &amp; TRIM(C1933) &amp; TRIM(D1933)</f>
        <v>Posted RecallBoost CarouselQA</v>
      </c>
      <c r="K1933" s="4" t="n">
        <f aca="false">IFERROR(I1933*60,"")</f>
        <v>36.75</v>
      </c>
    </row>
    <row r="1934" customFormat="false" ht="15" hidden="false" customHeight="false" outlineLevel="0" collapsed="false">
      <c r="A1934" s="4" t="s">
        <v>15</v>
      </c>
      <c r="B1934" s="4" t="s">
        <v>1526</v>
      </c>
      <c r="C1934" s="4" t="s">
        <v>1535</v>
      </c>
      <c r="D1934" s="4" t="s">
        <v>58</v>
      </c>
      <c r="E1934" s="4" t="s">
        <v>63</v>
      </c>
      <c r="F1934" s="4" t="s">
        <v>63</v>
      </c>
      <c r="G1934" s="4" t="s">
        <v>1690</v>
      </c>
      <c r="H1934" s="4"/>
      <c r="I1934" s="4" t="n">
        <v>0.8556</v>
      </c>
      <c r="J1934" s="4" t="str">
        <f aca="false">TRIM(E1934) &amp; TRIM(C1934) &amp; TRIM(D1934)</f>
        <v>First ReviewBoost VideoSG</v>
      </c>
      <c r="K1934" s="4" t="n">
        <f aca="false">IFERROR(I1934*60,"")</f>
        <v>51.336</v>
      </c>
    </row>
    <row r="1935" customFormat="false" ht="15" hidden="false" customHeight="false" outlineLevel="0" collapsed="false">
      <c r="A1935" s="4" t="s">
        <v>15</v>
      </c>
      <c r="B1935" s="4" t="s">
        <v>1526</v>
      </c>
      <c r="C1935" s="4" t="s">
        <v>1529</v>
      </c>
      <c r="D1935" s="4" t="s">
        <v>168</v>
      </c>
      <c r="E1935" s="4" t="s">
        <v>63</v>
      </c>
      <c r="F1935" s="4" t="s">
        <v>63</v>
      </c>
      <c r="G1935" s="4" t="s">
        <v>1691</v>
      </c>
      <c r="H1935" s="4"/>
      <c r="I1935" s="4" t="n">
        <v>0.2708</v>
      </c>
      <c r="J1935" s="4" t="str">
        <f aca="false">TRIM(E1935) &amp; TRIM(C1935) &amp; TRIM(D1935)</f>
        <v>First ReviewBoost LivestreamKZ</v>
      </c>
      <c r="K1935" s="4" t="n">
        <f aca="false">IFERROR(I1935*60,"")</f>
        <v>16.248</v>
      </c>
    </row>
    <row r="1936" customFormat="false" ht="15" hidden="false" customHeight="false" outlineLevel="0" collapsed="false">
      <c r="A1936" s="4" t="s">
        <v>15</v>
      </c>
      <c r="B1936" s="4" t="s">
        <v>1526</v>
      </c>
      <c r="C1936" s="4" t="s">
        <v>1527</v>
      </c>
      <c r="D1936" s="4" t="s">
        <v>164</v>
      </c>
      <c r="E1936" s="4" t="s">
        <v>63</v>
      </c>
      <c r="F1936" s="4" t="s">
        <v>63</v>
      </c>
      <c r="G1936" s="4" t="s">
        <v>1692</v>
      </c>
      <c r="H1936" s="4"/>
      <c r="I1936" s="4" t="n">
        <v>1.5242</v>
      </c>
      <c r="J1936" s="4" t="str">
        <f aca="false">TRIM(E1936) &amp; TRIM(C1936) &amp; TRIM(D1936)</f>
        <v>First ReviewBoost CarouselCR</v>
      </c>
      <c r="K1936" s="4" t="n">
        <f aca="false">IFERROR(I1936*60,"")</f>
        <v>91.452</v>
      </c>
    </row>
    <row r="1937" customFormat="false" ht="15" hidden="false" customHeight="false" outlineLevel="0" collapsed="false">
      <c r="A1937" s="4" t="s">
        <v>15</v>
      </c>
      <c r="B1937" s="4" t="s">
        <v>1526</v>
      </c>
      <c r="C1937" s="4" t="s">
        <v>1535</v>
      </c>
      <c r="D1937" s="4" t="s">
        <v>111</v>
      </c>
      <c r="E1937" s="4" t="s">
        <v>66</v>
      </c>
      <c r="F1937" s="4" t="s">
        <v>67</v>
      </c>
      <c r="G1937" s="4" t="s">
        <v>1682</v>
      </c>
      <c r="H1937" s="4"/>
      <c r="I1937" s="4" t="n">
        <v>1.8684</v>
      </c>
      <c r="J1937" s="4" t="str">
        <f aca="false">TRIM(E1937) &amp; TRIM(C1937) &amp; TRIM(D1937)</f>
        <v>Posted RecallBoost VideoUS</v>
      </c>
      <c r="K1937" s="4" t="n">
        <f aca="false">IFERROR(I1937*60,"")</f>
        <v>112.104</v>
      </c>
    </row>
    <row r="1938" customFormat="false" ht="15" hidden="false" customHeight="false" outlineLevel="0" collapsed="false">
      <c r="A1938" s="4" t="s">
        <v>15</v>
      </c>
      <c r="B1938" s="4" t="s">
        <v>1526</v>
      </c>
      <c r="C1938" s="4" t="s">
        <v>1529</v>
      </c>
      <c r="D1938" s="4" t="s">
        <v>154</v>
      </c>
      <c r="E1938" s="4" t="s">
        <v>66</v>
      </c>
      <c r="F1938" s="4" t="s">
        <v>67</v>
      </c>
      <c r="G1938" s="4" t="s">
        <v>1693</v>
      </c>
      <c r="H1938" s="4"/>
      <c r="I1938" s="4" t="n">
        <v>1.1959</v>
      </c>
      <c r="J1938" s="4" t="str">
        <f aca="false">TRIM(E1938) &amp; TRIM(C1938) &amp; TRIM(D1938)</f>
        <v>Posted RecallBoost LivestreamES</v>
      </c>
      <c r="K1938" s="4" t="n">
        <f aca="false">IFERROR(I1938*60,"")</f>
        <v>71.754</v>
      </c>
    </row>
    <row r="1939" customFormat="false" ht="15" hidden="false" customHeight="false" outlineLevel="0" collapsed="false">
      <c r="A1939" s="4" t="s">
        <v>15</v>
      </c>
      <c r="B1939" s="4" t="s">
        <v>1526</v>
      </c>
      <c r="C1939" s="4" t="s">
        <v>1527</v>
      </c>
      <c r="D1939" s="4" t="s">
        <v>150</v>
      </c>
      <c r="E1939" s="4" t="s">
        <v>63</v>
      </c>
      <c r="F1939" s="4" t="s">
        <v>63</v>
      </c>
      <c r="G1939" s="4" t="s">
        <v>1694</v>
      </c>
      <c r="H1939" s="4"/>
      <c r="I1939" s="4" t="n">
        <v>1.2482</v>
      </c>
      <c r="J1939" s="4" t="str">
        <f aca="false">TRIM(E1939) &amp; TRIM(C1939) &amp; TRIM(D1939)</f>
        <v>First ReviewBoost CarouselDE</v>
      </c>
      <c r="K1939" s="4" t="n">
        <f aca="false">IFERROR(I1939*60,"")</f>
        <v>74.892</v>
      </c>
    </row>
    <row r="1940" customFormat="false" ht="15" hidden="false" customHeight="false" outlineLevel="0" collapsed="false">
      <c r="A1940" s="4" t="s">
        <v>15</v>
      </c>
      <c r="B1940" s="4" t="s">
        <v>1526</v>
      </c>
      <c r="C1940" s="4" t="s">
        <v>1527</v>
      </c>
      <c r="D1940" s="4" t="s">
        <v>1695</v>
      </c>
      <c r="E1940" s="4" t="s">
        <v>63</v>
      </c>
      <c r="F1940" s="4" t="s">
        <v>63</v>
      </c>
      <c r="G1940" s="4" t="s">
        <v>1696</v>
      </c>
      <c r="H1940" s="4"/>
      <c r="I1940" s="4" t="n">
        <v>0.3121</v>
      </c>
      <c r="J1940" s="4" t="str">
        <f aca="false">TRIM(E1940) &amp; TRIM(C1940) &amp; TRIM(D1940)</f>
        <v>First ReviewBoost CarouselSR</v>
      </c>
      <c r="K1940" s="4" t="n">
        <f aca="false">IFERROR(I1940*60,"")</f>
        <v>18.726</v>
      </c>
    </row>
    <row r="1941" customFormat="false" ht="15" hidden="false" customHeight="false" outlineLevel="0" collapsed="false">
      <c r="A1941" s="4" t="s">
        <v>15</v>
      </c>
      <c r="B1941" s="4" t="s">
        <v>1526</v>
      </c>
      <c r="C1941" s="4" t="s">
        <v>1535</v>
      </c>
      <c r="D1941" s="4" t="s">
        <v>168</v>
      </c>
      <c r="E1941" s="4" t="s">
        <v>66</v>
      </c>
      <c r="F1941" s="4" t="s">
        <v>67</v>
      </c>
      <c r="G1941" s="4" t="s">
        <v>1697</v>
      </c>
      <c r="H1941" s="4"/>
      <c r="I1941" s="4" t="n">
        <v>1.5714</v>
      </c>
      <c r="J1941" s="4" t="str">
        <f aca="false">TRIM(E1941) &amp; TRIM(C1941) &amp; TRIM(D1941)</f>
        <v>Posted RecallBoost VideoKZ</v>
      </c>
      <c r="K1941" s="4" t="n">
        <f aca="false">IFERROR(I1941*60,"")</f>
        <v>94.284</v>
      </c>
    </row>
    <row r="1942" customFormat="false" ht="15" hidden="false" customHeight="false" outlineLevel="0" collapsed="false">
      <c r="A1942" s="4" t="s">
        <v>15</v>
      </c>
      <c r="B1942" s="4" t="s">
        <v>1526</v>
      </c>
      <c r="C1942" s="4" t="s">
        <v>1535</v>
      </c>
      <c r="D1942" s="4" t="s">
        <v>152</v>
      </c>
      <c r="E1942" s="4" t="s">
        <v>66</v>
      </c>
      <c r="F1942" s="4" t="s">
        <v>67</v>
      </c>
      <c r="G1942" s="4" t="s">
        <v>1667</v>
      </c>
      <c r="H1942" s="4"/>
      <c r="I1942" s="4" t="n">
        <v>0.5737</v>
      </c>
      <c r="J1942" s="4" t="str">
        <f aca="false">TRIM(E1942) &amp; TRIM(C1942) &amp; TRIM(D1942)</f>
        <v>Posted RecallBoost VideoCY</v>
      </c>
      <c r="K1942" s="4" t="n">
        <f aca="false">IFERROR(I1942*60,"")</f>
        <v>34.422</v>
      </c>
    </row>
    <row r="1943" customFormat="false" ht="15" hidden="false" customHeight="false" outlineLevel="0" collapsed="false">
      <c r="A1943" s="4" t="s">
        <v>15</v>
      </c>
      <c r="B1943" s="4" t="s">
        <v>1526</v>
      </c>
      <c r="C1943" s="4" t="s">
        <v>1535</v>
      </c>
      <c r="D1943" s="4" t="s">
        <v>251</v>
      </c>
      <c r="E1943" s="4" t="s">
        <v>59</v>
      </c>
      <c r="F1943" s="4" t="s">
        <v>59</v>
      </c>
      <c r="G1943" s="4" t="s">
        <v>1698</v>
      </c>
      <c r="H1943" s="4"/>
      <c r="I1943" s="4" t="n">
        <v>1.8506</v>
      </c>
      <c r="J1943" s="4" t="str">
        <f aca="false">TRIM(E1943) &amp; TRIM(C1943) &amp; TRIM(D1943)</f>
        <v>Re-reviewBoost VideoRO</v>
      </c>
      <c r="K1943" s="4" t="n">
        <f aca="false">IFERROR(I1943*60,"")</f>
        <v>111.036</v>
      </c>
    </row>
    <row r="1944" customFormat="false" ht="15" hidden="false" customHeight="false" outlineLevel="0" collapsed="false">
      <c r="A1944" s="4" t="s">
        <v>15</v>
      </c>
      <c r="B1944" s="4" t="s">
        <v>1526</v>
      </c>
      <c r="C1944" s="4" t="s">
        <v>1535</v>
      </c>
      <c r="D1944" s="4" t="s">
        <v>1699</v>
      </c>
      <c r="E1944" s="4" t="s">
        <v>63</v>
      </c>
      <c r="F1944" s="4" t="s">
        <v>63</v>
      </c>
      <c r="G1944" s="4" t="s">
        <v>1700</v>
      </c>
      <c r="H1944" s="4"/>
      <c r="I1944" s="4" t="n">
        <v>0.339</v>
      </c>
      <c r="J1944" s="4" t="str">
        <f aca="false">TRIM(E1944) &amp; TRIM(C1944) &amp; TRIM(D1944)</f>
        <v>First ReviewBoost VideoMV</v>
      </c>
      <c r="K1944" s="4" t="n">
        <f aca="false">IFERROR(I1944*60,"")</f>
        <v>20.34</v>
      </c>
    </row>
    <row r="1945" customFormat="false" ht="15" hidden="false" customHeight="false" outlineLevel="0" collapsed="false">
      <c r="A1945" s="4" t="s">
        <v>15</v>
      </c>
      <c r="B1945" s="4" t="s">
        <v>1526</v>
      </c>
      <c r="C1945" s="4" t="s">
        <v>1529</v>
      </c>
      <c r="D1945" s="4" t="s">
        <v>159</v>
      </c>
      <c r="E1945" s="4" t="s">
        <v>66</v>
      </c>
      <c r="F1945" s="4" t="s">
        <v>67</v>
      </c>
      <c r="G1945" s="4" t="s">
        <v>1701</v>
      </c>
      <c r="H1945" s="4"/>
      <c r="I1945" s="4" t="n">
        <v>2.0396</v>
      </c>
      <c r="J1945" s="4" t="str">
        <f aca="false">TRIM(E1945) &amp; TRIM(C1945) &amp; TRIM(D1945)</f>
        <v>Posted RecallBoost LivestreamDO</v>
      </c>
      <c r="K1945" s="4" t="n">
        <f aca="false">IFERROR(I1945*60,"")</f>
        <v>122.376</v>
      </c>
    </row>
    <row r="1946" customFormat="false" ht="15" hidden="false" customHeight="false" outlineLevel="0" collapsed="false">
      <c r="A1946" s="4" t="s">
        <v>15</v>
      </c>
      <c r="B1946" s="4" t="s">
        <v>1526</v>
      </c>
      <c r="C1946" s="4" t="s">
        <v>1535</v>
      </c>
      <c r="D1946" s="4" t="s">
        <v>124</v>
      </c>
      <c r="E1946" s="4" t="s">
        <v>63</v>
      </c>
      <c r="F1946" s="4" t="s">
        <v>63</v>
      </c>
      <c r="G1946" s="4" t="s">
        <v>1677</v>
      </c>
      <c r="H1946" s="4"/>
      <c r="I1946" s="4" t="n">
        <v>2.344</v>
      </c>
      <c r="J1946" s="4" t="str">
        <f aca="false">TRIM(E1946) &amp; TRIM(C1946) &amp; TRIM(D1946)</f>
        <v>First ReviewBoost VideoPT</v>
      </c>
      <c r="K1946" s="4" t="n">
        <f aca="false">IFERROR(I1946*60,"")</f>
        <v>140.64</v>
      </c>
    </row>
    <row r="1947" customFormat="false" ht="15" hidden="false" customHeight="false" outlineLevel="0" collapsed="false">
      <c r="A1947" s="4" t="s">
        <v>15</v>
      </c>
      <c r="B1947" s="4" t="s">
        <v>1526</v>
      </c>
      <c r="C1947" s="4" t="s">
        <v>1535</v>
      </c>
      <c r="D1947" s="4" t="s">
        <v>221</v>
      </c>
      <c r="E1947" s="4" t="s">
        <v>63</v>
      </c>
      <c r="F1947" s="4" t="s">
        <v>63</v>
      </c>
      <c r="G1947" s="4" t="s">
        <v>1665</v>
      </c>
      <c r="H1947" s="4"/>
      <c r="I1947" s="4" t="n">
        <v>0.9732</v>
      </c>
      <c r="J1947" s="4" t="str">
        <f aca="false">TRIM(E1947) &amp; TRIM(C1947) &amp; TRIM(D1947)</f>
        <v>First ReviewBoost VideoOM</v>
      </c>
      <c r="K1947" s="4" t="n">
        <f aca="false">IFERROR(I1947*60,"")</f>
        <v>58.392</v>
      </c>
    </row>
    <row r="1948" customFormat="false" ht="15" hidden="false" customHeight="false" outlineLevel="0" collapsed="false">
      <c r="A1948" s="4" t="s">
        <v>15</v>
      </c>
      <c r="B1948" s="4" t="s">
        <v>1526</v>
      </c>
      <c r="C1948" s="4" t="s">
        <v>1529</v>
      </c>
      <c r="D1948" s="4" t="s">
        <v>251</v>
      </c>
      <c r="E1948" s="4" t="s">
        <v>66</v>
      </c>
      <c r="F1948" s="4" t="s">
        <v>67</v>
      </c>
      <c r="G1948" s="4" t="s">
        <v>1582</v>
      </c>
      <c r="H1948" s="4"/>
      <c r="I1948" s="4" t="n">
        <v>2.8353</v>
      </c>
      <c r="J1948" s="4" t="str">
        <f aca="false">TRIM(E1948) &amp; TRIM(C1948) &amp; TRIM(D1948)</f>
        <v>Posted RecallBoost LivestreamRO</v>
      </c>
      <c r="K1948" s="4" t="n">
        <f aca="false">IFERROR(I1948*60,"")</f>
        <v>170.118</v>
      </c>
    </row>
    <row r="1949" customFormat="false" ht="15" hidden="false" customHeight="false" outlineLevel="0" collapsed="false">
      <c r="A1949" s="4" t="s">
        <v>15</v>
      </c>
      <c r="B1949" s="4" t="s">
        <v>1526</v>
      </c>
      <c r="C1949" s="4" t="s">
        <v>1529</v>
      </c>
      <c r="D1949" s="4" t="s">
        <v>154</v>
      </c>
      <c r="E1949" s="4" t="s">
        <v>59</v>
      </c>
      <c r="F1949" s="4" t="s">
        <v>59</v>
      </c>
      <c r="G1949" s="4" t="s">
        <v>1693</v>
      </c>
      <c r="H1949" s="4"/>
      <c r="I1949" s="4" t="n">
        <v>1.3472</v>
      </c>
      <c r="J1949" s="4" t="str">
        <f aca="false">TRIM(E1949) &amp; TRIM(C1949) &amp; TRIM(D1949)</f>
        <v>Re-reviewBoost LivestreamES</v>
      </c>
      <c r="K1949" s="4" t="n">
        <f aca="false">IFERROR(I1949*60,"")</f>
        <v>80.832</v>
      </c>
    </row>
    <row r="1950" customFormat="false" ht="15" hidden="false" customHeight="false" outlineLevel="0" collapsed="false">
      <c r="A1950" s="4" t="s">
        <v>15</v>
      </c>
      <c r="B1950" s="4" t="s">
        <v>1526</v>
      </c>
      <c r="C1950" s="4" t="s">
        <v>1535</v>
      </c>
      <c r="D1950" s="4" t="s">
        <v>124</v>
      </c>
      <c r="E1950" s="4" t="s">
        <v>66</v>
      </c>
      <c r="F1950" s="4" t="s">
        <v>67</v>
      </c>
      <c r="G1950" s="4" t="s">
        <v>1677</v>
      </c>
      <c r="H1950" s="4"/>
      <c r="I1950" s="4" t="n">
        <v>1.2469</v>
      </c>
      <c r="J1950" s="4" t="str">
        <f aca="false">TRIM(E1950) &amp; TRIM(C1950) &amp; TRIM(D1950)</f>
        <v>Posted RecallBoost VideoPT</v>
      </c>
      <c r="K1950" s="4" t="n">
        <f aca="false">IFERROR(I1950*60,"")</f>
        <v>74.814</v>
      </c>
    </row>
    <row r="1951" customFormat="false" ht="15" hidden="false" customHeight="false" outlineLevel="0" collapsed="false">
      <c r="A1951" s="4" t="s">
        <v>15</v>
      </c>
      <c r="B1951" s="4" t="s">
        <v>1526</v>
      </c>
      <c r="C1951" s="4" t="s">
        <v>1535</v>
      </c>
      <c r="D1951" s="4" t="s">
        <v>271</v>
      </c>
      <c r="E1951" s="4" t="s">
        <v>63</v>
      </c>
      <c r="F1951" s="4" t="s">
        <v>63</v>
      </c>
      <c r="G1951" s="4" t="s">
        <v>1702</v>
      </c>
      <c r="H1951" s="4"/>
      <c r="I1951" s="4" t="n">
        <v>1.0692</v>
      </c>
      <c r="J1951" s="4" t="str">
        <f aca="false">TRIM(E1951) &amp; TRIM(C1951) &amp; TRIM(D1951)</f>
        <v>First ReviewBoost VideoKW</v>
      </c>
      <c r="K1951" s="4" t="n">
        <f aca="false">IFERROR(I1951*60,"")</f>
        <v>64.152</v>
      </c>
    </row>
    <row r="1952" customFormat="false" ht="15" hidden="false" customHeight="false" outlineLevel="0" collapsed="false">
      <c r="A1952" s="4" t="s">
        <v>15</v>
      </c>
      <c r="B1952" s="4" t="s">
        <v>1526</v>
      </c>
      <c r="C1952" s="4" t="s">
        <v>1529</v>
      </c>
      <c r="D1952" s="4" t="s">
        <v>141</v>
      </c>
      <c r="E1952" s="4" t="s">
        <v>63</v>
      </c>
      <c r="F1952" s="4" t="s">
        <v>63</v>
      </c>
      <c r="G1952" s="4" t="s">
        <v>1703</v>
      </c>
      <c r="H1952" s="4"/>
      <c r="I1952" s="4" t="n">
        <v>1.9625</v>
      </c>
      <c r="J1952" s="4" t="str">
        <f aca="false">TRIM(E1952) &amp; TRIM(C1952) &amp; TRIM(D1952)</f>
        <v>First ReviewBoost LivestreamAZ</v>
      </c>
      <c r="K1952" s="4" t="n">
        <f aca="false">IFERROR(I1952*60,"")</f>
        <v>117.75</v>
      </c>
    </row>
    <row r="1953" customFormat="false" ht="15" hidden="false" customHeight="false" outlineLevel="0" collapsed="false">
      <c r="A1953" s="4" t="s">
        <v>15</v>
      </c>
      <c r="B1953" s="4" t="s">
        <v>1526</v>
      </c>
      <c r="C1953" s="4" t="s">
        <v>1527</v>
      </c>
      <c r="D1953" s="4" t="s">
        <v>181</v>
      </c>
      <c r="E1953" s="4" t="s">
        <v>66</v>
      </c>
      <c r="F1953" s="4" t="s">
        <v>67</v>
      </c>
      <c r="G1953" s="4" t="s">
        <v>1704</v>
      </c>
      <c r="H1953" s="4"/>
      <c r="I1953" s="4" t="n">
        <v>1.5688</v>
      </c>
      <c r="J1953" s="4" t="str">
        <f aca="false">TRIM(E1953) &amp; TRIM(C1953) &amp; TRIM(D1953)</f>
        <v>Posted RecallBoost CarouselLB</v>
      </c>
      <c r="K1953" s="4" t="n">
        <f aca="false">IFERROR(I1953*60,"")</f>
        <v>94.128</v>
      </c>
    </row>
    <row r="1954" customFormat="false" ht="15" hidden="false" customHeight="false" outlineLevel="0" collapsed="false">
      <c r="A1954" s="4" t="s">
        <v>15</v>
      </c>
      <c r="B1954" s="4" t="s">
        <v>1526</v>
      </c>
      <c r="C1954" s="4" t="s">
        <v>1535</v>
      </c>
      <c r="D1954" s="4" t="s">
        <v>58</v>
      </c>
      <c r="E1954" s="4" t="s">
        <v>66</v>
      </c>
      <c r="F1954" s="4" t="s">
        <v>67</v>
      </c>
      <c r="G1954" s="4" t="s">
        <v>1690</v>
      </c>
      <c r="H1954" s="4"/>
      <c r="I1954" s="4" t="n">
        <v>0.8795</v>
      </c>
      <c r="J1954" s="4" t="str">
        <f aca="false">TRIM(E1954) &amp; TRIM(C1954) &amp; TRIM(D1954)</f>
        <v>Posted RecallBoost VideoSG</v>
      </c>
      <c r="K1954" s="4" t="n">
        <f aca="false">IFERROR(I1954*60,"")</f>
        <v>52.77</v>
      </c>
    </row>
    <row r="1955" customFormat="false" ht="15" hidden="false" customHeight="false" outlineLevel="0" collapsed="false">
      <c r="A1955" s="4" t="s">
        <v>15</v>
      </c>
      <c r="B1955" s="4" t="s">
        <v>1526</v>
      </c>
      <c r="C1955" s="4" t="s">
        <v>1535</v>
      </c>
      <c r="D1955" s="4" t="s">
        <v>62</v>
      </c>
      <c r="E1955" s="4" t="s">
        <v>66</v>
      </c>
      <c r="F1955" s="4" t="s">
        <v>67</v>
      </c>
      <c r="G1955" s="4" t="s">
        <v>1705</v>
      </c>
      <c r="H1955" s="4"/>
      <c r="I1955" s="4" t="n">
        <v>1.4705</v>
      </c>
      <c r="J1955" s="4" t="str">
        <f aca="false">TRIM(E1955) &amp; TRIM(C1955) &amp; TRIM(D1955)</f>
        <v>Posted RecallBoost VideoCL</v>
      </c>
      <c r="K1955" s="4" t="n">
        <f aca="false">IFERROR(I1955*60,"")</f>
        <v>88.23</v>
      </c>
    </row>
    <row r="1956" customFormat="false" ht="15" hidden="false" customHeight="false" outlineLevel="0" collapsed="false">
      <c r="A1956" s="4" t="s">
        <v>15</v>
      </c>
      <c r="B1956" s="4" t="s">
        <v>1526</v>
      </c>
      <c r="C1956" s="4" t="s">
        <v>1529</v>
      </c>
      <c r="D1956" s="4" t="s">
        <v>97</v>
      </c>
      <c r="E1956" s="4" t="s">
        <v>63</v>
      </c>
      <c r="F1956" s="4" t="s">
        <v>63</v>
      </c>
      <c r="G1956" s="4" t="s">
        <v>1706</v>
      </c>
      <c r="H1956" s="4"/>
      <c r="I1956" s="4" t="n">
        <v>2.2893</v>
      </c>
      <c r="J1956" s="4" t="str">
        <f aca="false">TRIM(E1956) &amp; TRIM(C1956) &amp; TRIM(D1956)</f>
        <v>First ReviewBoost LivestreamBR</v>
      </c>
      <c r="K1956" s="4" t="n">
        <f aca="false">IFERROR(I1956*60,"")</f>
        <v>137.358</v>
      </c>
    </row>
    <row r="1957" customFormat="false" ht="15" hidden="false" customHeight="false" outlineLevel="0" collapsed="false">
      <c r="A1957" s="4" t="s">
        <v>15</v>
      </c>
      <c r="B1957" s="4" t="s">
        <v>1526</v>
      </c>
      <c r="C1957" s="4" t="s">
        <v>1535</v>
      </c>
      <c r="D1957" s="4" t="s">
        <v>251</v>
      </c>
      <c r="E1957" s="4" t="s">
        <v>66</v>
      </c>
      <c r="F1957" s="4" t="s">
        <v>67</v>
      </c>
      <c r="G1957" s="4" t="s">
        <v>1698</v>
      </c>
      <c r="H1957" s="4"/>
      <c r="I1957" s="4" t="n">
        <v>1.7491</v>
      </c>
      <c r="J1957" s="4" t="str">
        <f aca="false">TRIM(E1957) &amp; TRIM(C1957) &amp; TRIM(D1957)</f>
        <v>Posted RecallBoost VideoRO</v>
      </c>
      <c r="K1957" s="4" t="n">
        <f aca="false">IFERROR(I1957*60,"")</f>
        <v>104.946</v>
      </c>
    </row>
    <row r="1958" customFormat="false" ht="15" hidden="false" customHeight="false" outlineLevel="0" collapsed="false">
      <c r="A1958" s="4" t="s">
        <v>15</v>
      </c>
      <c r="B1958" s="4" t="s">
        <v>1526</v>
      </c>
      <c r="C1958" s="4" t="s">
        <v>1535</v>
      </c>
      <c r="D1958" s="4" t="s">
        <v>231</v>
      </c>
      <c r="E1958" s="4" t="s">
        <v>63</v>
      </c>
      <c r="F1958" s="4" t="s">
        <v>63</v>
      </c>
      <c r="G1958" s="4" t="s">
        <v>1707</v>
      </c>
      <c r="H1958" s="4"/>
      <c r="I1958" s="4" t="n">
        <v>1.4609</v>
      </c>
      <c r="J1958" s="4" t="str">
        <f aca="false">TRIM(E1958) &amp; TRIM(C1958) &amp; TRIM(D1958)</f>
        <v>First ReviewBoost VideoIL</v>
      </c>
      <c r="K1958" s="4" t="n">
        <f aca="false">IFERROR(I1958*60,"")</f>
        <v>87.654</v>
      </c>
    </row>
    <row r="1959" customFormat="false" ht="15" hidden="false" customHeight="false" outlineLevel="0" collapsed="false">
      <c r="A1959" s="4" t="s">
        <v>15</v>
      </c>
      <c r="B1959" s="4" t="s">
        <v>1526</v>
      </c>
      <c r="C1959" s="4" t="s">
        <v>1527</v>
      </c>
      <c r="D1959" s="4" t="s">
        <v>341</v>
      </c>
      <c r="E1959" s="4" t="s">
        <v>59</v>
      </c>
      <c r="F1959" s="4" t="s">
        <v>59</v>
      </c>
      <c r="G1959" s="4" t="s">
        <v>1708</v>
      </c>
      <c r="H1959" s="4"/>
      <c r="I1959" s="4" t="n">
        <v>3.0519</v>
      </c>
      <c r="J1959" s="4" t="str">
        <f aca="false">TRIM(E1959) &amp; TRIM(C1959) &amp; TRIM(D1959)</f>
        <v>Re-reviewBoost CarouselBG</v>
      </c>
      <c r="K1959" s="4" t="n">
        <f aca="false">IFERROR(I1959*60,"")</f>
        <v>183.114</v>
      </c>
    </row>
    <row r="1960" customFormat="false" ht="15" hidden="false" customHeight="false" outlineLevel="0" collapsed="false">
      <c r="A1960" s="4" t="s">
        <v>15</v>
      </c>
      <c r="B1960" s="4" t="s">
        <v>1526</v>
      </c>
      <c r="C1960" s="4" t="s">
        <v>1535</v>
      </c>
      <c r="D1960" s="4" t="s">
        <v>70</v>
      </c>
      <c r="E1960" s="4" t="s">
        <v>59</v>
      </c>
      <c r="F1960" s="4" t="s">
        <v>59</v>
      </c>
      <c r="G1960" s="4" t="s">
        <v>1709</v>
      </c>
      <c r="H1960" s="4"/>
      <c r="I1960" s="4" t="n">
        <v>1.2647</v>
      </c>
      <c r="J1960" s="4" t="str">
        <f aca="false">TRIM(E1960) &amp; TRIM(C1960) &amp; TRIM(D1960)</f>
        <v>Re-reviewBoost VideoBE</v>
      </c>
      <c r="K1960" s="4" t="n">
        <f aca="false">IFERROR(I1960*60,"")</f>
        <v>75.882</v>
      </c>
    </row>
    <row r="1961" customFormat="false" ht="15" hidden="false" customHeight="false" outlineLevel="0" collapsed="false">
      <c r="A1961" s="4" t="s">
        <v>15</v>
      </c>
      <c r="B1961" s="4" t="s">
        <v>1526</v>
      </c>
      <c r="C1961" s="4" t="s">
        <v>1527</v>
      </c>
      <c r="D1961" s="4" t="s">
        <v>159</v>
      </c>
      <c r="E1961" s="4" t="s">
        <v>66</v>
      </c>
      <c r="F1961" s="4" t="s">
        <v>67</v>
      </c>
      <c r="G1961" s="4" t="s">
        <v>1710</v>
      </c>
      <c r="H1961" s="4"/>
      <c r="I1961" s="4" t="n">
        <v>0.952</v>
      </c>
      <c r="J1961" s="4" t="str">
        <f aca="false">TRIM(E1961) &amp; TRIM(C1961) &amp; TRIM(D1961)</f>
        <v>Posted RecallBoost CarouselDO</v>
      </c>
      <c r="K1961" s="4" t="n">
        <f aca="false">IFERROR(I1961*60,"")</f>
        <v>57.12</v>
      </c>
    </row>
    <row r="1962" customFormat="false" ht="15" hidden="false" customHeight="false" outlineLevel="0" collapsed="false">
      <c r="A1962" s="4" t="s">
        <v>15</v>
      </c>
      <c r="B1962" s="4" t="s">
        <v>1526</v>
      </c>
      <c r="C1962" s="4" t="s">
        <v>1529</v>
      </c>
      <c r="D1962" s="4" t="s">
        <v>243</v>
      </c>
      <c r="E1962" s="4" t="s">
        <v>63</v>
      </c>
      <c r="F1962" s="4" t="s">
        <v>63</v>
      </c>
      <c r="G1962" s="4" t="s">
        <v>1711</v>
      </c>
      <c r="H1962" s="4"/>
      <c r="I1962" s="4" t="n">
        <v>0.7611</v>
      </c>
      <c r="J1962" s="4" t="str">
        <f aca="false">TRIM(E1962) &amp; TRIM(C1962) &amp; TRIM(D1962)</f>
        <v>First ReviewBoost LivestreamBY</v>
      </c>
      <c r="K1962" s="4" t="n">
        <f aca="false">IFERROR(I1962*60,"")</f>
        <v>45.666</v>
      </c>
    </row>
    <row r="1963" customFormat="false" ht="15" hidden="false" customHeight="false" outlineLevel="0" collapsed="false">
      <c r="A1963" s="4" t="s">
        <v>15</v>
      </c>
      <c r="B1963" s="4" t="s">
        <v>1526</v>
      </c>
      <c r="C1963" s="4" t="s">
        <v>1529</v>
      </c>
      <c r="D1963" s="4" t="s">
        <v>85</v>
      </c>
      <c r="E1963" s="4" t="s">
        <v>63</v>
      </c>
      <c r="F1963" s="4" t="s">
        <v>63</v>
      </c>
      <c r="G1963" s="4" t="s">
        <v>1712</v>
      </c>
      <c r="H1963" s="4"/>
      <c r="I1963" s="4" t="n">
        <v>1.8091</v>
      </c>
      <c r="J1963" s="4" t="str">
        <f aca="false">TRIM(E1963) &amp; TRIM(C1963) &amp; TRIM(D1963)</f>
        <v>First ReviewBoost LivestreamEC</v>
      </c>
      <c r="K1963" s="4" t="n">
        <f aca="false">IFERROR(I1963*60,"")</f>
        <v>108.546</v>
      </c>
    </row>
    <row r="1964" customFormat="false" ht="15" hidden="false" customHeight="false" outlineLevel="0" collapsed="false">
      <c r="A1964" s="4" t="s">
        <v>15</v>
      </c>
      <c r="B1964" s="4" t="s">
        <v>1526</v>
      </c>
      <c r="C1964" s="4" t="s">
        <v>1529</v>
      </c>
      <c r="D1964" s="4" t="s">
        <v>102</v>
      </c>
      <c r="E1964" s="4" t="s">
        <v>66</v>
      </c>
      <c r="F1964" s="4" t="s">
        <v>67</v>
      </c>
      <c r="G1964" s="4" t="s">
        <v>1713</v>
      </c>
      <c r="H1964" s="4"/>
      <c r="I1964" s="4" t="n">
        <v>4.2416</v>
      </c>
      <c r="J1964" s="4" t="str">
        <f aca="false">TRIM(E1964) &amp; TRIM(C1964) &amp; TRIM(D1964)</f>
        <v>Posted RecallBoost LivestreamSE</v>
      </c>
      <c r="K1964" s="4" t="n">
        <f aca="false">IFERROR(I1964*60,"")</f>
        <v>254.496</v>
      </c>
    </row>
    <row r="1965" customFormat="false" ht="15" hidden="false" customHeight="false" outlineLevel="0" collapsed="false">
      <c r="A1965" s="4" t="s">
        <v>15</v>
      </c>
      <c r="B1965" s="4" t="s">
        <v>1526</v>
      </c>
      <c r="C1965" s="4" t="s">
        <v>1529</v>
      </c>
      <c r="D1965" s="4" t="s">
        <v>97</v>
      </c>
      <c r="E1965" s="4" t="s">
        <v>66</v>
      </c>
      <c r="F1965" s="4" t="s">
        <v>67</v>
      </c>
      <c r="G1965" s="4" t="s">
        <v>1706</v>
      </c>
      <c r="H1965" s="4"/>
      <c r="I1965" s="4" t="n">
        <v>1.7473</v>
      </c>
      <c r="J1965" s="4" t="str">
        <f aca="false">TRIM(E1965) &amp; TRIM(C1965) &amp; TRIM(D1965)</f>
        <v>Posted RecallBoost LivestreamBR</v>
      </c>
      <c r="K1965" s="4" t="n">
        <f aca="false">IFERROR(I1965*60,"")</f>
        <v>104.838</v>
      </c>
    </row>
    <row r="1966" customFormat="false" ht="15" hidden="false" customHeight="false" outlineLevel="0" collapsed="false">
      <c r="A1966" s="4" t="s">
        <v>15</v>
      </c>
      <c r="B1966" s="4" t="s">
        <v>1526</v>
      </c>
      <c r="C1966" s="4" t="s">
        <v>1527</v>
      </c>
      <c r="D1966" s="4" t="s">
        <v>154</v>
      </c>
      <c r="E1966" s="4" t="s">
        <v>66</v>
      </c>
      <c r="F1966" s="4" t="s">
        <v>67</v>
      </c>
      <c r="G1966" s="4" t="s">
        <v>1714</v>
      </c>
      <c r="H1966" s="4"/>
      <c r="I1966" s="4" t="n">
        <v>1.4137</v>
      </c>
      <c r="J1966" s="4" t="str">
        <f aca="false">TRIM(E1966) &amp; TRIM(C1966) &amp; TRIM(D1966)</f>
        <v>Posted RecallBoost CarouselES</v>
      </c>
      <c r="K1966" s="4" t="n">
        <f aca="false">IFERROR(I1966*60,"")</f>
        <v>84.822</v>
      </c>
    </row>
    <row r="1967" customFormat="false" ht="15" hidden="false" customHeight="false" outlineLevel="0" collapsed="false">
      <c r="A1967" s="4" t="s">
        <v>15</v>
      </c>
      <c r="B1967" s="4" t="s">
        <v>1526</v>
      </c>
      <c r="C1967" s="4" t="s">
        <v>1527</v>
      </c>
      <c r="D1967" s="4" t="s">
        <v>111</v>
      </c>
      <c r="E1967" s="4" t="s">
        <v>66</v>
      </c>
      <c r="F1967" s="4" t="s">
        <v>67</v>
      </c>
      <c r="G1967" s="4" t="s">
        <v>1715</v>
      </c>
      <c r="H1967" s="4"/>
      <c r="I1967" s="4" t="n">
        <v>1.3552</v>
      </c>
      <c r="J1967" s="4" t="str">
        <f aca="false">TRIM(E1967) &amp; TRIM(C1967) &amp; TRIM(D1967)</f>
        <v>Posted RecallBoost CarouselUS</v>
      </c>
      <c r="K1967" s="4" t="n">
        <f aca="false">IFERROR(I1967*60,"")</f>
        <v>81.312</v>
      </c>
    </row>
    <row r="1968" customFormat="false" ht="15" hidden="false" customHeight="false" outlineLevel="0" collapsed="false">
      <c r="A1968" s="4" t="s">
        <v>15</v>
      </c>
      <c r="B1968" s="4" t="s">
        <v>1526</v>
      </c>
      <c r="C1968" s="4" t="s">
        <v>1529</v>
      </c>
      <c r="D1968" s="4" t="s">
        <v>271</v>
      </c>
      <c r="E1968" s="4" t="s">
        <v>66</v>
      </c>
      <c r="F1968" s="4" t="s">
        <v>67</v>
      </c>
      <c r="G1968" s="4" t="s">
        <v>1716</v>
      </c>
      <c r="H1968" s="4"/>
      <c r="I1968" s="4" t="n">
        <v>1.3192</v>
      </c>
      <c r="J1968" s="4" t="str">
        <f aca="false">TRIM(E1968) &amp; TRIM(C1968) &amp; TRIM(D1968)</f>
        <v>Posted RecallBoost LivestreamKW</v>
      </c>
      <c r="K1968" s="4" t="n">
        <f aca="false">IFERROR(I1968*60,"")</f>
        <v>79.152</v>
      </c>
    </row>
    <row r="1969" customFormat="false" ht="15" hidden="false" customHeight="false" outlineLevel="0" collapsed="false">
      <c r="A1969" s="4" t="s">
        <v>15</v>
      </c>
      <c r="B1969" s="4" t="s">
        <v>1526</v>
      </c>
      <c r="C1969" s="4" t="s">
        <v>1535</v>
      </c>
      <c r="D1969" s="4" t="s">
        <v>1580</v>
      </c>
      <c r="E1969" s="4" t="s">
        <v>63</v>
      </c>
      <c r="F1969" s="4" t="s">
        <v>63</v>
      </c>
      <c r="G1969" s="4" t="s">
        <v>1581</v>
      </c>
      <c r="H1969" s="4"/>
      <c r="I1969" s="4" t="n">
        <v>4.7991</v>
      </c>
      <c r="J1969" s="4" t="str">
        <f aca="false">TRIM(E1969) &amp; TRIM(C1969) &amp; TRIM(D1969)</f>
        <v>First ReviewBoost VideoET</v>
      </c>
      <c r="K1969" s="4" t="n">
        <f aca="false">IFERROR(I1969*60,"")</f>
        <v>287.946</v>
      </c>
    </row>
    <row r="1970" customFormat="false" ht="15" hidden="false" customHeight="false" outlineLevel="0" collapsed="false">
      <c r="A1970" s="4" t="s">
        <v>15</v>
      </c>
      <c r="B1970" s="4" t="s">
        <v>1526</v>
      </c>
      <c r="C1970" s="4" t="s">
        <v>1527</v>
      </c>
      <c r="D1970" s="4" t="s">
        <v>1717</v>
      </c>
      <c r="E1970" s="4" t="s">
        <v>63</v>
      </c>
      <c r="F1970" s="4" t="s">
        <v>63</v>
      </c>
      <c r="G1970" s="4" t="s">
        <v>1718</v>
      </c>
      <c r="H1970" s="4"/>
      <c r="I1970" s="4" t="n">
        <v>0.7237</v>
      </c>
      <c r="J1970" s="4" t="str">
        <f aca="false">TRIM(E1970) &amp; TRIM(C1970) &amp; TRIM(D1970)</f>
        <v>First ReviewBoost CarouselJM</v>
      </c>
      <c r="K1970" s="4" t="n">
        <f aca="false">IFERROR(I1970*60,"")</f>
        <v>43.422</v>
      </c>
    </row>
    <row r="1971" customFormat="false" ht="15" hidden="false" customHeight="false" outlineLevel="0" collapsed="false">
      <c r="A1971" s="4" t="s">
        <v>15</v>
      </c>
      <c r="B1971" s="4" t="s">
        <v>1526</v>
      </c>
      <c r="C1971" s="4" t="s">
        <v>1527</v>
      </c>
      <c r="D1971" s="4" t="s">
        <v>185</v>
      </c>
      <c r="E1971" s="4" t="s">
        <v>63</v>
      </c>
      <c r="F1971" s="4" t="s">
        <v>63</v>
      </c>
      <c r="G1971" s="4" t="s">
        <v>1719</v>
      </c>
      <c r="H1971" s="4"/>
      <c r="I1971" s="4" t="n">
        <v>1.9944</v>
      </c>
      <c r="J1971" s="4" t="str">
        <f aca="false">TRIM(E1971) &amp; TRIM(C1971) &amp; TRIM(D1971)</f>
        <v>First ReviewBoost CarouselDK</v>
      </c>
      <c r="K1971" s="4" t="n">
        <f aca="false">IFERROR(I1971*60,"")</f>
        <v>119.664</v>
      </c>
    </row>
    <row r="1972" customFormat="false" ht="15" hidden="false" customHeight="false" outlineLevel="0" collapsed="false">
      <c r="A1972" s="4" t="s">
        <v>15</v>
      </c>
      <c r="B1972" s="4" t="s">
        <v>1526</v>
      </c>
      <c r="C1972" s="4" t="s">
        <v>1527</v>
      </c>
      <c r="D1972" s="4" t="s">
        <v>87</v>
      </c>
      <c r="E1972" s="4" t="s">
        <v>63</v>
      </c>
      <c r="F1972" s="4" t="s">
        <v>63</v>
      </c>
      <c r="G1972" s="4" t="s">
        <v>1720</v>
      </c>
      <c r="H1972" s="4"/>
      <c r="I1972" s="4" t="n">
        <v>0.9542</v>
      </c>
      <c r="J1972" s="4" t="str">
        <f aca="false">TRIM(E1972) &amp; TRIM(C1972) &amp; TRIM(D1972)</f>
        <v>First ReviewBoost CarouselAE</v>
      </c>
      <c r="K1972" s="4" t="n">
        <f aca="false">IFERROR(I1972*60,"")</f>
        <v>57.252</v>
      </c>
    </row>
    <row r="1973" customFormat="false" ht="15" hidden="false" customHeight="false" outlineLevel="0" collapsed="false">
      <c r="A1973" s="4" t="s">
        <v>15</v>
      </c>
      <c r="B1973" s="4" t="s">
        <v>1526</v>
      </c>
      <c r="C1973" s="4" t="s">
        <v>1529</v>
      </c>
      <c r="D1973" s="4" t="s">
        <v>192</v>
      </c>
      <c r="E1973" s="4" t="s">
        <v>66</v>
      </c>
      <c r="F1973" s="4" t="s">
        <v>67</v>
      </c>
      <c r="G1973" s="4" t="s">
        <v>1595</v>
      </c>
      <c r="H1973" s="4"/>
      <c r="I1973" s="4" t="n">
        <v>1.4952</v>
      </c>
      <c r="J1973" s="4" t="str">
        <f aca="false">TRIM(E1973) &amp; TRIM(C1973) &amp; TRIM(D1973)</f>
        <v>Posted RecallBoost LivestreamGT</v>
      </c>
      <c r="K1973" s="4" t="n">
        <f aca="false">IFERROR(I1973*60,"")</f>
        <v>89.712</v>
      </c>
    </row>
    <row r="1974" customFormat="false" ht="15" hidden="false" customHeight="false" outlineLevel="0" collapsed="false">
      <c r="A1974" s="4" t="s">
        <v>15</v>
      </c>
      <c r="B1974" s="4" t="s">
        <v>1526</v>
      </c>
      <c r="C1974" s="4" t="s">
        <v>1529</v>
      </c>
      <c r="D1974" s="4" t="s">
        <v>150</v>
      </c>
      <c r="E1974" s="4" t="s">
        <v>66</v>
      </c>
      <c r="F1974" s="4" t="s">
        <v>67</v>
      </c>
      <c r="G1974" s="4" t="s">
        <v>1721</v>
      </c>
      <c r="H1974" s="4"/>
      <c r="I1974" s="4" t="n">
        <v>1.7709</v>
      </c>
      <c r="J1974" s="4" t="str">
        <f aca="false">TRIM(E1974) &amp; TRIM(C1974) &amp; TRIM(D1974)</f>
        <v>Posted RecallBoost LivestreamDE</v>
      </c>
      <c r="K1974" s="4" t="n">
        <f aca="false">IFERROR(I1974*60,"")</f>
        <v>106.254</v>
      </c>
    </row>
    <row r="1975" customFormat="false" ht="15" hidden="false" customHeight="false" outlineLevel="0" collapsed="false">
      <c r="A1975" s="4" t="s">
        <v>15</v>
      </c>
      <c r="B1975" s="4" t="s">
        <v>1526</v>
      </c>
      <c r="C1975" s="4" t="s">
        <v>1527</v>
      </c>
      <c r="D1975" s="4" t="s">
        <v>126</v>
      </c>
      <c r="E1975" s="4" t="s">
        <v>66</v>
      </c>
      <c r="F1975" s="4" t="s">
        <v>67</v>
      </c>
      <c r="G1975" s="4" t="s">
        <v>1722</v>
      </c>
      <c r="H1975" s="4"/>
      <c r="I1975" s="4" t="n">
        <v>1.16</v>
      </c>
      <c r="J1975" s="4" t="str">
        <f aca="false">TRIM(E1975) &amp; TRIM(C1975) &amp; TRIM(D1975)</f>
        <v>Posted RecallBoost CarouselMX</v>
      </c>
      <c r="K1975" s="4" t="n">
        <f aca="false">IFERROR(I1975*60,"")</f>
        <v>69.6</v>
      </c>
    </row>
    <row r="1976" customFormat="false" ht="15" hidden="false" customHeight="false" outlineLevel="0" collapsed="false">
      <c r="A1976" s="4" t="s">
        <v>15</v>
      </c>
      <c r="B1976" s="4" t="s">
        <v>1526</v>
      </c>
      <c r="C1976" s="4" t="s">
        <v>1527</v>
      </c>
      <c r="D1976" s="4" t="s">
        <v>104</v>
      </c>
      <c r="E1976" s="4" t="s">
        <v>63</v>
      </c>
      <c r="F1976" s="4" t="s">
        <v>63</v>
      </c>
      <c r="G1976" s="4" t="s">
        <v>1723</v>
      </c>
      <c r="H1976" s="4"/>
      <c r="I1976" s="4" t="n">
        <v>2.0617</v>
      </c>
      <c r="J1976" s="4" t="str">
        <f aca="false">TRIM(E1976) &amp; TRIM(C1976) &amp; TRIM(D1976)</f>
        <v>First ReviewBoost CarouselIE</v>
      </c>
      <c r="K1976" s="4" t="n">
        <f aca="false">IFERROR(I1976*60,"")</f>
        <v>123.702</v>
      </c>
    </row>
    <row r="1977" customFormat="false" ht="15" hidden="false" customHeight="false" outlineLevel="0" collapsed="false">
      <c r="A1977" s="4" t="s">
        <v>15</v>
      </c>
      <c r="B1977" s="4" t="s">
        <v>1526</v>
      </c>
      <c r="C1977" s="4" t="s">
        <v>1529</v>
      </c>
      <c r="D1977" s="4" t="s">
        <v>267</v>
      </c>
      <c r="E1977" s="4" t="s">
        <v>63</v>
      </c>
      <c r="F1977" s="4" t="s">
        <v>63</v>
      </c>
      <c r="G1977" s="4" t="s">
        <v>1724</v>
      </c>
      <c r="H1977" s="4"/>
      <c r="I1977" s="4" t="n">
        <v>1.7009</v>
      </c>
      <c r="J1977" s="4" t="str">
        <f aca="false">TRIM(E1977) &amp; TRIM(C1977) &amp; TRIM(D1977)</f>
        <v>First ReviewBoost LivestreamID</v>
      </c>
      <c r="K1977" s="4" t="n">
        <f aca="false">IFERROR(I1977*60,"")</f>
        <v>102.054</v>
      </c>
    </row>
    <row r="1978" customFormat="false" ht="15" hidden="false" customHeight="false" outlineLevel="0" collapsed="false">
      <c r="A1978" s="4" t="s">
        <v>15</v>
      </c>
      <c r="B1978" s="4" t="s">
        <v>1526</v>
      </c>
      <c r="C1978" s="4" t="s">
        <v>1527</v>
      </c>
      <c r="D1978" s="4" t="s">
        <v>231</v>
      </c>
      <c r="E1978" s="4" t="s">
        <v>66</v>
      </c>
      <c r="F1978" s="4" t="s">
        <v>67</v>
      </c>
      <c r="G1978" s="4" t="s">
        <v>1725</v>
      </c>
      <c r="H1978" s="4"/>
      <c r="I1978" s="4" t="n">
        <v>1.8011</v>
      </c>
      <c r="J1978" s="4" t="str">
        <f aca="false">TRIM(E1978) &amp; TRIM(C1978) &amp; TRIM(D1978)</f>
        <v>Posted RecallBoost CarouselIL</v>
      </c>
      <c r="K1978" s="4" t="n">
        <f aca="false">IFERROR(I1978*60,"")</f>
        <v>108.066</v>
      </c>
    </row>
    <row r="1979" customFormat="false" ht="15" hidden="false" customHeight="false" outlineLevel="0" collapsed="false">
      <c r="A1979" s="4" t="s">
        <v>15</v>
      </c>
      <c r="B1979" s="4" t="s">
        <v>1526</v>
      </c>
      <c r="C1979" s="4" t="s">
        <v>1527</v>
      </c>
      <c r="D1979" s="4" t="s">
        <v>181</v>
      </c>
      <c r="E1979" s="4" t="s">
        <v>63</v>
      </c>
      <c r="F1979" s="4" t="s">
        <v>63</v>
      </c>
      <c r="G1979" s="4" t="s">
        <v>1704</v>
      </c>
      <c r="H1979" s="4"/>
      <c r="I1979" s="4" t="n">
        <v>1.0533</v>
      </c>
      <c r="J1979" s="4" t="str">
        <f aca="false">TRIM(E1979) &amp; TRIM(C1979) &amp; TRIM(D1979)</f>
        <v>First ReviewBoost CarouselLB</v>
      </c>
      <c r="K1979" s="4" t="n">
        <f aca="false">IFERROR(I1979*60,"")</f>
        <v>63.198</v>
      </c>
    </row>
    <row r="1980" customFormat="false" ht="15" hidden="false" customHeight="false" outlineLevel="0" collapsed="false">
      <c r="A1980" s="4" t="s">
        <v>15</v>
      </c>
      <c r="B1980" s="4" t="s">
        <v>1526</v>
      </c>
      <c r="C1980" s="4" t="s">
        <v>1527</v>
      </c>
      <c r="D1980" s="4" t="s">
        <v>136</v>
      </c>
      <c r="E1980" s="4" t="s">
        <v>66</v>
      </c>
      <c r="F1980" s="4" t="s">
        <v>67</v>
      </c>
      <c r="G1980" s="4" t="s">
        <v>1726</v>
      </c>
      <c r="H1980" s="4"/>
      <c r="I1980" s="4" t="n">
        <v>1.4818</v>
      </c>
      <c r="J1980" s="4" t="str">
        <f aca="false">TRIM(E1980) &amp; TRIM(C1980) &amp; TRIM(D1980)</f>
        <v>Posted RecallBoost CarouselPE</v>
      </c>
      <c r="K1980" s="4" t="n">
        <f aca="false">IFERROR(I1980*60,"")</f>
        <v>88.908</v>
      </c>
    </row>
    <row r="1981" customFormat="false" ht="15" hidden="false" customHeight="false" outlineLevel="0" collapsed="false">
      <c r="A1981" s="4" t="s">
        <v>15</v>
      </c>
      <c r="B1981" s="4" t="s">
        <v>1526</v>
      </c>
      <c r="C1981" s="4" t="s">
        <v>1527</v>
      </c>
      <c r="D1981" s="4" t="s">
        <v>265</v>
      </c>
      <c r="E1981" s="4" t="s">
        <v>59</v>
      </c>
      <c r="F1981" s="4" t="s">
        <v>59</v>
      </c>
      <c r="G1981" s="4" t="s">
        <v>1727</v>
      </c>
      <c r="H1981" s="4"/>
      <c r="I1981" s="4" t="n">
        <v>2.3038</v>
      </c>
      <c r="J1981" s="4" t="str">
        <f aca="false">TRIM(E1981) &amp; TRIM(C1981) &amp; TRIM(D1981)</f>
        <v>Re-reviewBoost CarouselNO</v>
      </c>
      <c r="K1981" s="4" t="n">
        <f aca="false">IFERROR(I1981*60,"")</f>
        <v>138.228</v>
      </c>
    </row>
    <row r="1982" customFormat="false" ht="15" hidden="false" customHeight="false" outlineLevel="0" collapsed="false">
      <c r="A1982" s="4" t="s">
        <v>15</v>
      </c>
      <c r="B1982" s="4" t="s">
        <v>1526</v>
      </c>
      <c r="C1982" s="4" t="s">
        <v>1535</v>
      </c>
      <c r="D1982" s="4" t="s">
        <v>166</v>
      </c>
      <c r="E1982" s="4" t="s">
        <v>63</v>
      </c>
      <c r="F1982" s="4" t="s">
        <v>63</v>
      </c>
      <c r="G1982" s="4" t="s">
        <v>1607</v>
      </c>
      <c r="H1982" s="4"/>
      <c r="I1982" s="4" t="n">
        <v>1.8789</v>
      </c>
      <c r="J1982" s="4" t="str">
        <f aca="false">TRIM(E1982) &amp; TRIM(C1982) &amp; TRIM(D1982)</f>
        <v>First ReviewBoost VideoCZ</v>
      </c>
      <c r="K1982" s="4" t="n">
        <f aca="false">IFERROR(I1982*60,"")</f>
        <v>112.734</v>
      </c>
    </row>
    <row r="1983" customFormat="false" ht="15" hidden="false" customHeight="false" outlineLevel="0" collapsed="false">
      <c r="A1983" s="4" t="s">
        <v>15</v>
      </c>
      <c r="B1983" s="4" t="s">
        <v>1526</v>
      </c>
      <c r="C1983" s="4" t="s">
        <v>1535</v>
      </c>
      <c r="D1983" s="4" t="s">
        <v>113</v>
      </c>
      <c r="E1983" s="4" t="s">
        <v>59</v>
      </c>
      <c r="F1983" s="4" t="s">
        <v>59</v>
      </c>
      <c r="G1983" s="4" t="s">
        <v>1588</v>
      </c>
      <c r="H1983" s="4"/>
      <c r="I1983" s="4" t="n">
        <v>3.935</v>
      </c>
      <c r="J1983" s="4" t="str">
        <f aca="false">TRIM(E1983) &amp; TRIM(C1983) &amp; TRIM(D1983)</f>
        <v>Re-reviewBoost VideoNL</v>
      </c>
      <c r="K1983" s="4" t="n">
        <f aca="false">IFERROR(I1983*60,"")</f>
        <v>236.1</v>
      </c>
    </row>
    <row r="1984" customFormat="false" ht="15" hidden="false" customHeight="false" outlineLevel="0" collapsed="false">
      <c r="A1984" s="4" t="s">
        <v>15</v>
      </c>
      <c r="B1984" s="4" t="s">
        <v>1526</v>
      </c>
      <c r="C1984" s="4" t="s">
        <v>1527</v>
      </c>
      <c r="D1984" s="4" t="s">
        <v>1673</v>
      </c>
      <c r="E1984" s="4" t="s">
        <v>63</v>
      </c>
      <c r="F1984" s="4" t="s">
        <v>63</v>
      </c>
      <c r="G1984" s="4" t="s">
        <v>1728</v>
      </c>
      <c r="H1984" s="4"/>
      <c r="I1984" s="4" t="n">
        <v>1.3911</v>
      </c>
      <c r="J1984" s="4" t="str">
        <f aca="false">TRIM(E1984) &amp; TRIM(C1984) &amp; TRIM(D1984)</f>
        <v>First ReviewBoost CarouselAL</v>
      </c>
      <c r="K1984" s="4" t="n">
        <f aca="false">IFERROR(I1984*60,"")</f>
        <v>83.466</v>
      </c>
    </row>
    <row r="1985" customFormat="false" ht="15" hidden="false" customHeight="false" outlineLevel="0" collapsed="false">
      <c r="A1985" s="4" t="s">
        <v>15</v>
      </c>
      <c r="B1985" s="4" t="s">
        <v>1526</v>
      </c>
      <c r="C1985" s="4" t="s">
        <v>1535</v>
      </c>
      <c r="D1985" s="4" t="s">
        <v>95</v>
      </c>
      <c r="E1985" s="4" t="s">
        <v>63</v>
      </c>
      <c r="F1985" s="4" t="s">
        <v>63</v>
      </c>
      <c r="G1985" s="4" t="s">
        <v>1729</v>
      </c>
      <c r="H1985" s="4"/>
      <c r="I1985" s="4" t="n">
        <v>2.2334</v>
      </c>
      <c r="J1985" s="4" t="str">
        <f aca="false">TRIM(E1985) &amp; TRIM(C1985) &amp; TRIM(D1985)</f>
        <v>First ReviewBoost VideoVN</v>
      </c>
      <c r="K1985" s="4" t="n">
        <f aca="false">IFERROR(I1985*60,"")</f>
        <v>134.004</v>
      </c>
    </row>
    <row r="1986" customFormat="false" ht="15" hidden="false" customHeight="false" outlineLevel="0" collapsed="false">
      <c r="A1986" s="4" t="s">
        <v>15</v>
      </c>
      <c r="B1986" s="4" t="s">
        <v>1526</v>
      </c>
      <c r="C1986" s="4" t="s">
        <v>1535</v>
      </c>
      <c r="D1986" s="4" t="s">
        <v>195</v>
      </c>
      <c r="E1986" s="4" t="s">
        <v>66</v>
      </c>
      <c r="F1986" s="4" t="s">
        <v>67</v>
      </c>
      <c r="G1986" s="4" t="s">
        <v>1573</v>
      </c>
      <c r="H1986" s="4"/>
      <c r="I1986" s="4" t="n">
        <v>1.6693</v>
      </c>
      <c r="J1986" s="4" t="str">
        <f aca="false">TRIM(E1986) &amp; TRIM(C1986) &amp; TRIM(D1986)</f>
        <v>Posted RecallBoost VideoIT</v>
      </c>
      <c r="K1986" s="4" t="n">
        <f aca="false">IFERROR(I1986*60,"")</f>
        <v>100.158</v>
      </c>
    </row>
    <row r="1987" customFormat="false" ht="15" hidden="false" customHeight="false" outlineLevel="0" collapsed="false">
      <c r="A1987" s="4" t="s">
        <v>15</v>
      </c>
      <c r="B1987" s="4" t="s">
        <v>1526</v>
      </c>
      <c r="C1987" s="4" t="s">
        <v>1535</v>
      </c>
      <c r="D1987" s="4" t="s">
        <v>73</v>
      </c>
      <c r="E1987" s="4" t="s">
        <v>63</v>
      </c>
      <c r="F1987" s="4" t="s">
        <v>63</v>
      </c>
      <c r="G1987" s="4" t="s">
        <v>1554</v>
      </c>
      <c r="H1987" s="4"/>
      <c r="I1987" s="4" t="n">
        <v>1.0395</v>
      </c>
      <c r="J1987" s="4" t="str">
        <f aca="false">TRIM(E1987) &amp; TRIM(C1987) &amp; TRIM(D1987)</f>
        <v>First ReviewBoost VideoIQ</v>
      </c>
      <c r="K1987" s="4" t="n">
        <f aca="false">IFERROR(I1987*60,"")</f>
        <v>62.37</v>
      </c>
    </row>
    <row r="1988" customFormat="false" ht="15" hidden="false" customHeight="false" outlineLevel="0" collapsed="false">
      <c r="A1988" s="4" t="s">
        <v>15</v>
      </c>
      <c r="B1988" s="4" t="s">
        <v>1526</v>
      </c>
      <c r="C1988" s="4" t="s">
        <v>1527</v>
      </c>
      <c r="D1988" s="4" t="s">
        <v>106</v>
      </c>
      <c r="E1988" s="4" t="s">
        <v>63</v>
      </c>
      <c r="F1988" s="4" t="s">
        <v>63</v>
      </c>
      <c r="G1988" s="4" t="s">
        <v>1730</v>
      </c>
      <c r="H1988" s="4"/>
      <c r="I1988" s="4" t="n">
        <v>1.6488</v>
      </c>
      <c r="J1988" s="4" t="str">
        <f aca="false">TRIM(E1988) &amp; TRIM(C1988) &amp; TRIM(D1988)</f>
        <v>First ReviewBoost CarouselMY</v>
      </c>
      <c r="K1988" s="4" t="n">
        <f aca="false">IFERROR(I1988*60,"")</f>
        <v>98.928</v>
      </c>
    </row>
    <row r="1989" customFormat="false" ht="15" hidden="false" customHeight="false" outlineLevel="0" collapsed="false">
      <c r="A1989" s="4" t="s">
        <v>15</v>
      </c>
      <c r="B1989" s="4" t="s">
        <v>1526</v>
      </c>
      <c r="C1989" s="4" t="s">
        <v>1535</v>
      </c>
      <c r="D1989" s="4" t="s">
        <v>162</v>
      </c>
      <c r="E1989" s="4" t="s">
        <v>63</v>
      </c>
      <c r="F1989" s="4" t="s">
        <v>63</v>
      </c>
      <c r="G1989" s="4" t="s">
        <v>1731</v>
      </c>
      <c r="H1989" s="4"/>
      <c r="I1989" s="4" t="n">
        <v>1.1375</v>
      </c>
      <c r="J1989" s="4" t="str">
        <f aca="false">TRIM(E1989) &amp; TRIM(C1989) &amp; TRIM(D1989)</f>
        <v>First ReviewBoost VideoJO</v>
      </c>
      <c r="K1989" s="4" t="n">
        <f aca="false">IFERROR(I1989*60,"")</f>
        <v>68.25</v>
      </c>
    </row>
    <row r="1990" customFormat="false" ht="15" hidden="false" customHeight="false" outlineLevel="0" collapsed="false">
      <c r="A1990" s="4" t="s">
        <v>15</v>
      </c>
      <c r="B1990" s="4" t="s">
        <v>1526</v>
      </c>
      <c r="C1990" s="4" t="s">
        <v>1527</v>
      </c>
      <c r="D1990" s="4" t="s">
        <v>255</v>
      </c>
      <c r="E1990" s="4" t="s">
        <v>63</v>
      </c>
      <c r="F1990" s="4" t="s">
        <v>63</v>
      </c>
      <c r="G1990" s="4" t="s">
        <v>1546</v>
      </c>
      <c r="H1990" s="4"/>
      <c r="I1990" s="4" t="n">
        <v>1.1116</v>
      </c>
      <c r="J1990" s="4" t="str">
        <f aca="false">TRIM(E1990) &amp; TRIM(C1990) &amp; TRIM(D1990)</f>
        <v>First ReviewBoost CarouselNZ</v>
      </c>
      <c r="K1990" s="4" t="n">
        <f aca="false">IFERROR(I1990*60,"")</f>
        <v>66.696</v>
      </c>
    </row>
    <row r="1991" customFormat="false" ht="15" hidden="false" customHeight="false" outlineLevel="0" collapsed="false">
      <c r="A1991" s="4" t="s">
        <v>15</v>
      </c>
      <c r="B1991" s="4" t="s">
        <v>1526</v>
      </c>
      <c r="C1991" s="4" t="s">
        <v>1527</v>
      </c>
      <c r="D1991" s="4" t="s">
        <v>275</v>
      </c>
      <c r="E1991" s="4" t="s">
        <v>66</v>
      </c>
      <c r="F1991" s="4" t="s">
        <v>67</v>
      </c>
      <c r="G1991" s="4" t="s">
        <v>1732</v>
      </c>
      <c r="H1991" s="4"/>
      <c r="I1991" s="4" t="n">
        <v>1.2717</v>
      </c>
      <c r="J1991" s="4" t="str">
        <f aca="false">TRIM(E1991) &amp; TRIM(C1991) &amp; TRIM(D1991)</f>
        <v>Posted RecallBoost CarouselGB</v>
      </c>
      <c r="K1991" s="4" t="n">
        <f aca="false">IFERROR(I1991*60,"")</f>
        <v>76.302</v>
      </c>
    </row>
    <row r="1992" customFormat="false" ht="15" hidden="false" customHeight="false" outlineLevel="0" collapsed="false">
      <c r="A1992" s="4" t="s">
        <v>15</v>
      </c>
      <c r="B1992" s="4" t="s">
        <v>1526</v>
      </c>
      <c r="C1992" s="4" t="s">
        <v>1527</v>
      </c>
      <c r="D1992" s="4" t="s">
        <v>124</v>
      </c>
      <c r="E1992" s="4" t="s">
        <v>66</v>
      </c>
      <c r="F1992" s="4" t="s">
        <v>67</v>
      </c>
      <c r="G1992" s="4" t="s">
        <v>1649</v>
      </c>
      <c r="H1992" s="4"/>
      <c r="I1992" s="4" t="n">
        <v>1.8604</v>
      </c>
      <c r="J1992" s="4" t="str">
        <f aca="false">TRIM(E1992) &amp; TRIM(C1992) &amp; TRIM(D1992)</f>
        <v>Posted RecallBoost CarouselPT</v>
      </c>
      <c r="K1992" s="4" t="n">
        <f aca="false">IFERROR(I1992*60,"")</f>
        <v>111.624</v>
      </c>
    </row>
    <row r="1993" customFormat="false" ht="15" hidden="false" customHeight="false" outlineLevel="0" collapsed="false">
      <c r="A1993" s="4" t="s">
        <v>15</v>
      </c>
      <c r="B1993" s="4" t="s">
        <v>1526</v>
      </c>
      <c r="C1993" s="4" t="s">
        <v>1529</v>
      </c>
      <c r="D1993" s="4" t="s">
        <v>154</v>
      </c>
      <c r="E1993" s="4" t="s">
        <v>63</v>
      </c>
      <c r="F1993" s="4" t="s">
        <v>63</v>
      </c>
      <c r="G1993" s="4" t="s">
        <v>1693</v>
      </c>
      <c r="H1993" s="4"/>
      <c r="I1993" s="4" t="n">
        <v>3.0506</v>
      </c>
      <c r="J1993" s="4" t="str">
        <f aca="false">TRIM(E1993) &amp; TRIM(C1993) &amp; TRIM(D1993)</f>
        <v>First ReviewBoost LivestreamES</v>
      </c>
      <c r="K1993" s="4" t="n">
        <f aca="false">IFERROR(I1993*60,"")</f>
        <v>183.036</v>
      </c>
    </row>
    <row r="1994" customFormat="false" ht="15" hidden="false" customHeight="false" outlineLevel="0" collapsed="false">
      <c r="A1994" s="4" t="s">
        <v>15</v>
      </c>
      <c r="B1994" s="4" t="s">
        <v>1526</v>
      </c>
      <c r="C1994" s="4" t="s">
        <v>1529</v>
      </c>
      <c r="D1994" s="4" t="s">
        <v>111</v>
      </c>
      <c r="E1994" s="4" t="s">
        <v>66</v>
      </c>
      <c r="F1994" s="4" t="s">
        <v>67</v>
      </c>
      <c r="G1994" s="4" t="s">
        <v>1584</v>
      </c>
      <c r="H1994" s="4"/>
      <c r="I1994" s="4" t="n">
        <v>1.3921</v>
      </c>
      <c r="J1994" s="4" t="str">
        <f aca="false">TRIM(E1994) &amp; TRIM(C1994) &amp; TRIM(D1994)</f>
        <v>Posted RecallBoost LivestreamUS</v>
      </c>
      <c r="K1994" s="4" t="n">
        <f aca="false">IFERROR(I1994*60,"")</f>
        <v>83.526</v>
      </c>
    </row>
    <row r="1995" customFormat="false" ht="15" hidden="false" customHeight="false" outlineLevel="0" collapsed="false">
      <c r="A1995" s="4" t="s">
        <v>15</v>
      </c>
      <c r="B1995" s="4" t="s">
        <v>1526</v>
      </c>
      <c r="C1995" s="4" t="s">
        <v>1535</v>
      </c>
      <c r="D1995" s="4" t="s">
        <v>130</v>
      </c>
      <c r="E1995" s="4" t="s">
        <v>66</v>
      </c>
      <c r="F1995" s="4" t="s">
        <v>67</v>
      </c>
      <c r="G1995" s="4" t="s">
        <v>1612</v>
      </c>
      <c r="H1995" s="4"/>
      <c r="I1995" s="4" t="n">
        <v>1.3114</v>
      </c>
      <c r="J1995" s="4" t="str">
        <f aca="false">TRIM(E1995) &amp; TRIM(C1995) &amp; TRIM(D1995)</f>
        <v>Posted RecallBoost VideoMA</v>
      </c>
      <c r="K1995" s="4" t="n">
        <f aca="false">IFERROR(I1995*60,"")</f>
        <v>78.684</v>
      </c>
    </row>
    <row r="1996" customFormat="false" ht="15" hidden="false" customHeight="false" outlineLevel="0" collapsed="false">
      <c r="A1996" s="4" t="s">
        <v>15</v>
      </c>
      <c r="B1996" s="4" t="s">
        <v>1526</v>
      </c>
      <c r="C1996" s="4" t="s">
        <v>1529</v>
      </c>
      <c r="D1996" s="4" t="s">
        <v>130</v>
      </c>
      <c r="E1996" s="4" t="s">
        <v>66</v>
      </c>
      <c r="F1996" s="4" t="s">
        <v>67</v>
      </c>
      <c r="G1996" s="4" t="s">
        <v>1733</v>
      </c>
      <c r="H1996" s="4"/>
      <c r="I1996" s="4" t="n">
        <v>1.4465</v>
      </c>
      <c r="J1996" s="4" t="str">
        <f aca="false">TRIM(E1996) &amp; TRIM(C1996) &amp; TRIM(D1996)</f>
        <v>Posted RecallBoost LivestreamMA</v>
      </c>
      <c r="K1996" s="4" t="n">
        <f aca="false">IFERROR(I1996*60,"")</f>
        <v>86.79</v>
      </c>
    </row>
    <row r="1997" customFormat="false" ht="15" hidden="false" customHeight="false" outlineLevel="0" collapsed="false">
      <c r="A1997" s="4" t="s">
        <v>15</v>
      </c>
      <c r="B1997" s="4" t="s">
        <v>1526</v>
      </c>
      <c r="C1997" s="4" t="s">
        <v>1527</v>
      </c>
      <c r="D1997" s="4" t="s">
        <v>1589</v>
      </c>
      <c r="E1997" s="4" t="s">
        <v>66</v>
      </c>
      <c r="F1997" s="4" t="s">
        <v>67</v>
      </c>
      <c r="G1997" s="4" t="s">
        <v>1734</v>
      </c>
      <c r="H1997" s="4"/>
      <c r="I1997" s="4" t="n">
        <v>1.3794</v>
      </c>
      <c r="J1997" s="4" t="str">
        <f aca="false">TRIM(E1997) &amp; TRIM(C1997) &amp; TRIM(D1997)</f>
        <v>Posted RecallBoost CarouselSV</v>
      </c>
      <c r="K1997" s="4" t="n">
        <f aca="false">IFERROR(I1997*60,"")</f>
        <v>82.764</v>
      </c>
    </row>
    <row r="1998" customFormat="false" ht="15" hidden="false" customHeight="false" outlineLevel="0" collapsed="false">
      <c r="A1998" s="4" t="s">
        <v>15</v>
      </c>
      <c r="B1998" s="4" t="s">
        <v>1526</v>
      </c>
      <c r="C1998" s="4" t="s">
        <v>1535</v>
      </c>
      <c r="D1998" s="4" t="s">
        <v>262</v>
      </c>
      <c r="E1998" s="4" t="s">
        <v>63</v>
      </c>
      <c r="F1998" s="4" t="s">
        <v>63</v>
      </c>
      <c r="G1998" s="4" t="s">
        <v>1735</v>
      </c>
      <c r="H1998" s="4"/>
      <c r="I1998" s="4" t="n">
        <v>1.3682</v>
      </c>
      <c r="J1998" s="4" t="str">
        <f aca="false">TRIM(E1998) &amp; TRIM(C1998) &amp; TRIM(D1998)</f>
        <v>First ReviewBoost VideoSI</v>
      </c>
      <c r="K1998" s="4" t="n">
        <f aca="false">IFERROR(I1998*60,"")</f>
        <v>82.092</v>
      </c>
    </row>
    <row r="1999" customFormat="false" ht="15" hidden="false" customHeight="false" outlineLevel="0" collapsed="false">
      <c r="A1999" s="4" t="s">
        <v>15</v>
      </c>
      <c r="B1999" s="4" t="s">
        <v>1526</v>
      </c>
      <c r="C1999" s="4" t="s">
        <v>1527</v>
      </c>
      <c r="D1999" s="4" t="s">
        <v>306</v>
      </c>
      <c r="E1999" s="4" t="s">
        <v>63</v>
      </c>
      <c r="F1999" s="4" t="s">
        <v>63</v>
      </c>
      <c r="G1999" s="4" t="s">
        <v>1615</v>
      </c>
      <c r="H1999" s="4"/>
      <c r="I1999" s="4" t="n">
        <v>1.3019</v>
      </c>
      <c r="J1999" s="4" t="str">
        <f aca="false">TRIM(E1999) &amp; TRIM(C1999) &amp; TRIM(D1999)</f>
        <v>First ReviewBoost CarouselTH</v>
      </c>
      <c r="K1999" s="4" t="n">
        <f aca="false">IFERROR(I1999*60,"")</f>
        <v>78.114</v>
      </c>
    </row>
    <row r="2000" customFormat="false" ht="15" hidden="false" customHeight="false" outlineLevel="0" collapsed="false">
      <c r="A2000" s="4" t="s">
        <v>15</v>
      </c>
      <c r="B2000" s="4" t="s">
        <v>1526</v>
      </c>
      <c r="C2000" s="4" t="s">
        <v>1535</v>
      </c>
      <c r="D2000" s="4" t="s">
        <v>102</v>
      </c>
      <c r="E2000" s="4" t="s">
        <v>59</v>
      </c>
      <c r="F2000" s="4" t="s">
        <v>59</v>
      </c>
      <c r="G2000" s="4" t="s">
        <v>1736</v>
      </c>
      <c r="H2000" s="4"/>
      <c r="I2000" s="4" t="n">
        <v>3.9465</v>
      </c>
      <c r="J2000" s="4" t="str">
        <f aca="false">TRIM(E2000) &amp; TRIM(C2000) &amp; TRIM(D2000)</f>
        <v>Re-reviewBoost VideoSE</v>
      </c>
      <c r="K2000" s="4" t="n">
        <f aca="false">IFERROR(I2000*60,"")</f>
        <v>236.79</v>
      </c>
    </row>
    <row r="2001" customFormat="false" ht="15" hidden="false" customHeight="false" outlineLevel="0" collapsed="false">
      <c r="A2001" s="4" t="s">
        <v>15</v>
      </c>
      <c r="B2001" s="4" t="s">
        <v>1526</v>
      </c>
      <c r="C2001" s="4" t="s">
        <v>1529</v>
      </c>
      <c r="D2001" s="4" t="s">
        <v>168</v>
      </c>
      <c r="E2001" s="4" t="s">
        <v>66</v>
      </c>
      <c r="F2001" s="4" t="s">
        <v>67</v>
      </c>
      <c r="G2001" s="4" t="s">
        <v>1691</v>
      </c>
      <c r="H2001" s="4"/>
      <c r="I2001" s="4" t="n">
        <v>2.6715</v>
      </c>
      <c r="J2001" s="4" t="str">
        <f aca="false">TRIM(E2001) &amp; TRIM(C2001) &amp; TRIM(D2001)</f>
        <v>Posted RecallBoost LivestreamKZ</v>
      </c>
      <c r="K2001" s="4" t="n">
        <f aca="false">IFERROR(I2001*60,"")</f>
        <v>160.29</v>
      </c>
    </row>
    <row r="2002" customFormat="false" ht="15" hidden="false" customHeight="false" outlineLevel="0" collapsed="false">
      <c r="A2002" s="4" t="s">
        <v>15</v>
      </c>
      <c r="B2002" s="4" t="s">
        <v>1526</v>
      </c>
      <c r="C2002" s="4" t="s">
        <v>1535</v>
      </c>
      <c r="D2002" s="4" t="s">
        <v>104</v>
      </c>
      <c r="E2002" s="4" t="s">
        <v>59</v>
      </c>
      <c r="F2002" s="4" t="s">
        <v>59</v>
      </c>
      <c r="G2002" s="4" t="s">
        <v>1650</v>
      </c>
      <c r="H2002" s="4"/>
      <c r="I2002" s="4" t="n">
        <v>2.4201</v>
      </c>
      <c r="J2002" s="4" t="str">
        <f aca="false">TRIM(E2002) &amp; TRIM(C2002) &amp; TRIM(D2002)</f>
        <v>Re-reviewBoost VideoIE</v>
      </c>
      <c r="K2002" s="4" t="n">
        <f aca="false">IFERROR(I2002*60,"")</f>
        <v>145.206</v>
      </c>
    </row>
    <row r="2003" customFormat="false" ht="15" hidden="false" customHeight="false" outlineLevel="0" collapsed="false">
      <c r="A2003" s="4" t="s">
        <v>15</v>
      </c>
      <c r="B2003" s="4" t="s">
        <v>1526</v>
      </c>
      <c r="C2003" s="4" t="s">
        <v>1527</v>
      </c>
      <c r="D2003" s="4" t="s">
        <v>1550</v>
      </c>
      <c r="E2003" s="4" t="s">
        <v>66</v>
      </c>
      <c r="F2003" s="4" t="s">
        <v>67</v>
      </c>
      <c r="G2003" s="4" t="s">
        <v>1737</v>
      </c>
      <c r="H2003" s="4"/>
      <c r="I2003" s="4" t="n">
        <v>1.1009</v>
      </c>
      <c r="J2003" s="4" t="str">
        <f aca="false">TRIM(E2003) &amp; TRIM(C2003) &amp; TRIM(D2003)</f>
        <v>Posted RecallBoost CarouselLY</v>
      </c>
      <c r="K2003" s="4" t="n">
        <f aca="false">IFERROR(I2003*60,"")</f>
        <v>66.054</v>
      </c>
    </row>
    <row r="2004" customFormat="false" ht="15" hidden="false" customHeight="false" outlineLevel="0" collapsed="false">
      <c r="A2004" s="4" t="s">
        <v>15</v>
      </c>
      <c r="B2004" s="4" t="s">
        <v>1526</v>
      </c>
      <c r="C2004" s="4" t="s">
        <v>1535</v>
      </c>
      <c r="D2004" s="4" t="s">
        <v>141</v>
      </c>
      <c r="E2004" s="4" t="s">
        <v>63</v>
      </c>
      <c r="F2004" s="4" t="s">
        <v>63</v>
      </c>
      <c r="G2004" s="4" t="s">
        <v>1605</v>
      </c>
      <c r="H2004" s="4"/>
      <c r="I2004" s="4" t="n">
        <v>1.3609</v>
      </c>
      <c r="J2004" s="4" t="str">
        <f aca="false">TRIM(E2004) &amp; TRIM(C2004) &amp; TRIM(D2004)</f>
        <v>First ReviewBoost VideoAZ</v>
      </c>
      <c r="K2004" s="4" t="n">
        <f aca="false">IFERROR(I2004*60,"")</f>
        <v>81.654</v>
      </c>
    </row>
    <row r="2005" customFormat="false" ht="15" hidden="false" customHeight="false" outlineLevel="0" collapsed="false">
      <c r="A2005" s="4" t="s">
        <v>15</v>
      </c>
      <c r="B2005" s="4" t="s">
        <v>1526</v>
      </c>
      <c r="C2005" s="4" t="s">
        <v>1535</v>
      </c>
      <c r="D2005" s="4" t="s">
        <v>139</v>
      </c>
      <c r="E2005" s="4" t="s">
        <v>63</v>
      </c>
      <c r="F2005" s="4" t="s">
        <v>63</v>
      </c>
      <c r="G2005" s="4" t="s">
        <v>1549</v>
      </c>
      <c r="H2005" s="4"/>
      <c r="I2005" s="4" t="n">
        <v>1.1219</v>
      </c>
      <c r="J2005" s="4" t="str">
        <f aca="false">TRIM(E2005) &amp; TRIM(C2005) &amp; TRIM(D2005)</f>
        <v>First ReviewBoost VideoEG</v>
      </c>
      <c r="K2005" s="4" t="n">
        <f aca="false">IFERROR(I2005*60,"")</f>
        <v>67.314</v>
      </c>
    </row>
    <row r="2006" customFormat="false" ht="15" hidden="false" customHeight="false" outlineLevel="0" collapsed="false">
      <c r="A2006" s="4" t="s">
        <v>15</v>
      </c>
      <c r="B2006" s="4" t="s">
        <v>1526</v>
      </c>
      <c r="C2006" s="4" t="s">
        <v>1527</v>
      </c>
      <c r="D2006" s="4" t="s">
        <v>104</v>
      </c>
      <c r="E2006" s="4" t="s">
        <v>66</v>
      </c>
      <c r="F2006" s="4" t="s">
        <v>67</v>
      </c>
      <c r="G2006" s="4" t="s">
        <v>1723</v>
      </c>
      <c r="H2006" s="4"/>
      <c r="I2006" s="4" t="n">
        <v>2.1222</v>
      </c>
      <c r="J2006" s="4" t="str">
        <f aca="false">TRIM(E2006) &amp; TRIM(C2006) &amp; TRIM(D2006)</f>
        <v>Posted RecallBoost CarouselIE</v>
      </c>
      <c r="K2006" s="4" t="n">
        <f aca="false">IFERROR(I2006*60,"")</f>
        <v>127.332</v>
      </c>
    </row>
    <row r="2007" customFormat="false" ht="15" hidden="false" customHeight="false" outlineLevel="0" collapsed="false">
      <c r="A2007" s="4" t="s">
        <v>15</v>
      </c>
      <c r="B2007" s="4" t="s">
        <v>1526</v>
      </c>
      <c r="C2007" s="4" t="s">
        <v>1529</v>
      </c>
      <c r="D2007" s="4" t="s">
        <v>213</v>
      </c>
      <c r="E2007" s="4" t="s">
        <v>63</v>
      </c>
      <c r="F2007" s="4" t="s">
        <v>63</v>
      </c>
      <c r="G2007" s="4" t="s">
        <v>1738</v>
      </c>
      <c r="H2007" s="4"/>
      <c r="I2007" s="4" t="n">
        <v>0.9507</v>
      </c>
      <c r="J2007" s="4" t="str">
        <f aca="false">TRIM(E2007) &amp; TRIM(C2007) &amp; TRIM(D2007)</f>
        <v>First ReviewBoost LivestreamFR</v>
      </c>
      <c r="K2007" s="4" t="n">
        <f aca="false">IFERROR(I2007*60,"")</f>
        <v>57.042</v>
      </c>
    </row>
    <row r="2008" customFormat="false" ht="15" hidden="false" customHeight="false" outlineLevel="0" collapsed="false">
      <c r="A2008" s="4" t="s">
        <v>15</v>
      </c>
      <c r="B2008" s="4" t="s">
        <v>1526</v>
      </c>
      <c r="C2008" s="4" t="s">
        <v>1529</v>
      </c>
      <c r="D2008" s="4" t="s">
        <v>203</v>
      </c>
      <c r="E2008" s="4" t="s">
        <v>63</v>
      </c>
      <c r="F2008" s="4" t="s">
        <v>63</v>
      </c>
      <c r="G2008" s="4" t="s">
        <v>1531</v>
      </c>
      <c r="H2008" s="4"/>
      <c r="I2008" s="4" t="n">
        <v>2.2446</v>
      </c>
      <c r="J2008" s="4" t="str">
        <f aca="false">TRIM(E2008) &amp; TRIM(C2008) &amp; TRIM(D2008)</f>
        <v>First ReviewBoost LivestreamCA</v>
      </c>
      <c r="K2008" s="4" t="n">
        <f aca="false">IFERROR(I2008*60,"")</f>
        <v>134.676</v>
      </c>
    </row>
    <row r="2009" customFormat="false" ht="15" hidden="false" customHeight="false" outlineLevel="0" collapsed="false">
      <c r="A2009" s="4" t="s">
        <v>15</v>
      </c>
      <c r="B2009" s="4" t="s">
        <v>1526</v>
      </c>
      <c r="C2009" s="4" t="s">
        <v>1535</v>
      </c>
      <c r="D2009" s="4" t="s">
        <v>1739</v>
      </c>
      <c r="E2009" s="4" t="s">
        <v>63</v>
      </c>
      <c r="F2009" s="4" t="s">
        <v>63</v>
      </c>
      <c r="G2009" s="4" t="s">
        <v>1740</v>
      </c>
      <c r="H2009" s="4"/>
      <c r="I2009" s="4" t="n">
        <v>1.0457</v>
      </c>
      <c r="J2009" s="4" t="str">
        <f aca="false">TRIM(E2009) &amp; TRIM(C2009) &amp; TRIM(D2009)</f>
        <v>First ReviewBoost VideoXK</v>
      </c>
      <c r="K2009" s="4" t="n">
        <f aca="false">IFERROR(I2009*60,"")</f>
        <v>62.742</v>
      </c>
    </row>
    <row r="2010" customFormat="false" ht="15" hidden="false" customHeight="false" outlineLevel="0" collapsed="false">
      <c r="A2010" s="4" t="s">
        <v>15</v>
      </c>
      <c r="B2010" s="4" t="s">
        <v>1526</v>
      </c>
      <c r="C2010" s="4" t="s">
        <v>1529</v>
      </c>
      <c r="D2010" s="4" t="s">
        <v>235</v>
      </c>
      <c r="E2010" s="4" t="s">
        <v>66</v>
      </c>
      <c r="F2010" s="4" t="s">
        <v>67</v>
      </c>
      <c r="G2010" s="4" t="s">
        <v>1741</v>
      </c>
      <c r="H2010" s="4"/>
      <c r="I2010" s="4" t="n">
        <v>2.4614</v>
      </c>
      <c r="J2010" s="4" t="str">
        <f aca="false">TRIM(E2010) &amp; TRIM(C2010) &amp; TRIM(D2010)</f>
        <v>Posted RecallBoost LivestreamJP</v>
      </c>
      <c r="K2010" s="4" t="n">
        <f aca="false">IFERROR(I2010*60,"")</f>
        <v>147.684</v>
      </c>
    </row>
    <row r="2011" customFormat="false" ht="15" hidden="false" customHeight="false" outlineLevel="0" collapsed="false">
      <c r="A2011" s="4" t="s">
        <v>15</v>
      </c>
      <c r="B2011" s="4" t="s">
        <v>1526</v>
      </c>
      <c r="C2011" s="4" t="s">
        <v>1535</v>
      </c>
      <c r="D2011" s="4" t="s">
        <v>95</v>
      </c>
      <c r="E2011" s="4" t="s">
        <v>66</v>
      </c>
      <c r="F2011" s="4" t="s">
        <v>67</v>
      </c>
      <c r="G2011" s="4" t="s">
        <v>1729</v>
      </c>
      <c r="H2011" s="4"/>
      <c r="I2011" s="4" t="n">
        <v>1.2779</v>
      </c>
      <c r="J2011" s="4" t="str">
        <f aca="false">TRIM(E2011) &amp; TRIM(C2011) &amp; TRIM(D2011)</f>
        <v>Posted RecallBoost VideoVN</v>
      </c>
      <c r="K2011" s="4" t="n">
        <f aca="false">IFERROR(I2011*60,"")</f>
        <v>76.674</v>
      </c>
    </row>
    <row r="2012" customFormat="false" ht="15" hidden="false" customHeight="false" outlineLevel="0" collapsed="false">
      <c r="A2012" s="4" t="s">
        <v>15</v>
      </c>
      <c r="B2012" s="4" t="s">
        <v>1526</v>
      </c>
      <c r="C2012" s="4" t="s">
        <v>1535</v>
      </c>
      <c r="D2012" s="4" t="s">
        <v>195</v>
      </c>
      <c r="E2012" s="4" t="s">
        <v>63</v>
      </c>
      <c r="F2012" s="4" t="s">
        <v>63</v>
      </c>
      <c r="G2012" s="4" t="s">
        <v>1573</v>
      </c>
      <c r="H2012" s="4"/>
      <c r="I2012" s="4" t="n">
        <v>2.6681</v>
      </c>
      <c r="J2012" s="4" t="str">
        <f aca="false">TRIM(E2012) &amp; TRIM(C2012) &amp; TRIM(D2012)</f>
        <v>First ReviewBoost VideoIT</v>
      </c>
      <c r="K2012" s="4" t="n">
        <f aca="false">IFERROR(I2012*60,"")</f>
        <v>160.086</v>
      </c>
    </row>
    <row r="2013" customFormat="false" ht="15" hidden="false" customHeight="false" outlineLevel="0" collapsed="false">
      <c r="A2013" s="4" t="s">
        <v>15</v>
      </c>
      <c r="B2013" s="4" t="s">
        <v>1526</v>
      </c>
      <c r="C2013" s="4" t="s">
        <v>1527</v>
      </c>
      <c r="D2013" s="4" t="s">
        <v>203</v>
      </c>
      <c r="E2013" s="4" t="s">
        <v>66</v>
      </c>
      <c r="F2013" s="4" t="s">
        <v>67</v>
      </c>
      <c r="G2013" s="4" t="s">
        <v>1672</v>
      </c>
      <c r="H2013" s="4"/>
      <c r="I2013" s="4" t="n">
        <v>1.3733</v>
      </c>
      <c r="J2013" s="4" t="str">
        <f aca="false">TRIM(E2013) &amp; TRIM(C2013) &amp; TRIM(D2013)</f>
        <v>Posted RecallBoost CarouselCA</v>
      </c>
      <c r="K2013" s="4" t="n">
        <f aca="false">IFERROR(I2013*60,"")</f>
        <v>82.398</v>
      </c>
    </row>
    <row r="2014" customFormat="false" ht="15" hidden="false" customHeight="false" outlineLevel="0" collapsed="false">
      <c r="A2014" s="4" t="s">
        <v>15</v>
      </c>
      <c r="B2014" s="4" t="s">
        <v>1526</v>
      </c>
      <c r="C2014" s="4" t="s">
        <v>1535</v>
      </c>
      <c r="D2014" s="4" t="s">
        <v>128</v>
      </c>
      <c r="E2014" s="4" t="s">
        <v>63</v>
      </c>
      <c r="F2014" s="4" t="s">
        <v>63</v>
      </c>
      <c r="G2014" s="4" t="s">
        <v>1742</v>
      </c>
      <c r="H2014" s="4"/>
      <c r="I2014" s="4" t="n">
        <v>3.6837</v>
      </c>
      <c r="J2014" s="4" t="str">
        <f aca="false">TRIM(E2014) &amp; TRIM(C2014) &amp; TRIM(D2014)</f>
        <v>First ReviewBoost VideoBD</v>
      </c>
      <c r="K2014" s="4" t="n">
        <f aca="false">IFERROR(I2014*60,"")</f>
        <v>221.022</v>
      </c>
    </row>
    <row r="2015" customFormat="false" ht="15" hidden="false" customHeight="false" outlineLevel="0" collapsed="false">
      <c r="A2015" s="4" t="s">
        <v>15</v>
      </c>
      <c r="B2015" s="4" t="s">
        <v>1526</v>
      </c>
      <c r="C2015" s="4" t="s">
        <v>1535</v>
      </c>
      <c r="D2015" s="4" t="s">
        <v>126</v>
      </c>
      <c r="E2015" s="4" t="s">
        <v>63</v>
      </c>
      <c r="F2015" s="4" t="s">
        <v>63</v>
      </c>
      <c r="G2015" s="4" t="s">
        <v>1743</v>
      </c>
      <c r="H2015" s="4"/>
      <c r="I2015" s="4" t="n">
        <v>1.58</v>
      </c>
      <c r="J2015" s="4" t="str">
        <f aca="false">TRIM(E2015) &amp; TRIM(C2015) &amp; TRIM(D2015)</f>
        <v>First ReviewBoost VideoMX</v>
      </c>
      <c r="K2015" s="4" t="n">
        <f aca="false">IFERROR(I2015*60,"")</f>
        <v>94.8</v>
      </c>
    </row>
    <row r="2016" customFormat="false" ht="15" hidden="false" customHeight="false" outlineLevel="0" collapsed="false">
      <c r="A2016" s="4" t="s">
        <v>15</v>
      </c>
      <c r="B2016" s="4" t="s">
        <v>1526</v>
      </c>
      <c r="C2016" s="4" t="s">
        <v>1535</v>
      </c>
      <c r="D2016" s="4" t="s">
        <v>150</v>
      </c>
      <c r="E2016" s="4" t="s">
        <v>63</v>
      </c>
      <c r="F2016" s="4" t="s">
        <v>63</v>
      </c>
      <c r="G2016" s="4" t="s">
        <v>1651</v>
      </c>
      <c r="H2016" s="4"/>
      <c r="I2016" s="4" t="n">
        <v>1.7061</v>
      </c>
      <c r="J2016" s="4" t="str">
        <f aca="false">TRIM(E2016) &amp; TRIM(C2016) &amp; TRIM(D2016)</f>
        <v>First ReviewBoost VideoDE</v>
      </c>
      <c r="K2016" s="4" t="n">
        <f aca="false">IFERROR(I2016*60,"")</f>
        <v>102.366</v>
      </c>
    </row>
    <row r="2017" customFormat="false" ht="15" hidden="false" customHeight="false" outlineLevel="0" collapsed="false">
      <c r="A2017" s="4" t="s">
        <v>15</v>
      </c>
      <c r="B2017" s="4" t="s">
        <v>1526</v>
      </c>
      <c r="C2017" s="4" t="s">
        <v>1535</v>
      </c>
      <c r="D2017" s="4" t="s">
        <v>1744</v>
      </c>
      <c r="E2017" s="4" t="s">
        <v>63</v>
      </c>
      <c r="F2017" s="4" t="s">
        <v>63</v>
      </c>
      <c r="G2017" s="4" t="s">
        <v>1745</v>
      </c>
      <c r="H2017" s="4"/>
      <c r="I2017" s="4" t="n">
        <v>2.6739</v>
      </c>
      <c r="J2017" s="4" t="str">
        <f aca="false">TRIM(E2017) &amp; TRIM(C2017) &amp; TRIM(D2017)</f>
        <v>First ReviewBoost VideoMM</v>
      </c>
      <c r="K2017" s="4" t="n">
        <f aca="false">IFERROR(I2017*60,"")</f>
        <v>160.434</v>
      </c>
    </row>
    <row r="2018" customFormat="false" ht="15" hidden="false" customHeight="false" outlineLevel="0" collapsed="false">
      <c r="A2018" s="4" t="s">
        <v>15</v>
      </c>
      <c r="B2018" s="4" t="s">
        <v>1526</v>
      </c>
      <c r="C2018" s="4" t="s">
        <v>1527</v>
      </c>
      <c r="D2018" s="4" t="s">
        <v>1568</v>
      </c>
      <c r="E2018" s="4" t="s">
        <v>63</v>
      </c>
      <c r="F2018" s="4" t="s">
        <v>63</v>
      </c>
      <c r="G2018" s="4" t="s">
        <v>1746</v>
      </c>
      <c r="H2018" s="4"/>
      <c r="I2018" s="4" t="n">
        <v>2.0329</v>
      </c>
      <c r="J2018" s="4" t="str">
        <f aca="false">TRIM(E2018) &amp; TRIM(C2018) &amp; TRIM(D2018)</f>
        <v>First ReviewBoost CarouselNI</v>
      </c>
      <c r="K2018" s="4" t="n">
        <f aca="false">IFERROR(I2018*60,"")</f>
        <v>121.974</v>
      </c>
    </row>
    <row r="2019" customFormat="false" ht="15" hidden="false" customHeight="false" outlineLevel="0" collapsed="false">
      <c r="A2019" s="4" t="s">
        <v>15</v>
      </c>
      <c r="B2019" s="4" t="s">
        <v>1526</v>
      </c>
      <c r="C2019" s="4" t="s">
        <v>1527</v>
      </c>
      <c r="D2019" s="4" t="s">
        <v>89</v>
      </c>
      <c r="E2019" s="4" t="s">
        <v>63</v>
      </c>
      <c r="F2019" s="4" t="s">
        <v>63</v>
      </c>
      <c r="G2019" s="4" t="s">
        <v>1585</v>
      </c>
      <c r="H2019" s="4"/>
      <c r="I2019" s="4" t="n">
        <v>2.2416</v>
      </c>
      <c r="J2019" s="4" t="str">
        <f aca="false">TRIM(E2019) &amp; TRIM(C2019) &amp; TRIM(D2019)</f>
        <v>First ReviewBoost CarouselFI</v>
      </c>
      <c r="K2019" s="4" t="n">
        <f aca="false">IFERROR(I2019*60,"")</f>
        <v>134.496</v>
      </c>
    </row>
    <row r="2020" customFormat="false" ht="15" hidden="false" customHeight="false" outlineLevel="0" collapsed="false">
      <c r="A2020" s="4" t="s">
        <v>15</v>
      </c>
      <c r="B2020" s="4" t="s">
        <v>1526</v>
      </c>
      <c r="C2020" s="4" t="s">
        <v>1535</v>
      </c>
      <c r="D2020" s="4" t="s">
        <v>159</v>
      </c>
      <c r="E2020" s="4" t="s">
        <v>66</v>
      </c>
      <c r="F2020" s="4" t="s">
        <v>67</v>
      </c>
      <c r="G2020" s="4" t="s">
        <v>1578</v>
      </c>
      <c r="H2020" s="4"/>
      <c r="I2020" s="4" t="n">
        <v>1.7469</v>
      </c>
      <c r="J2020" s="4" t="str">
        <f aca="false">TRIM(E2020) &amp; TRIM(C2020) &amp; TRIM(D2020)</f>
        <v>Posted RecallBoost VideoDO</v>
      </c>
      <c r="K2020" s="4" t="n">
        <f aca="false">IFERROR(I2020*60,"")</f>
        <v>104.814</v>
      </c>
    </row>
    <row r="2021" customFormat="false" ht="15" hidden="false" customHeight="false" outlineLevel="0" collapsed="false">
      <c r="A2021" s="4" t="s">
        <v>15</v>
      </c>
      <c r="B2021" s="4" t="s">
        <v>1526</v>
      </c>
      <c r="C2021" s="4" t="s">
        <v>1529</v>
      </c>
      <c r="D2021" s="4" t="s">
        <v>164</v>
      </c>
      <c r="E2021" s="4" t="s">
        <v>66</v>
      </c>
      <c r="F2021" s="4" t="s">
        <v>67</v>
      </c>
      <c r="G2021" s="4" t="s">
        <v>1747</v>
      </c>
      <c r="H2021" s="4"/>
      <c r="I2021" s="4" t="n">
        <v>1.9387</v>
      </c>
      <c r="J2021" s="4" t="str">
        <f aca="false">TRIM(E2021) &amp; TRIM(C2021) &amp; TRIM(D2021)</f>
        <v>Posted RecallBoost LivestreamCR</v>
      </c>
      <c r="K2021" s="4" t="n">
        <f aca="false">IFERROR(I2021*60,"")</f>
        <v>116.322</v>
      </c>
    </row>
    <row r="2022" customFormat="false" ht="15" hidden="false" customHeight="false" outlineLevel="0" collapsed="false">
      <c r="A2022" s="4" t="s">
        <v>15</v>
      </c>
      <c r="B2022" s="4" t="s">
        <v>1526</v>
      </c>
      <c r="C2022" s="4" t="s">
        <v>1529</v>
      </c>
      <c r="D2022" s="4" t="s">
        <v>58</v>
      </c>
      <c r="E2022" s="4" t="s">
        <v>63</v>
      </c>
      <c r="F2022" s="4" t="s">
        <v>63</v>
      </c>
      <c r="G2022" s="4" t="s">
        <v>1654</v>
      </c>
      <c r="H2022" s="4"/>
      <c r="I2022" s="4" t="n">
        <v>1.3536</v>
      </c>
      <c r="J2022" s="4" t="str">
        <f aca="false">TRIM(E2022) &amp; TRIM(C2022) &amp; TRIM(D2022)</f>
        <v>First ReviewBoost LivestreamSG</v>
      </c>
      <c r="K2022" s="4" t="n">
        <f aca="false">IFERROR(I2022*60,"")</f>
        <v>81.216</v>
      </c>
    </row>
    <row r="2023" customFormat="false" ht="15" hidden="false" customHeight="false" outlineLevel="0" collapsed="false">
      <c r="A2023" s="4" t="s">
        <v>15</v>
      </c>
      <c r="B2023" s="4" t="s">
        <v>1526</v>
      </c>
      <c r="C2023" s="4" t="s">
        <v>1535</v>
      </c>
      <c r="D2023" s="4" t="s">
        <v>79</v>
      </c>
      <c r="E2023" s="4" t="s">
        <v>63</v>
      </c>
      <c r="F2023" s="4" t="s">
        <v>63</v>
      </c>
      <c r="G2023" s="4" t="s">
        <v>1633</v>
      </c>
      <c r="H2023" s="4"/>
      <c r="I2023" s="4" t="n">
        <v>1.6461</v>
      </c>
      <c r="J2023" s="4" t="str">
        <f aca="false">TRIM(E2023) &amp; TRIM(C2023) &amp; TRIM(D2023)</f>
        <v>First ReviewBoost VideoZA</v>
      </c>
      <c r="K2023" s="4" t="n">
        <f aca="false">IFERROR(I2023*60,"")</f>
        <v>98.766</v>
      </c>
    </row>
    <row r="2024" customFormat="false" ht="15" hidden="false" customHeight="false" outlineLevel="0" collapsed="false">
      <c r="A2024" s="4" t="s">
        <v>15</v>
      </c>
      <c r="B2024" s="4" t="s">
        <v>1526</v>
      </c>
      <c r="C2024" s="4" t="s">
        <v>1527</v>
      </c>
      <c r="D2024" s="4" t="s">
        <v>70</v>
      </c>
      <c r="E2024" s="4" t="s">
        <v>63</v>
      </c>
      <c r="F2024" s="4" t="s">
        <v>63</v>
      </c>
      <c r="G2024" s="4" t="s">
        <v>1583</v>
      </c>
      <c r="H2024" s="4"/>
      <c r="I2024" s="4" t="n">
        <v>1.5811</v>
      </c>
      <c r="J2024" s="4" t="str">
        <f aca="false">TRIM(E2024) &amp; TRIM(C2024) &amp; TRIM(D2024)</f>
        <v>First ReviewBoost CarouselBE</v>
      </c>
      <c r="K2024" s="4" t="n">
        <f aca="false">IFERROR(I2024*60,"")</f>
        <v>94.866</v>
      </c>
    </row>
    <row r="2025" customFormat="false" ht="15" hidden="false" customHeight="false" outlineLevel="0" collapsed="false">
      <c r="A2025" s="4" t="s">
        <v>15</v>
      </c>
      <c r="B2025" s="4" t="s">
        <v>1526</v>
      </c>
      <c r="C2025" s="4" t="s">
        <v>1535</v>
      </c>
      <c r="D2025" s="4" t="s">
        <v>199</v>
      </c>
      <c r="E2025" s="4" t="s">
        <v>66</v>
      </c>
      <c r="F2025" s="4" t="s">
        <v>67</v>
      </c>
      <c r="G2025" s="4" t="s">
        <v>1638</v>
      </c>
      <c r="H2025" s="4"/>
      <c r="I2025" s="4" t="n">
        <v>1.2308</v>
      </c>
      <c r="J2025" s="4" t="str">
        <f aca="false">TRIM(E2025) &amp; TRIM(C2025) &amp; TRIM(D2025)</f>
        <v>Posted RecallBoost VideoBH</v>
      </c>
      <c r="K2025" s="4" t="n">
        <f aca="false">IFERROR(I2025*60,"")</f>
        <v>73.848</v>
      </c>
    </row>
    <row r="2026" customFormat="false" ht="15" hidden="false" customHeight="false" outlineLevel="0" collapsed="false">
      <c r="A2026" s="4" t="s">
        <v>15</v>
      </c>
      <c r="B2026" s="4" t="s">
        <v>1526</v>
      </c>
      <c r="C2026" s="4" t="s">
        <v>1527</v>
      </c>
      <c r="D2026" s="4" t="s">
        <v>1739</v>
      </c>
      <c r="E2026" s="4" t="s">
        <v>63</v>
      </c>
      <c r="F2026" s="4" t="s">
        <v>63</v>
      </c>
      <c r="G2026" s="4" t="s">
        <v>1748</v>
      </c>
      <c r="H2026" s="4"/>
      <c r="I2026" s="4" t="n">
        <v>0.5819</v>
      </c>
      <c r="J2026" s="4" t="str">
        <f aca="false">TRIM(E2026) &amp; TRIM(C2026) &amp; TRIM(D2026)</f>
        <v>First ReviewBoost CarouselXK</v>
      </c>
      <c r="K2026" s="4" t="n">
        <f aca="false">IFERROR(I2026*60,"")</f>
        <v>34.914</v>
      </c>
    </row>
    <row r="2027" customFormat="false" ht="15" hidden="false" customHeight="false" outlineLevel="0" collapsed="false">
      <c r="A2027" s="4" t="s">
        <v>15</v>
      </c>
      <c r="B2027" s="4" t="s">
        <v>1526</v>
      </c>
      <c r="C2027" s="4" t="s">
        <v>1535</v>
      </c>
      <c r="D2027" s="4" t="s">
        <v>70</v>
      </c>
      <c r="E2027" s="4" t="s">
        <v>63</v>
      </c>
      <c r="F2027" s="4" t="s">
        <v>63</v>
      </c>
      <c r="G2027" s="4" t="s">
        <v>1709</v>
      </c>
      <c r="H2027" s="4"/>
      <c r="I2027" s="4" t="n">
        <v>1.5292</v>
      </c>
      <c r="J2027" s="4" t="str">
        <f aca="false">TRIM(E2027) &amp; TRIM(C2027) &amp; TRIM(D2027)</f>
        <v>First ReviewBoost VideoBE</v>
      </c>
      <c r="K2027" s="4" t="n">
        <f aca="false">IFERROR(I2027*60,"")</f>
        <v>91.752</v>
      </c>
    </row>
    <row r="2028" customFormat="false" ht="15" hidden="false" customHeight="false" outlineLevel="0" collapsed="false">
      <c r="A2028" s="4" t="s">
        <v>15</v>
      </c>
      <c r="B2028" s="4" t="s">
        <v>1526</v>
      </c>
      <c r="C2028" s="4" t="s">
        <v>1527</v>
      </c>
      <c r="D2028" s="4" t="s">
        <v>308</v>
      </c>
      <c r="E2028" s="4" t="s">
        <v>59</v>
      </c>
      <c r="F2028" s="4" t="s">
        <v>59</v>
      </c>
      <c r="G2028" s="4" t="s">
        <v>1749</v>
      </c>
      <c r="H2028" s="4"/>
      <c r="I2028" s="4" t="n">
        <v>1.799</v>
      </c>
      <c r="J2028" s="4" t="str">
        <f aca="false">TRIM(E2028) &amp; TRIM(C2028) &amp; TRIM(D2028)</f>
        <v>Re-reviewBoost CarouselPL</v>
      </c>
      <c r="K2028" s="4" t="n">
        <f aca="false">IFERROR(I2028*60,"")</f>
        <v>107.94</v>
      </c>
    </row>
    <row r="2029" customFormat="false" ht="15" hidden="false" customHeight="false" outlineLevel="0" collapsed="false">
      <c r="A2029" s="4" t="s">
        <v>15</v>
      </c>
      <c r="B2029" s="4" t="s">
        <v>1526</v>
      </c>
      <c r="C2029" s="4" t="s">
        <v>1527</v>
      </c>
      <c r="D2029" s="4" t="s">
        <v>238</v>
      </c>
      <c r="E2029" s="4" t="s">
        <v>63</v>
      </c>
      <c r="F2029" s="4" t="s">
        <v>63</v>
      </c>
      <c r="G2029" s="4" t="s">
        <v>1669</v>
      </c>
      <c r="H2029" s="4"/>
      <c r="I2029" s="4" t="n">
        <v>1.2778</v>
      </c>
      <c r="J2029" s="4" t="str">
        <f aca="false">TRIM(E2029) &amp; TRIM(C2029) &amp; TRIM(D2029)</f>
        <v>First ReviewBoost CarouselCH</v>
      </c>
      <c r="K2029" s="4" t="n">
        <f aca="false">IFERROR(I2029*60,"")</f>
        <v>76.668</v>
      </c>
    </row>
    <row r="2030" customFormat="false" ht="15" hidden="false" customHeight="false" outlineLevel="0" collapsed="false">
      <c r="A2030" s="4" t="s">
        <v>15</v>
      </c>
      <c r="B2030" s="4" t="s">
        <v>1526</v>
      </c>
      <c r="C2030" s="4" t="s">
        <v>1529</v>
      </c>
      <c r="D2030" s="4" t="s">
        <v>208</v>
      </c>
      <c r="E2030" s="4" t="s">
        <v>66</v>
      </c>
      <c r="F2030" s="4" t="s">
        <v>67</v>
      </c>
      <c r="G2030" s="4" t="s">
        <v>1565</v>
      </c>
      <c r="H2030" s="4"/>
      <c r="I2030" s="4" t="n">
        <v>1.1343</v>
      </c>
      <c r="J2030" s="4" t="str">
        <f aca="false">TRIM(E2030) &amp; TRIM(C2030) &amp; TRIM(D2030)</f>
        <v>Posted RecallBoost LivestreamCO</v>
      </c>
      <c r="K2030" s="4" t="n">
        <f aca="false">IFERROR(I2030*60,"")</f>
        <v>68.058</v>
      </c>
    </row>
    <row r="2031" customFormat="false" ht="15" hidden="false" customHeight="false" outlineLevel="0" collapsed="false">
      <c r="A2031" s="4" t="s">
        <v>15</v>
      </c>
      <c r="B2031" s="4" t="s">
        <v>1526</v>
      </c>
      <c r="C2031" s="4" t="s">
        <v>1527</v>
      </c>
      <c r="D2031" s="4" t="s">
        <v>102</v>
      </c>
      <c r="E2031" s="4" t="s">
        <v>66</v>
      </c>
      <c r="F2031" s="4" t="s">
        <v>67</v>
      </c>
      <c r="G2031" s="4" t="s">
        <v>1641</v>
      </c>
      <c r="H2031" s="4"/>
      <c r="I2031" s="4" t="n">
        <v>1.2279</v>
      </c>
      <c r="J2031" s="4" t="str">
        <f aca="false">TRIM(E2031) &amp; TRIM(C2031) &amp; TRIM(D2031)</f>
        <v>Posted RecallBoost CarouselSE</v>
      </c>
      <c r="K2031" s="4" t="n">
        <f aca="false">IFERROR(I2031*60,"")</f>
        <v>73.674</v>
      </c>
    </row>
    <row r="2032" customFormat="false" ht="15" hidden="false" customHeight="false" outlineLevel="0" collapsed="false">
      <c r="A2032" s="4" t="s">
        <v>15</v>
      </c>
      <c r="B2032" s="4" t="s">
        <v>1526</v>
      </c>
      <c r="C2032" s="4" t="s">
        <v>1535</v>
      </c>
      <c r="D2032" s="4" t="s">
        <v>102</v>
      </c>
      <c r="E2032" s="4" t="s">
        <v>66</v>
      </c>
      <c r="F2032" s="4" t="s">
        <v>67</v>
      </c>
      <c r="G2032" s="4" t="s">
        <v>1736</v>
      </c>
      <c r="H2032" s="4"/>
      <c r="I2032" s="4" t="n">
        <v>0.8983</v>
      </c>
      <c r="J2032" s="4" t="str">
        <f aca="false">TRIM(E2032) &amp; TRIM(C2032) &amp; TRIM(D2032)</f>
        <v>Posted RecallBoost VideoSE</v>
      </c>
      <c r="K2032" s="4" t="n">
        <f aca="false">IFERROR(I2032*60,"")</f>
        <v>53.898</v>
      </c>
    </row>
    <row r="2033" customFormat="false" ht="15" hidden="false" customHeight="false" outlineLevel="0" collapsed="false">
      <c r="A2033" s="4" t="s">
        <v>15</v>
      </c>
      <c r="B2033" s="4" t="s">
        <v>1526</v>
      </c>
      <c r="C2033" s="4" t="s">
        <v>1527</v>
      </c>
      <c r="D2033" s="4" t="s">
        <v>85</v>
      </c>
      <c r="E2033" s="4" t="s">
        <v>66</v>
      </c>
      <c r="F2033" s="4" t="s">
        <v>67</v>
      </c>
      <c r="G2033" s="4" t="s">
        <v>1750</v>
      </c>
      <c r="H2033" s="4"/>
      <c r="I2033" s="4" t="n">
        <v>1.1504</v>
      </c>
      <c r="J2033" s="4" t="str">
        <f aca="false">TRIM(E2033) &amp; TRIM(C2033) &amp; TRIM(D2033)</f>
        <v>Posted RecallBoost CarouselEC</v>
      </c>
      <c r="K2033" s="4" t="n">
        <f aca="false">IFERROR(I2033*60,"")</f>
        <v>69.024</v>
      </c>
    </row>
    <row r="2034" customFormat="false" ht="15" hidden="false" customHeight="false" outlineLevel="0" collapsed="false">
      <c r="A2034" s="4" t="s">
        <v>15</v>
      </c>
      <c r="B2034" s="4" t="s">
        <v>1526</v>
      </c>
      <c r="C2034" s="4" t="s">
        <v>1527</v>
      </c>
      <c r="D2034" s="4" t="s">
        <v>82</v>
      </c>
      <c r="E2034" s="4" t="s">
        <v>63</v>
      </c>
      <c r="F2034" s="4" t="s">
        <v>63</v>
      </c>
      <c r="G2034" s="4" t="s">
        <v>1558</v>
      </c>
      <c r="H2034" s="4"/>
      <c r="I2034" s="4" t="n">
        <v>1.3192</v>
      </c>
      <c r="J2034" s="4" t="str">
        <f aca="false">TRIM(E2034) &amp; TRIM(C2034) &amp; TRIM(D2034)</f>
        <v>First ReviewBoost CarouselKH</v>
      </c>
      <c r="K2034" s="4" t="n">
        <f aca="false">IFERROR(I2034*60,"")</f>
        <v>79.152</v>
      </c>
    </row>
    <row r="2035" customFormat="false" ht="15" hidden="false" customHeight="false" outlineLevel="0" collapsed="false">
      <c r="A2035" s="4" t="s">
        <v>15</v>
      </c>
      <c r="B2035" s="4" t="s">
        <v>1526</v>
      </c>
      <c r="C2035" s="4" t="s">
        <v>1535</v>
      </c>
      <c r="D2035" s="4" t="s">
        <v>415</v>
      </c>
      <c r="E2035" s="4" t="s">
        <v>63</v>
      </c>
      <c r="F2035" s="4" t="s">
        <v>63</v>
      </c>
      <c r="G2035" s="4" t="s">
        <v>1751</v>
      </c>
      <c r="H2035" s="4"/>
      <c r="I2035" s="4" t="n">
        <v>1.3968</v>
      </c>
      <c r="J2035" s="4" t="str">
        <f aca="false">TRIM(E2035) &amp; TRIM(C2035) &amp; TRIM(D2035)</f>
        <v>First ReviewBoost VideoNG</v>
      </c>
      <c r="K2035" s="4" t="n">
        <f aca="false">IFERROR(I2035*60,"")</f>
        <v>83.808</v>
      </c>
    </row>
    <row r="2036" customFormat="false" ht="15" hidden="false" customHeight="false" outlineLevel="0" collapsed="false">
      <c r="A2036" s="4" t="s">
        <v>15</v>
      </c>
      <c r="B2036" s="4" t="s">
        <v>1526</v>
      </c>
      <c r="C2036" s="4" t="s">
        <v>1535</v>
      </c>
      <c r="D2036" s="4" t="s">
        <v>235</v>
      </c>
      <c r="E2036" s="4" t="s">
        <v>66</v>
      </c>
      <c r="F2036" s="4" t="s">
        <v>67</v>
      </c>
      <c r="G2036" s="4" t="s">
        <v>1685</v>
      </c>
      <c r="H2036" s="4"/>
      <c r="I2036" s="4" t="n">
        <v>1.2151</v>
      </c>
      <c r="J2036" s="4" t="str">
        <f aca="false">TRIM(E2036) &amp; TRIM(C2036) &amp; TRIM(D2036)</f>
        <v>Posted RecallBoost VideoJP</v>
      </c>
      <c r="K2036" s="4" t="n">
        <f aca="false">IFERROR(I2036*60,"")</f>
        <v>72.906</v>
      </c>
    </row>
    <row r="2037" customFormat="false" ht="15" hidden="false" customHeight="false" outlineLevel="0" collapsed="false">
      <c r="A2037" s="4" t="s">
        <v>15</v>
      </c>
      <c r="B2037" s="4" t="s">
        <v>1526</v>
      </c>
      <c r="C2037" s="4" t="s">
        <v>1527</v>
      </c>
      <c r="D2037" s="4" t="s">
        <v>185</v>
      </c>
      <c r="E2037" s="4" t="s">
        <v>59</v>
      </c>
      <c r="F2037" s="4" t="s">
        <v>59</v>
      </c>
      <c r="G2037" s="4" t="s">
        <v>1719</v>
      </c>
      <c r="H2037" s="4"/>
      <c r="I2037" s="4" t="n">
        <v>1.6171</v>
      </c>
      <c r="J2037" s="4" t="str">
        <f aca="false">TRIM(E2037) &amp; TRIM(C2037) &amp; TRIM(D2037)</f>
        <v>Re-reviewBoost CarouselDK</v>
      </c>
      <c r="K2037" s="4" t="n">
        <f aca="false">IFERROR(I2037*60,"")</f>
        <v>97.026</v>
      </c>
    </row>
    <row r="2038" customFormat="false" ht="15" hidden="false" customHeight="false" outlineLevel="0" collapsed="false">
      <c r="A2038" s="4" t="s">
        <v>15</v>
      </c>
      <c r="B2038" s="4" t="s">
        <v>1526</v>
      </c>
      <c r="C2038" s="4" t="s">
        <v>1535</v>
      </c>
      <c r="D2038" s="4" t="s">
        <v>306</v>
      </c>
      <c r="E2038" s="4" t="s">
        <v>63</v>
      </c>
      <c r="F2038" s="4" t="s">
        <v>63</v>
      </c>
      <c r="G2038" s="4" t="s">
        <v>1608</v>
      </c>
      <c r="H2038" s="4"/>
      <c r="I2038" s="4" t="n">
        <v>0.9351</v>
      </c>
      <c r="J2038" s="4" t="str">
        <f aca="false">TRIM(E2038) &amp; TRIM(C2038) &amp; TRIM(D2038)</f>
        <v>First ReviewBoost VideoTH</v>
      </c>
      <c r="K2038" s="4" t="n">
        <f aca="false">IFERROR(I2038*60,"")</f>
        <v>56.106</v>
      </c>
    </row>
    <row r="2039" customFormat="false" ht="15" hidden="false" customHeight="false" outlineLevel="0" collapsed="false">
      <c r="A2039" s="4" t="s">
        <v>15</v>
      </c>
      <c r="B2039" s="4" t="s">
        <v>1526</v>
      </c>
      <c r="C2039" s="4" t="s">
        <v>1535</v>
      </c>
      <c r="D2039" s="4" t="s">
        <v>308</v>
      </c>
      <c r="E2039" s="4" t="s">
        <v>59</v>
      </c>
      <c r="F2039" s="4" t="s">
        <v>59</v>
      </c>
      <c r="G2039" s="4" t="s">
        <v>1556</v>
      </c>
      <c r="H2039" s="4"/>
      <c r="I2039" s="4" t="n">
        <v>3.4038</v>
      </c>
      <c r="J2039" s="4" t="str">
        <f aca="false">TRIM(E2039) &amp; TRIM(C2039) &amp; TRIM(D2039)</f>
        <v>Re-reviewBoost VideoPL</v>
      </c>
      <c r="K2039" s="4" t="n">
        <f aca="false">IFERROR(I2039*60,"")</f>
        <v>204.228</v>
      </c>
    </row>
    <row r="2040" customFormat="false" ht="15" hidden="false" customHeight="false" outlineLevel="0" collapsed="false">
      <c r="A2040" s="4" t="s">
        <v>15</v>
      </c>
      <c r="B2040" s="4" t="s">
        <v>1526</v>
      </c>
      <c r="C2040" s="4" t="s">
        <v>1535</v>
      </c>
      <c r="D2040" s="4" t="s">
        <v>1568</v>
      </c>
      <c r="E2040" s="4" t="s">
        <v>66</v>
      </c>
      <c r="F2040" s="4" t="s">
        <v>67</v>
      </c>
      <c r="G2040" s="4" t="s">
        <v>1569</v>
      </c>
      <c r="H2040" s="4"/>
      <c r="I2040" s="4" t="n">
        <v>2.2868</v>
      </c>
      <c r="J2040" s="4" t="str">
        <f aca="false">TRIM(E2040) &amp; TRIM(C2040) &amp; TRIM(D2040)</f>
        <v>Posted RecallBoost VideoNI</v>
      </c>
      <c r="K2040" s="4" t="n">
        <f aca="false">IFERROR(I2040*60,"")</f>
        <v>137.208</v>
      </c>
    </row>
    <row r="2041" customFormat="false" ht="15" hidden="false" customHeight="false" outlineLevel="0" collapsed="false">
      <c r="A2041" s="4" t="s">
        <v>15</v>
      </c>
      <c r="B2041" s="4" t="s">
        <v>1526</v>
      </c>
      <c r="C2041" s="4" t="s">
        <v>1535</v>
      </c>
      <c r="D2041" s="4" t="s">
        <v>319</v>
      </c>
      <c r="E2041" s="4" t="s">
        <v>63</v>
      </c>
      <c r="F2041" s="4" t="s">
        <v>63</v>
      </c>
      <c r="G2041" s="4" t="s">
        <v>1679</v>
      </c>
      <c r="H2041" s="4"/>
      <c r="I2041" s="4" t="n">
        <v>2.0095</v>
      </c>
      <c r="J2041" s="4" t="str">
        <f aca="false">TRIM(E2041) &amp; TRIM(C2041) &amp; TRIM(D2041)</f>
        <v>First ReviewBoost VideoSK</v>
      </c>
      <c r="K2041" s="4" t="n">
        <f aca="false">IFERROR(I2041*60,"")</f>
        <v>120.57</v>
      </c>
    </row>
    <row r="2042" customFormat="false" ht="15" hidden="false" customHeight="false" outlineLevel="0" collapsed="false">
      <c r="A2042" s="4" t="s">
        <v>15</v>
      </c>
      <c r="B2042" s="4" t="s">
        <v>1526</v>
      </c>
      <c r="C2042" s="4" t="s">
        <v>1527</v>
      </c>
      <c r="D2042" s="4" t="s">
        <v>121</v>
      </c>
      <c r="E2042" s="4" t="s">
        <v>66</v>
      </c>
      <c r="F2042" s="4" t="s">
        <v>67</v>
      </c>
      <c r="G2042" s="4" t="s">
        <v>1592</v>
      </c>
      <c r="H2042" s="4"/>
      <c r="I2042" s="4" t="n">
        <v>1.2586</v>
      </c>
      <c r="J2042" s="4" t="str">
        <f aca="false">TRIM(E2042) &amp; TRIM(C2042) &amp; TRIM(D2042)</f>
        <v>Posted RecallBoost CarouselKR</v>
      </c>
      <c r="K2042" s="4" t="n">
        <f aca="false">IFERROR(I2042*60,"")</f>
        <v>75.516</v>
      </c>
    </row>
    <row r="2043" customFormat="false" ht="15" hidden="false" customHeight="false" outlineLevel="0" collapsed="false">
      <c r="A2043" s="4" t="s">
        <v>15</v>
      </c>
      <c r="B2043" s="4" t="s">
        <v>1526</v>
      </c>
      <c r="C2043" s="4" t="s">
        <v>1527</v>
      </c>
      <c r="D2043" s="4" t="s">
        <v>168</v>
      </c>
      <c r="E2043" s="4" t="s">
        <v>63</v>
      </c>
      <c r="F2043" s="4" t="s">
        <v>63</v>
      </c>
      <c r="G2043" s="4" t="s">
        <v>1577</v>
      </c>
      <c r="H2043" s="4"/>
      <c r="I2043" s="4" t="n">
        <v>1.7895</v>
      </c>
      <c r="J2043" s="4" t="str">
        <f aca="false">TRIM(E2043) &amp; TRIM(C2043) &amp; TRIM(D2043)</f>
        <v>First ReviewBoost CarouselKZ</v>
      </c>
      <c r="K2043" s="4" t="n">
        <f aca="false">IFERROR(I2043*60,"")</f>
        <v>107.37</v>
      </c>
    </row>
    <row r="2044" customFormat="false" ht="15" hidden="false" customHeight="false" outlineLevel="0" collapsed="false">
      <c r="A2044" s="4" t="s">
        <v>15</v>
      </c>
      <c r="B2044" s="4" t="s">
        <v>1526</v>
      </c>
      <c r="C2044" s="4" t="s">
        <v>1535</v>
      </c>
      <c r="D2044" s="4" t="s">
        <v>89</v>
      </c>
      <c r="E2044" s="4" t="s">
        <v>59</v>
      </c>
      <c r="F2044" s="4" t="s">
        <v>59</v>
      </c>
      <c r="G2044" s="4" t="s">
        <v>1752</v>
      </c>
      <c r="H2044" s="4"/>
      <c r="I2044" s="4" t="n">
        <v>2.838</v>
      </c>
      <c r="J2044" s="4" t="str">
        <f aca="false">TRIM(E2044) &amp; TRIM(C2044) &amp; TRIM(D2044)</f>
        <v>Re-reviewBoost VideoFI</v>
      </c>
      <c r="K2044" s="4" t="n">
        <f aca="false">IFERROR(I2044*60,"")</f>
        <v>170.28</v>
      </c>
    </row>
    <row r="2045" customFormat="false" ht="15" hidden="false" customHeight="false" outlineLevel="0" collapsed="false">
      <c r="A2045" s="4" t="s">
        <v>15</v>
      </c>
      <c r="B2045" s="4" t="s">
        <v>1526</v>
      </c>
      <c r="C2045" s="4" t="s">
        <v>1529</v>
      </c>
      <c r="D2045" s="4" t="s">
        <v>150</v>
      </c>
      <c r="E2045" s="4" t="s">
        <v>63</v>
      </c>
      <c r="F2045" s="4" t="s">
        <v>63</v>
      </c>
      <c r="G2045" s="4" t="s">
        <v>1721</v>
      </c>
      <c r="H2045" s="4"/>
      <c r="I2045" s="4" t="n">
        <v>1.8817</v>
      </c>
      <c r="J2045" s="4" t="str">
        <f aca="false">TRIM(E2045) &amp; TRIM(C2045) &amp; TRIM(D2045)</f>
        <v>First ReviewBoost LivestreamDE</v>
      </c>
      <c r="K2045" s="4" t="n">
        <f aca="false">IFERROR(I2045*60,"")</f>
        <v>112.902</v>
      </c>
    </row>
    <row r="2046" customFormat="false" ht="15" hidden="false" customHeight="false" outlineLevel="0" collapsed="false">
      <c r="A2046" s="4" t="s">
        <v>15</v>
      </c>
      <c r="B2046" s="4" t="s">
        <v>1526</v>
      </c>
      <c r="C2046" s="4" t="s">
        <v>1535</v>
      </c>
      <c r="D2046" s="4" t="s">
        <v>213</v>
      </c>
      <c r="E2046" s="4" t="s">
        <v>66</v>
      </c>
      <c r="F2046" s="4" t="s">
        <v>67</v>
      </c>
      <c r="G2046" s="4" t="s">
        <v>1632</v>
      </c>
      <c r="H2046" s="4"/>
      <c r="I2046" s="4" t="n">
        <v>1.2866</v>
      </c>
      <c r="J2046" s="4" t="str">
        <f aca="false">TRIM(E2046) &amp; TRIM(C2046) &amp; TRIM(D2046)</f>
        <v>Posted RecallBoost VideoFR</v>
      </c>
      <c r="K2046" s="4" t="n">
        <f aca="false">IFERROR(I2046*60,"")</f>
        <v>77.196</v>
      </c>
    </row>
    <row r="2047" customFormat="false" ht="15" hidden="false" customHeight="false" outlineLevel="0" collapsed="false">
      <c r="A2047" s="4" t="s">
        <v>15</v>
      </c>
      <c r="B2047" s="4" t="s">
        <v>1526</v>
      </c>
      <c r="C2047" s="4" t="s">
        <v>1529</v>
      </c>
      <c r="D2047" s="4" t="s">
        <v>95</v>
      </c>
      <c r="E2047" s="4" t="s">
        <v>66</v>
      </c>
      <c r="F2047" s="4" t="s">
        <v>67</v>
      </c>
      <c r="G2047" s="4" t="s">
        <v>1545</v>
      </c>
      <c r="H2047" s="4"/>
      <c r="I2047" s="4" t="n">
        <v>1.9375</v>
      </c>
      <c r="J2047" s="4" t="str">
        <f aca="false">TRIM(E2047) &amp; TRIM(C2047) &amp; TRIM(D2047)</f>
        <v>Posted RecallBoost LivestreamVN</v>
      </c>
      <c r="K2047" s="4" t="n">
        <f aca="false">IFERROR(I2047*60,"")</f>
        <v>116.25</v>
      </c>
    </row>
    <row r="2048" customFormat="false" ht="15" hidden="false" customHeight="false" outlineLevel="0" collapsed="false">
      <c r="A2048" s="4" t="s">
        <v>15</v>
      </c>
      <c r="B2048" s="4" t="s">
        <v>1526</v>
      </c>
      <c r="C2048" s="4" t="s">
        <v>1535</v>
      </c>
      <c r="D2048" s="4" t="s">
        <v>1673</v>
      </c>
      <c r="E2048" s="4" t="s">
        <v>63</v>
      </c>
      <c r="F2048" s="4" t="s">
        <v>63</v>
      </c>
      <c r="G2048" s="4" t="s">
        <v>1674</v>
      </c>
      <c r="H2048" s="4"/>
      <c r="I2048" s="4" t="n">
        <v>0.7099</v>
      </c>
      <c r="J2048" s="4" t="str">
        <f aca="false">TRIM(E2048) &amp; TRIM(C2048) &amp; TRIM(D2048)</f>
        <v>First ReviewBoost VideoAL</v>
      </c>
      <c r="K2048" s="4" t="n">
        <f aca="false">IFERROR(I2048*60,"")</f>
        <v>42.594</v>
      </c>
    </row>
    <row r="2049" customFormat="false" ht="15" hidden="false" customHeight="false" outlineLevel="0" collapsed="false">
      <c r="A2049" s="4" t="s">
        <v>15</v>
      </c>
      <c r="B2049" s="4" t="s">
        <v>1526</v>
      </c>
      <c r="C2049" s="4" t="s">
        <v>1535</v>
      </c>
      <c r="D2049" s="4" t="s">
        <v>115</v>
      </c>
      <c r="E2049" s="4" t="s">
        <v>59</v>
      </c>
      <c r="F2049" s="4" t="s">
        <v>59</v>
      </c>
      <c r="G2049" s="4" t="s">
        <v>1753</v>
      </c>
      <c r="H2049" s="4"/>
      <c r="I2049" s="4" t="n">
        <v>1.2125</v>
      </c>
      <c r="J2049" s="4" t="str">
        <f aca="false">TRIM(E2049) &amp; TRIM(C2049) &amp; TRIM(D2049)</f>
        <v>Re-reviewBoost VideoAT</v>
      </c>
      <c r="K2049" s="4" t="n">
        <f aca="false">IFERROR(I2049*60,"")</f>
        <v>72.75</v>
      </c>
    </row>
    <row r="2050" customFormat="false" ht="15" hidden="false" customHeight="false" outlineLevel="0" collapsed="false">
      <c r="A2050" s="4" t="s">
        <v>15</v>
      </c>
      <c r="B2050" s="4" t="s">
        <v>1526</v>
      </c>
      <c r="C2050" s="4" t="s">
        <v>1535</v>
      </c>
      <c r="D2050" s="4" t="s">
        <v>136</v>
      </c>
      <c r="E2050" s="4" t="s">
        <v>63</v>
      </c>
      <c r="F2050" s="4" t="s">
        <v>63</v>
      </c>
      <c r="G2050" s="4" t="s">
        <v>1599</v>
      </c>
      <c r="H2050" s="4"/>
      <c r="I2050" s="4" t="n">
        <v>1.353</v>
      </c>
      <c r="J2050" s="4" t="str">
        <f aca="false">TRIM(E2050) &amp; TRIM(C2050) &amp; TRIM(D2050)</f>
        <v>First ReviewBoost VideoPE</v>
      </c>
      <c r="K2050" s="4" t="n">
        <f aca="false">IFERROR(I2050*60,"")</f>
        <v>81.18</v>
      </c>
    </row>
    <row r="2051" customFormat="false" ht="15" hidden="false" customHeight="false" outlineLevel="0" collapsed="false">
      <c r="A2051" s="4" t="s">
        <v>15</v>
      </c>
      <c r="B2051" s="4" t="s">
        <v>1526</v>
      </c>
      <c r="C2051" s="4" t="s">
        <v>1529</v>
      </c>
      <c r="D2051" s="4" t="s">
        <v>267</v>
      </c>
      <c r="E2051" s="4" t="s">
        <v>66</v>
      </c>
      <c r="F2051" s="4" t="s">
        <v>67</v>
      </c>
      <c r="G2051" s="4" t="s">
        <v>1724</v>
      </c>
      <c r="H2051" s="4"/>
      <c r="I2051" s="4" t="n">
        <v>1.4093</v>
      </c>
      <c r="J2051" s="4" t="str">
        <f aca="false">TRIM(E2051) &amp; TRIM(C2051) &amp; TRIM(D2051)</f>
        <v>Posted RecallBoost LivestreamID</v>
      </c>
      <c r="K2051" s="4" t="n">
        <f aca="false">IFERROR(I2051*60,"")</f>
        <v>84.558</v>
      </c>
    </row>
    <row r="2052" customFormat="false" ht="15" hidden="false" customHeight="false" outlineLevel="0" collapsed="false">
      <c r="A2052" s="4" t="s">
        <v>15</v>
      </c>
      <c r="B2052" s="4" t="s">
        <v>1526</v>
      </c>
      <c r="C2052" s="4" t="s">
        <v>1535</v>
      </c>
      <c r="D2052" s="4" t="s">
        <v>308</v>
      </c>
      <c r="E2052" s="4" t="s">
        <v>66</v>
      </c>
      <c r="F2052" s="4" t="s">
        <v>67</v>
      </c>
      <c r="G2052" s="4" t="s">
        <v>1556</v>
      </c>
      <c r="H2052" s="4"/>
      <c r="I2052" s="4" t="n">
        <v>2.9696</v>
      </c>
      <c r="J2052" s="4" t="str">
        <f aca="false">TRIM(E2052) &amp; TRIM(C2052) &amp; TRIM(D2052)</f>
        <v>Posted RecallBoost VideoPL</v>
      </c>
      <c r="K2052" s="4" t="n">
        <f aca="false">IFERROR(I2052*60,"")</f>
        <v>178.176</v>
      </c>
    </row>
    <row r="2053" customFormat="false" ht="15" hidden="false" customHeight="false" outlineLevel="0" collapsed="false">
      <c r="A2053" s="4" t="s">
        <v>15</v>
      </c>
      <c r="B2053" s="4" t="s">
        <v>1526</v>
      </c>
      <c r="C2053" s="4" t="s">
        <v>1527</v>
      </c>
      <c r="D2053" s="4" t="s">
        <v>1754</v>
      </c>
      <c r="E2053" s="4" t="s">
        <v>63</v>
      </c>
      <c r="F2053" s="4" t="s">
        <v>63</v>
      </c>
      <c r="G2053" s="4" t="s">
        <v>1755</v>
      </c>
      <c r="H2053" s="4"/>
      <c r="I2053" s="4" t="n">
        <v>1.0072</v>
      </c>
      <c r="J2053" s="4" t="str">
        <f aca="false">TRIM(E2053) &amp; TRIM(C2053) &amp; TRIM(D2053)</f>
        <v>First ReviewBoost CarouselTT</v>
      </c>
      <c r="K2053" s="4" t="n">
        <f aca="false">IFERROR(I2053*60,"")</f>
        <v>60.432</v>
      </c>
    </row>
    <row r="2054" customFormat="false" ht="15" hidden="false" customHeight="false" outlineLevel="0" collapsed="false">
      <c r="A2054" s="4" t="s">
        <v>15</v>
      </c>
      <c r="B2054" s="4" t="s">
        <v>1526</v>
      </c>
      <c r="C2054" s="4" t="s">
        <v>1535</v>
      </c>
      <c r="D2054" s="4" t="s">
        <v>271</v>
      </c>
      <c r="E2054" s="4" t="s">
        <v>66</v>
      </c>
      <c r="F2054" s="4" t="s">
        <v>67</v>
      </c>
      <c r="G2054" s="4" t="s">
        <v>1702</v>
      </c>
      <c r="H2054" s="4"/>
      <c r="I2054" s="4" t="n">
        <v>1.5442</v>
      </c>
      <c r="J2054" s="4" t="str">
        <f aca="false">TRIM(E2054) &amp; TRIM(C2054) &amp; TRIM(D2054)</f>
        <v>Posted RecallBoost VideoKW</v>
      </c>
      <c r="K2054" s="4" t="n">
        <f aca="false">IFERROR(I2054*60,"")</f>
        <v>92.652</v>
      </c>
    </row>
    <row r="2055" customFormat="false" ht="15" hidden="false" customHeight="false" outlineLevel="0" collapsed="false">
      <c r="A2055" s="4" t="s">
        <v>15</v>
      </c>
      <c r="B2055" s="4" t="s">
        <v>1526</v>
      </c>
      <c r="C2055" s="4" t="s">
        <v>1529</v>
      </c>
      <c r="D2055" s="4" t="s">
        <v>251</v>
      </c>
      <c r="E2055" s="4" t="s">
        <v>63</v>
      </c>
      <c r="F2055" s="4" t="s">
        <v>63</v>
      </c>
      <c r="G2055" s="4" t="s">
        <v>1582</v>
      </c>
      <c r="H2055" s="4"/>
      <c r="I2055" s="4" t="n">
        <v>2.4814</v>
      </c>
      <c r="J2055" s="4" t="str">
        <f aca="false">TRIM(E2055) &amp; TRIM(C2055) &amp; TRIM(D2055)</f>
        <v>First ReviewBoost LivestreamRO</v>
      </c>
      <c r="K2055" s="4" t="n">
        <f aca="false">IFERROR(I2055*60,"")</f>
        <v>148.884</v>
      </c>
    </row>
    <row r="2056" customFormat="false" ht="15" hidden="false" customHeight="false" outlineLevel="0" collapsed="false">
      <c r="A2056" s="4" t="s">
        <v>15</v>
      </c>
      <c r="B2056" s="4" t="s">
        <v>1526</v>
      </c>
      <c r="C2056" s="4" t="s">
        <v>1527</v>
      </c>
      <c r="D2056" s="4" t="s">
        <v>113</v>
      </c>
      <c r="E2056" s="4" t="s">
        <v>63</v>
      </c>
      <c r="F2056" s="4" t="s">
        <v>63</v>
      </c>
      <c r="G2056" s="4" t="s">
        <v>1603</v>
      </c>
      <c r="H2056" s="4"/>
      <c r="I2056" s="4" t="n">
        <v>2.3483</v>
      </c>
      <c r="J2056" s="4" t="str">
        <f aca="false">TRIM(E2056) &amp; TRIM(C2056) &amp; TRIM(D2056)</f>
        <v>First ReviewBoost CarouselNL</v>
      </c>
      <c r="K2056" s="4" t="n">
        <f aca="false">IFERROR(I2056*60,"")</f>
        <v>140.898</v>
      </c>
    </row>
    <row r="2057" customFormat="false" ht="15" hidden="false" customHeight="false" outlineLevel="0" collapsed="false">
      <c r="A2057" s="4" t="s">
        <v>15</v>
      </c>
      <c r="B2057" s="4" t="s">
        <v>1526</v>
      </c>
      <c r="C2057" s="4" t="s">
        <v>1527</v>
      </c>
      <c r="D2057" s="4" t="s">
        <v>192</v>
      </c>
      <c r="E2057" s="4" t="s">
        <v>66</v>
      </c>
      <c r="F2057" s="4" t="s">
        <v>67</v>
      </c>
      <c r="G2057" s="4" t="s">
        <v>1540</v>
      </c>
      <c r="H2057" s="4"/>
      <c r="I2057" s="4" t="n">
        <v>1.1448</v>
      </c>
      <c r="J2057" s="4" t="str">
        <f aca="false">TRIM(E2057) &amp; TRIM(C2057) &amp; TRIM(D2057)</f>
        <v>Posted RecallBoost CarouselGT</v>
      </c>
      <c r="K2057" s="4" t="n">
        <f aca="false">IFERROR(I2057*60,"")</f>
        <v>68.688</v>
      </c>
    </row>
    <row r="2058" customFormat="false" ht="15" hidden="false" customHeight="false" outlineLevel="0" collapsed="false">
      <c r="A2058" s="4" t="s">
        <v>15</v>
      </c>
      <c r="B2058" s="4" t="s">
        <v>1526</v>
      </c>
      <c r="C2058" s="4" t="s">
        <v>1529</v>
      </c>
      <c r="D2058" s="4" t="s">
        <v>102</v>
      </c>
      <c r="E2058" s="4" t="s">
        <v>63</v>
      </c>
      <c r="F2058" s="4" t="s">
        <v>63</v>
      </c>
      <c r="G2058" s="4" t="s">
        <v>1713</v>
      </c>
      <c r="H2058" s="4"/>
      <c r="I2058" s="4" t="n">
        <v>2.491</v>
      </c>
      <c r="J2058" s="4" t="str">
        <f aca="false">TRIM(E2058) &amp; TRIM(C2058) &amp; TRIM(D2058)</f>
        <v>First ReviewBoost LivestreamSE</v>
      </c>
      <c r="K2058" s="4" t="n">
        <f aca="false">IFERROR(I2058*60,"")</f>
        <v>149.46</v>
      </c>
    </row>
    <row r="2059" customFormat="false" ht="15" hidden="false" customHeight="false" outlineLevel="0" collapsed="false">
      <c r="A2059" s="4" t="s">
        <v>15</v>
      </c>
      <c r="B2059" s="4" t="s">
        <v>1526</v>
      </c>
      <c r="C2059" s="4" t="s">
        <v>1527</v>
      </c>
      <c r="D2059" s="4" t="s">
        <v>262</v>
      </c>
      <c r="E2059" s="4" t="s">
        <v>63</v>
      </c>
      <c r="F2059" s="4" t="s">
        <v>63</v>
      </c>
      <c r="G2059" s="4" t="s">
        <v>1756</v>
      </c>
      <c r="H2059" s="4"/>
      <c r="I2059" s="4" t="n">
        <v>1.4573</v>
      </c>
      <c r="J2059" s="4" t="str">
        <f aca="false">TRIM(E2059) &amp; TRIM(C2059) &amp; TRIM(D2059)</f>
        <v>First ReviewBoost CarouselSI</v>
      </c>
      <c r="K2059" s="4" t="n">
        <f aca="false">IFERROR(I2059*60,"")</f>
        <v>87.438</v>
      </c>
    </row>
    <row r="2060" customFormat="false" ht="15" hidden="false" customHeight="false" outlineLevel="0" collapsed="false">
      <c r="A2060" s="4" t="s">
        <v>15</v>
      </c>
      <c r="B2060" s="4" t="s">
        <v>1526</v>
      </c>
      <c r="C2060" s="4" t="s">
        <v>1535</v>
      </c>
      <c r="D2060" s="4" t="s">
        <v>203</v>
      </c>
      <c r="E2060" s="4" t="s">
        <v>63</v>
      </c>
      <c r="F2060" s="4" t="s">
        <v>63</v>
      </c>
      <c r="G2060" s="4" t="s">
        <v>1687</v>
      </c>
      <c r="H2060" s="4"/>
      <c r="I2060" s="4" t="n">
        <v>1.5249</v>
      </c>
      <c r="J2060" s="4" t="str">
        <f aca="false">TRIM(E2060) &amp; TRIM(C2060) &amp; TRIM(D2060)</f>
        <v>First ReviewBoost VideoCA</v>
      </c>
      <c r="K2060" s="4" t="n">
        <f aca="false">IFERROR(I2060*60,"")</f>
        <v>91.494</v>
      </c>
    </row>
    <row r="2061" customFormat="false" ht="15" hidden="false" customHeight="false" outlineLevel="0" collapsed="false">
      <c r="A2061" s="4" t="s">
        <v>15</v>
      </c>
      <c r="B2061" s="4" t="s">
        <v>1526</v>
      </c>
      <c r="C2061" s="4" t="s">
        <v>1529</v>
      </c>
      <c r="D2061" s="4" t="s">
        <v>141</v>
      </c>
      <c r="E2061" s="4" t="s">
        <v>66</v>
      </c>
      <c r="F2061" s="4" t="s">
        <v>67</v>
      </c>
      <c r="G2061" s="4" t="s">
        <v>1703</v>
      </c>
      <c r="H2061" s="4"/>
      <c r="I2061" s="4" t="n">
        <v>1.3945</v>
      </c>
      <c r="J2061" s="4" t="str">
        <f aca="false">TRIM(E2061) &amp; TRIM(C2061) &amp; TRIM(D2061)</f>
        <v>Posted RecallBoost LivestreamAZ</v>
      </c>
      <c r="K2061" s="4" t="n">
        <f aca="false">IFERROR(I2061*60,"")</f>
        <v>83.67</v>
      </c>
    </row>
    <row r="2062" customFormat="false" ht="15" hidden="false" customHeight="false" outlineLevel="0" collapsed="false">
      <c r="A2062" s="4" t="s">
        <v>15</v>
      </c>
      <c r="B2062" s="4" t="s">
        <v>1526</v>
      </c>
      <c r="C2062" s="4" t="s">
        <v>1535</v>
      </c>
      <c r="D2062" s="4" t="s">
        <v>1661</v>
      </c>
      <c r="E2062" s="4" t="s">
        <v>63</v>
      </c>
      <c r="F2062" s="4" t="s">
        <v>63</v>
      </c>
      <c r="G2062" s="4" t="s">
        <v>1757</v>
      </c>
      <c r="H2062" s="4"/>
      <c r="I2062" s="4" t="n">
        <v>0.2146</v>
      </c>
      <c r="J2062" s="4" t="str">
        <f aca="false">TRIM(E2062) &amp; TRIM(C2062) &amp; TRIM(D2062)</f>
        <v>First ReviewBoost VideoAM</v>
      </c>
      <c r="K2062" s="4" t="n">
        <f aca="false">IFERROR(I2062*60,"")</f>
        <v>12.876</v>
      </c>
    </row>
    <row r="2063" customFormat="false" ht="15" hidden="false" customHeight="false" outlineLevel="0" collapsed="false">
      <c r="A2063" s="4" t="s">
        <v>15</v>
      </c>
      <c r="B2063" s="4" t="s">
        <v>1526</v>
      </c>
      <c r="C2063" s="4" t="s">
        <v>1529</v>
      </c>
      <c r="D2063" s="4" t="s">
        <v>85</v>
      </c>
      <c r="E2063" s="4" t="s">
        <v>66</v>
      </c>
      <c r="F2063" s="4" t="s">
        <v>67</v>
      </c>
      <c r="G2063" s="4" t="s">
        <v>1712</v>
      </c>
      <c r="H2063" s="4"/>
      <c r="I2063" s="4" t="n">
        <v>1.7764</v>
      </c>
      <c r="J2063" s="4" t="str">
        <f aca="false">TRIM(E2063) &amp; TRIM(C2063) &amp; TRIM(D2063)</f>
        <v>Posted RecallBoost LivestreamEC</v>
      </c>
      <c r="K2063" s="4" t="n">
        <f aca="false">IFERROR(I2063*60,"")</f>
        <v>106.584</v>
      </c>
    </row>
    <row r="2064" customFormat="false" ht="15" hidden="false" customHeight="false" outlineLevel="0" collapsed="false">
      <c r="A2064" s="4" t="s">
        <v>15</v>
      </c>
      <c r="B2064" s="4" t="s">
        <v>1526</v>
      </c>
      <c r="C2064" s="4" t="s">
        <v>1527</v>
      </c>
      <c r="D2064" s="4" t="s">
        <v>111</v>
      </c>
      <c r="E2064" s="4" t="s">
        <v>63</v>
      </c>
      <c r="F2064" s="4" t="s">
        <v>63</v>
      </c>
      <c r="G2064" s="4" t="s">
        <v>1715</v>
      </c>
      <c r="H2064" s="4"/>
      <c r="I2064" s="4" t="n">
        <v>1.1342</v>
      </c>
      <c r="J2064" s="4" t="str">
        <f aca="false">TRIM(E2064) &amp; TRIM(C2064) &amp; TRIM(D2064)</f>
        <v>First ReviewBoost CarouselUS</v>
      </c>
      <c r="K2064" s="4" t="n">
        <f aca="false">IFERROR(I2064*60,"")</f>
        <v>68.052</v>
      </c>
    </row>
    <row r="2065" customFormat="false" ht="15" hidden="false" customHeight="false" outlineLevel="0" collapsed="false">
      <c r="A2065" s="4" t="s">
        <v>15</v>
      </c>
      <c r="B2065" s="4" t="s">
        <v>1526</v>
      </c>
      <c r="C2065" s="4" t="s">
        <v>1535</v>
      </c>
      <c r="D2065" s="4" t="s">
        <v>181</v>
      </c>
      <c r="E2065" s="4" t="s">
        <v>66</v>
      </c>
      <c r="F2065" s="4" t="s">
        <v>67</v>
      </c>
      <c r="G2065" s="4" t="s">
        <v>1643</v>
      </c>
      <c r="H2065" s="4"/>
      <c r="I2065" s="4" t="n">
        <v>1.3156</v>
      </c>
      <c r="J2065" s="4" t="str">
        <f aca="false">TRIM(E2065) &amp; TRIM(C2065) &amp; TRIM(D2065)</f>
        <v>Posted RecallBoost VideoLB</v>
      </c>
      <c r="K2065" s="4" t="n">
        <f aca="false">IFERROR(I2065*60,"")</f>
        <v>78.936</v>
      </c>
    </row>
    <row r="2066" customFormat="false" ht="15" hidden="false" customHeight="false" outlineLevel="0" collapsed="false">
      <c r="A2066" s="4" t="s">
        <v>15</v>
      </c>
      <c r="B2066" s="4" t="s">
        <v>1526</v>
      </c>
      <c r="C2066" s="4" t="s">
        <v>1535</v>
      </c>
      <c r="D2066" s="4" t="s">
        <v>310</v>
      </c>
      <c r="E2066" s="4" t="s">
        <v>63</v>
      </c>
      <c r="F2066" s="4" t="s">
        <v>63</v>
      </c>
      <c r="G2066" s="4" t="s">
        <v>1634</v>
      </c>
      <c r="H2066" s="4"/>
      <c r="I2066" s="4" t="n">
        <v>1.8762</v>
      </c>
      <c r="J2066" s="4" t="str">
        <f aca="false">TRIM(E2066) &amp; TRIM(C2066) &amp; TRIM(D2066)</f>
        <v>First ReviewBoost VideoUY</v>
      </c>
      <c r="K2066" s="4" t="n">
        <f aca="false">IFERROR(I2066*60,"")</f>
        <v>112.572</v>
      </c>
    </row>
    <row r="2067" customFormat="false" ht="15" hidden="false" customHeight="false" outlineLevel="0" collapsed="false">
      <c r="A2067" s="4" t="s">
        <v>15</v>
      </c>
      <c r="B2067" s="4" t="s">
        <v>1526</v>
      </c>
      <c r="C2067" s="4" t="s">
        <v>1535</v>
      </c>
      <c r="D2067" s="4" t="s">
        <v>255</v>
      </c>
      <c r="E2067" s="4" t="s">
        <v>66</v>
      </c>
      <c r="F2067" s="4" t="s">
        <v>67</v>
      </c>
      <c r="G2067" s="4" t="s">
        <v>1636</v>
      </c>
      <c r="H2067" s="4"/>
      <c r="I2067" s="4" t="n">
        <v>1.244</v>
      </c>
      <c r="J2067" s="4" t="str">
        <f aca="false">TRIM(E2067) &amp; TRIM(C2067) &amp; TRIM(D2067)</f>
        <v>Posted RecallBoost VideoNZ</v>
      </c>
      <c r="K2067" s="4" t="n">
        <f aca="false">IFERROR(I2067*60,"")</f>
        <v>74.64</v>
      </c>
    </row>
    <row r="2068" customFormat="false" ht="15" hidden="false" customHeight="false" outlineLevel="0" collapsed="false">
      <c r="A2068" s="4" t="s">
        <v>15</v>
      </c>
      <c r="B2068" s="4" t="s">
        <v>1526</v>
      </c>
      <c r="C2068" s="4" t="s">
        <v>1535</v>
      </c>
      <c r="D2068" s="4" t="s">
        <v>82</v>
      </c>
      <c r="E2068" s="4" t="s">
        <v>63</v>
      </c>
      <c r="F2068" s="4" t="s">
        <v>63</v>
      </c>
      <c r="G2068" s="4" t="s">
        <v>1630</v>
      </c>
      <c r="H2068" s="4"/>
      <c r="I2068" s="4" t="n">
        <v>1.019</v>
      </c>
      <c r="J2068" s="4" t="str">
        <f aca="false">TRIM(E2068) &amp; TRIM(C2068) &amp; TRIM(D2068)</f>
        <v>First ReviewBoost VideoKH</v>
      </c>
      <c r="K2068" s="4" t="n">
        <f aca="false">IFERROR(I2068*60,"")</f>
        <v>61.14</v>
      </c>
    </row>
    <row r="2069" customFormat="false" ht="15" hidden="false" customHeight="false" outlineLevel="0" collapsed="false">
      <c r="A2069" s="4" t="s">
        <v>15</v>
      </c>
      <c r="B2069" s="4" t="s">
        <v>1526</v>
      </c>
      <c r="C2069" s="4" t="s">
        <v>1529</v>
      </c>
      <c r="D2069" s="4" t="s">
        <v>136</v>
      </c>
      <c r="E2069" s="4" t="s">
        <v>63</v>
      </c>
      <c r="F2069" s="4" t="s">
        <v>63</v>
      </c>
      <c r="G2069" s="4" t="s">
        <v>1596</v>
      </c>
      <c r="H2069" s="4"/>
      <c r="I2069" s="4" t="n">
        <v>1.2348</v>
      </c>
      <c r="J2069" s="4" t="str">
        <f aca="false">TRIM(E2069) &amp; TRIM(C2069) &amp; TRIM(D2069)</f>
        <v>First ReviewBoost LivestreamPE</v>
      </c>
      <c r="K2069" s="4" t="n">
        <f aca="false">IFERROR(I2069*60,"")</f>
        <v>74.088</v>
      </c>
    </row>
    <row r="2070" customFormat="false" ht="15" hidden="false" customHeight="false" outlineLevel="0" collapsed="false">
      <c r="A2070" s="4" t="s">
        <v>15</v>
      </c>
      <c r="B2070" s="4" t="s">
        <v>1526</v>
      </c>
      <c r="C2070" s="4" t="s">
        <v>1535</v>
      </c>
      <c r="D2070" s="4" t="s">
        <v>284</v>
      </c>
      <c r="E2070" s="4" t="s">
        <v>66</v>
      </c>
      <c r="F2070" s="4" t="s">
        <v>67</v>
      </c>
      <c r="G2070" s="4" t="s">
        <v>1637</v>
      </c>
      <c r="H2070" s="4"/>
      <c r="I2070" s="4" t="n">
        <v>1.0839</v>
      </c>
      <c r="J2070" s="4" t="str">
        <f aca="false">TRIM(E2070) &amp; TRIM(C2070) &amp; TRIM(D2070)</f>
        <v>Posted RecallBoost VideoTR</v>
      </c>
      <c r="K2070" s="4" t="n">
        <f aca="false">IFERROR(I2070*60,"")</f>
        <v>65.034</v>
      </c>
    </row>
    <row r="2071" customFormat="false" ht="15" hidden="false" customHeight="false" outlineLevel="0" collapsed="false">
      <c r="A2071" s="4" t="s">
        <v>15</v>
      </c>
      <c r="B2071" s="4" t="s">
        <v>1526</v>
      </c>
      <c r="C2071" s="4" t="s">
        <v>1535</v>
      </c>
      <c r="D2071" s="4" t="s">
        <v>145</v>
      </c>
      <c r="E2071" s="4" t="s">
        <v>66</v>
      </c>
      <c r="F2071" s="4" t="s">
        <v>67</v>
      </c>
      <c r="G2071" s="4" t="s">
        <v>1544</v>
      </c>
      <c r="H2071" s="4"/>
      <c r="I2071" s="4" t="n">
        <v>2.9216</v>
      </c>
      <c r="J2071" s="4" t="str">
        <f aca="false">TRIM(E2071) &amp; TRIM(C2071) &amp; TRIM(D2071)</f>
        <v>Posted RecallBoost VideoRS</v>
      </c>
      <c r="K2071" s="4" t="n">
        <f aca="false">IFERROR(I2071*60,"")</f>
        <v>175.296</v>
      </c>
    </row>
    <row r="2072" customFormat="false" ht="15" hidden="false" customHeight="false" outlineLevel="0" collapsed="false">
      <c r="A2072" s="4" t="s">
        <v>15</v>
      </c>
      <c r="B2072" s="4" t="s">
        <v>1526</v>
      </c>
      <c r="C2072" s="4" t="s">
        <v>1535</v>
      </c>
      <c r="D2072" s="4" t="s">
        <v>210</v>
      </c>
      <c r="E2072" s="4" t="s">
        <v>66</v>
      </c>
      <c r="F2072" s="4" t="s">
        <v>67</v>
      </c>
      <c r="G2072" s="4" t="s">
        <v>1629</v>
      </c>
      <c r="H2072" s="4"/>
      <c r="I2072" s="4" t="n">
        <v>1</v>
      </c>
      <c r="J2072" s="4" t="str">
        <f aca="false">TRIM(E2072) &amp; TRIM(C2072) &amp; TRIM(D2072)</f>
        <v>Posted RecallBoost VideoPK</v>
      </c>
      <c r="K2072" s="4" t="n">
        <f aca="false">IFERROR(I2072*60,"")</f>
        <v>60</v>
      </c>
    </row>
    <row r="2073" customFormat="false" ht="15" hidden="false" customHeight="false" outlineLevel="0" collapsed="false">
      <c r="A2073" s="4" t="s">
        <v>15</v>
      </c>
      <c r="B2073" s="4" t="s">
        <v>1526</v>
      </c>
      <c r="C2073" s="4" t="s">
        <v>1529</v>
      </c>
      <c r="D2073" s="4" t="s">
        <v>275</v>
      </c>
      <c r="E2073" s="4" t="s">
        <v>66</v>
      </c>
      <c r="F2073" s="4" t="s">
        <v>67</v>
      </c>
      <c r="G2073" s="4" t="s">
        <v>1758</v>
      </c>
      <c r="H2073" s="4"/>
      <c r="I2073" s="4" t="n">
        <v>3.5021</v>
      </c>
      <c r="J2073" s="4" t="str">
        <f aca="false">TRIM(E2073) &amp; TRIM(C2073) &amp; TRIM(D2073)</f>
        <v>Posted RecallBoost LivestreamGB</v>
      </c>
      <c r="K2073" s="4" t="n">
        <f aca="false">IFERROR(I2073*60,"")</f>
        <v>210.126</v>
      </c>
    </row>
    <row r="2074" customFormat="false" ht="15" hidden="false" customHeight="false" outlineLevel="0" collapsed="false">
      <c r="A2074" s="4" t="s">
        <v>15</v>
      </c>
      <c r="B2074" s="4" t="s">
        <v>1526</v>
      </c>
      <c r="C2074" s="4" t="s">
        <v>1535</v>
      </c>
      <c r="D2074" s="4" t="s">
        <v>157</v>
      </c>
      <c r="E2074" s="4" t="s">
        <v>66</v>
      </c>
      <c r="F2074" s="4" t="s">
        <v>67</v>
      </c>
      <c r="G2074" s="4" t="s">
        <v>1627</v>
      </c>
      <c r="H2074" s="4"/>
      <c r="I2074" s="4" t="n">
        <v>1.4571</v>
      </c>
      <c r="J2074" s="4" t="str">
        <f aca="false">TRIM(E2074) &amp; TRIM(C2074) &amp; TRIM(D2074)</f>
        <v>Posted RecallBoost VideoSA</v>
      </c>
      <c r="K2074" s="4" t="n">
        <f aca="false">IFERROR(I2074*60,"")</f>
        <v>87.426</v>
      </c>
    </row>
    <row r="2075" customFormat="false" ht="15" hidden="false" customHeight="false" outlineLevel="0" collapsed="false">
      <c r="A2075" s="4" t="s">
        <v>15</v>
      </c>
      <c r="B2075" s="4" t="s">
        <v>1526</v>
      </c>
      <c r="C2075" s="4" t="s">
        <v>1527</v>
      </c>
      <c r="D2075" s="4" t="s">
        <v>150</v>
      </c>
      <c r="E2075" s="4" t="s">
        <v>59</v>
      </c>
      <c r="F2075" s="4" t="s">
        <v>59</v>
      </c>
      <c r="G2075" s="4" t="s">
        <v>1694</v>
      </c>
      <c r="H2075" s="4"/>
      <c r="I2075" s="4" t="n">
        <v>1.4682</v>
      </c>
      <c r="J2075" s="4" t="str">
        <f aca="false">TRIM(E2075) &amp; TRIM(C2075) &amp; TRIM(D2075)</f>
        <v>Re-reviewBoost CarouselDE</v>
      </c>
      <c r="K2075" s="4" t="n">
        <f aca="false">IFERROR(I2075*60,"")</f>
        <v>88.092</v>
      </c>
    </row>
    <row r="2076" customFormat="false" ht="15" hidden="false" customHeight="false" outlineLevel="0" collapsed="false">
      <c r="A2076" s="4" t="s">
        <v>15</v>
      </c>
      <c r="B2076" s="4" t="s">
        <v>1526</v>
      </c>
      <c r="C2076" s="4" t="s">
        <v>1527</v>
      </c>
      <c r="D2076" s="4" t="s">
        <v>128</v>
      </c>
      <c r="E2076" s="4" t="s">
        <v>63</v>
      </c>
      <c r="F2076" s="4" t="s">
        <v>63</v>
      </c>
      <c r="G2076" s="4" t="s">
        <v>1759</v>
      </c>
      <c r="H2076" s="4"/>
      <c r="I2076" s="4" t="n">
        <v>2.2839</v>
      </c>
      <c r="J2076" s="4" t="str">
        <f aca="false">TRIM(E2076) &amp; TRIM(C2076) &amp; TRIM(D2076)</f>
        <v>First ReviewBoost CarouselBD</v>
      </c>
      <c r="K2076" s="4" t="n">
        <f aca="false">IFERROR(I2076*60,"")</f>
        <v>137.034</v>
      </c>
    </row>
    <row r="2077" customFormat="false" ht="15" hidden="false" customHeight="false" outlineLevel="0" collapsed="false">
      <c r="A2077" s="4" t="s">
        <v>15</v>
      </c>
      <c r="B2077" s="4" t="s">
        <v>1526</v>
      </c>
      <c r="C2077" s="4" t="s">
        <v>1529</v>
      </c>
      <c r="D2077" s="4" t="s">
        <v>415</v>
      </c>
      <c r="E2077" s="4" t="s">
        <v>63</v>
      </c>
      <c r="F2077" s="4" t="s">
        <v>63</v>
      </c>
      <c r="G2077" s="4" t="s">
        <v>1760</v>
      </c>
      <c r="H2077" s="4"/>
      <c r="I2077" s="4" t="n">
        <v>1.0997</v>
      </c>
      <c r="J2077" s="4" t="str">
        <f aca="false">TRIM(E2077) &amp; TRIM(C2077) &amp; TRIM(D2077)</f>
        <v>First ReviewBoost LivestreamNG</v>
      </c>
      <c r="K2077" s="4" t="n">
        <f aca="false">IFERROR(I2077*60,"")</f>
        <v>65.982</v>
      </c>
    </row>
    <row r="2078" customFormat="false" ht="15" hidden="false" customHeight="false" outlineLevel="0" collapsed="false">
      <c r="A2078" s="4" t="s">
        <v>15</v>
      </c>
      <c r="B2078" s="4" t="s">
        <v>1526</v>
      </c>
      <c r="C2078" s="4" t="s">
        <v>1527</v>
      </c>
      <c r="D2078" s="4" t="s">
        <v>1547</v>
      </c>
      <c r="E2078" s="4" t="s">
        <v>63</v>
      </c>
      <c r="F2078" s="4" t="s">
        <v>63</v>
      </c>
      <c r="G2078" s="4" t="s">
        <v>1761</v>
      </c>
      <c r="H2078" s="4"/>
      <c r="I2078" s="4" t="n">
        <v>1.6724</v>
      </c>
      <c r="J2078" s="4" t="str">
        <f aca="false">TRIM(E2078) &amp; TRIM(C2078) &amp; TRIM(D2078)</f>
        <v>First ReviewBoost CarouselHN</v>
      </c>
      <c r="K2078" s="4" t="n">
        <f aca="false">IFERROR(I2078*60,"")</f>
        <v>100.344</v>
      </c>
    </row>
    <row r="2079" customFormat="false" ht="15" hidden="false" customHeight="false" outlineLevel="0" collapsed="false">
      <c r="A2079" s="4" t="s">
        <v>15</v>
      </c>
      <c r="B2079" s="4" t="s">
        <v>1526</v>
      </c>
      <c r="C2079" s="4" t="s">
        <v>1529</v>
      </c>
      <c r="D2079" s="4" t="s">
        <v>113</v>
      </c>
      <c r="E2079" s="4" t="s">
        <v>63</v>
      </c>
      <c r="F2079" s="4" t="s">
        <v>63</v>
      </c>
      <c r="G2079" s="4" t="s">
        <v>1611</v>
      </c>
      <c r="H2079" s="4"/>
      <c r="I2079" s="4" t="n">
        <v>3.946</v>
      </c>
      <c r="J2079" s="4" t="str">
        <f aca="false">TRIM(E2079) &amp; TRIM(C2079) &amp; TRIM(D2079)</f>
        <v>First ReviewBoost LivestreamNL</v>
      </c>
      <c r="K2079" s="4" t="n">
        <f aca="false">IFERROR(I2079*60,"")</f>
        <v>236.76</v>
      </c>
    </row>
    <row r="2080" customFormat="false" ht="15" hidden="false" customHeight="false" outlineLevel="0" collapsed="false">
      <c r="A2080" s="4" t="s">
        <v>15</v>
      </c>
      <c r="B2080" s="4" t="s">
        <v>1526</v>
      </c>
      <c r="C2080" s="4" t="s">
        <v>1527</v>
      </c>
      <c r="D2080" s="4" t="s">
        <v>271</v>
      </c>
      <c r="E2080" s="4" t="s">
        <v>66</v>
      </c>
      <c r="F2080" s="4" t="s">
        <v>67</v>
      </c>
      <c r="G2080" s="4" t="s">
        <v>1645</v>
      </c>
      <c r="H2080" s="4"/>
      <c r="I2080" s="4" t="n">
        <v>1.2797</v>
      </c>
      <c r="J2080" s="4" t="str">
        <f aca="false">TRIM(E2080) &amp; TRIM(C2080) &amp; TRIM(D2080)</f>
        <v>Posted RecallBoost CarouselKW</v>
      </c>
      <c r="K2080" s="4" t="n">
        <f aca="false">IFERROR(I2080*60,"")</f>
        <v>76.782</v>
      </c>
    </row>
    <row r="2081" customFormat="false" ht="15" hidden="false" customHeight="false" outlineLevel="0" collapsed="false">
      <c r="A2081" s="4" t="s">
        <v>15</v>
      </c>
      <c r="B2081" s="4" t="s">
        <v>1526</v>
      </c>
      <c r="C2081" s="4" t="s">
        <v>1527</v>
      </c>
      <c r="D2081" s="4" t="s">
        <v>1762</v>
      </c>
      <c r="E2081" s="4" t="s">
        <v>63</v>
      </c>
      <c r="F2081" s="4" t="s">
        <v>63</v>
      </c>
      <c r="G2081" s="4" t="s">
        <v>1763</v>
      </c>
      <c r="H2081" s="4"/>
      <c r="I2081" s="4" t="n">
        <v>0.6693</v>
      </c>
      <c r="J2081" s="4" t="str">
        <f aca="false">TRIM(E2081) &amp; TRIM(C2081) &amp; TRIM(D2081)</f>
        <v>First ReviewBoost CarouselMK</v>
      </c>
      <c r="K2081" s="4" t="n">
        <f aca="false">IFERROR(I2081*60,"")</f>
        <v>40.158</v>
      </c>
    </row>
    <row r="2082" customFormat="false" ht="15" hidden="false" customHeight="false" outlineLevel="0" collapsed="false">
      <c r="A2082" s="4" t="s">
        <v>15</v>
      </c>
      <c r="B2082" s="4" t="s">
        <v>1526</v>
      </c>
      <c r="C2082" s="4" t="s">
        <v>1527</v>
      </c>
      <c r="D2082" s="4" t="s">
        <v>213</v>
      </c>
      <c r="E2082" s="4" t="s">
        <v>66</v>
      </c>
      <c r="F2082" s="4" t="s">
        <v>67</v>
      </c>
      <c r="G2082" s="4" t="s">
        <v>1764</v>
      </c>
      <c r="H2082" s="4"/>
      <c r="I2082" s="4" t="n">
        <v>1.3931</v>
      </c>
      <c r="J2082" s="4" t="str">
        <f aca="false">TRIM(E2082) &amp; TRIM(C2082) &amp; TRIM(D2082)</f>
        <v>Posted RecallBoost CarouselFR</v>
      </c>
      <c r="K2082" s="4" t="n">
        <f aca="false">IFERROR(I2082*60,"")</f>
        <v>83.586</v>
      </c>
    </row>
    <row r="2083" customFormat="false" ht="15" hidden="false" customHeight="false" outlineLevel="0" collapsed="false">
      <c r="A2083" s="4" t="s">
        <v>15</v>
      </c>
      <c r="B2083" s="4" t="s">
        <v>1526</v>
      </c>
      <c r="C2083" s="4" t="s">
        <v>1527</v>
      </c>
      <c r="D2083" s="4" t="s">
        <v>162</v>
      </c>
      <c r="E2083" s="4" t="s">
        <v>63</v>
      </c>
      <c r="F2083" s="4" t="s">
        <v>63</v>
      </c>
      <c r="G2083" s="4" t="s">
        <v>1765</v>
      </c>
      <c r="H2083" s="4"/>
      <c r="I2083" s="4" t="n">
        <v>0.7401</v>
      </c>
      <c r="J2083" s="4" t="str">
        <f aca="false">TRIM(E2083) &amp; TRIM(C2083) &amp; TRIM(D2083)</f>
        <v>First ReviewBoost CarouselJO</v>
      </c>
      <c r="K2083" s="4" t="n">
        <f aca="false">IFERROR(I2083*60,"")</f>
        <v>44.406</v>
      </c>
    </row>
    <row r="2084" customFormat="false" ht="15" hidden="false" customHeight="false" outlineLevel="0" collapsed="false">
      <c r="A2084" s="4" t="s">
        <v>15</v>
      </c>
      <c r="B2084" s="4" t="s">
        <v>1526</v>
      </c>
      <c r="C2084" s="4" t="s">
        <v>1527</v>
      </c>
      <c r="D2084" s="4" t="s">
        <v>178</v>
      </c>
      <c r="E2084" s="4" t="s">
        <v>63</v>
      </c>
      <c r="F2084" s="4" t="s">
        <v>63</v>
      </c>
      <c r="G2084" s="4" t="s">
        <v>1648</v>
      </c>
      <c r="H2084" s="4"/>
      <c r="I2084" s="4" t="n">
        <v>1.9951</v>
      </c>
      <c r="J2084" s="4" t="str">
        <f aca="false">TRIM(E2084) &amp; TRIM(C2084) &amp; TRIM(D2084)</f>
        <v>First ReviewBoost CarouselBO</v>
      </c>
      <c r="K2084" s="4" t="n">
        <f aca="false">IFERROR(I2084*60,"")</f>
        <v>119.706</v>
      </c>
    </row>
    <row r="2085" customFormat="false" ht="15" hidden="false" customHeight="false" outlineLevel="0" collapsed="false">
      <c r="A2085" s="4" t="s">
        <v>15</v>
      </c>
      <c r="B2085" s="4" t="s">
        <v>1526</v>
      </c>
      <c r="C2085" s="4" t="s">
        <v>1535</v>
      </c>
      <c r="D2085" s="4" t="s">
        <v>154</v>
      </c>
      <c r="E2085" s="4" t="s">
        <v>63</v>
      </c>
      <c r="F2085" s="4" t="s">
        <v>63</v>
      </c>
      <c r="G2085" s="4" t="s">
        <v>1553</v>
      </c>
      <c r="H2085" s="4"/>
      <c r="I2085" s="4" t="n">
        <v>2.8754</v>
      </c>
      <c r="J2085" s="4" t="str">
        <f aca="false">TRIM(E2085) &amp; TRIM(C2085) &amp; TRIM(D2085)</f>
        <v>First ReviewBoost VideoES</v>
      </c>
      <c r="K2085" s="4" t="n">
        <f aca="false">IFERROR(I2085*60,"")</f>
        <v>172.524</v>
      </c>
    </row>
    <row r="2086" customFormat="false" ht="15" hidden="false" customHeight="false" outlineLevel="0" collapsed="false">
      <c r="A2086" s="4" t="s">
        <v>15</v>
      </c>
      <c r="B2086" s="4" t="s">
        <v>1526</v>
      </c>
      <c r="C2086" s="4" t="s">
        <v>1535</v>
      </c>
      <c r="D2086" s="4" t="s">
        <v>299</v>
      </c>
      <c r="E2086" s="4" t="s">
        <v>63</v>
      </c>
      <c r="F2086" s="4" t="s">
        <v>63</v>
      </c>
      <c r="G2086" s="4" t="s">
        <v>1552</v>
      </c>
      <c r="H2086" s="4"/>
      <c r="I2086" s="4" t="n">
        <v>1.4297</v>
      </c>
      <c r="J2086" s="4" t="str">
        <f aca="false">TRIM(E2086) &amp; TRIM(C2086) &amp; TRIM(D2086)</f>
        <v>First ReviewBoost VideoQA</v>
      </c>
      <c r="K2086" s="4" t="n">
        <f aca="false">IFERROR(I2086*60,"")</f>
        <v>85.782</v>
      </c>
    </row>
    <row r="2087" customFormat="false" ht="15" hidden="false" customHeight="false" outlineLevel="0" collapsed="false">
      <c r="A2087" s="4" t="s">
        <v>15</v>
      </c>
      <c r="B2087" s="4" t="s">
        <v>1526</v>
      </c>
      <c r="C2087" s="4" t="s">
        <v>1529</v>
      </c>
      <c r="D2087" s="4" t="s">
        <v>73</v>
      </c>
      <c r="E2087" s="4" t="s">
        <v>66</v>
      </c>
      <c r="F2087" s="4" t="s">
        <v>67</v>
      </c>
      <c r="G2087" s="4" t="s">
        <v>1766</v>
      </c>
      <c r="H2087" s="4"/>
      <c r="I2087" s="4" t="n">
        <v>1.1402</v>
      </c>
      <c r="J2087" s="4" t="str">
        <f aca="false">TRIM(E2087) &amp; TRIM(C2087) &amp; TRIM(D2087)</f>
        <v>Posted RecallBoost LivestreamIQ</v>
      </c>
      <c r="K2087" s="4" t="n">
        <f aca="false">IFERROR(I2087*60,"")</f>
        <v>68.412</v>
      </c>
    </row>
    <row r="2088" customFormat="false" ht="15" hidden="false" customHeight="false" outlineLevel="0" collapsed="false">
      <c r="A2088" s="4" t="s">
        <v>15</v>
      </c>
      <c r="B2088" s="4" t="s">
        <v>1526</v>
      </c>
      <c r="C2088" s="4" t="s">
        <v>1535</v>
      </c>
      <c r="D2088" s="4" t="s">
        <v>164</v>
      </c>
      <c r="E2088" s="4" t="s">
        <v>63</v>
      </c>
      <c r="F2088" s="4" t="s">
        <v>63</v>
      </c>
      <c r="G2088" s="4" t="s">
        <v>1767</v>
      </c>
      <c r="H2088" s="4"/>
      <c r="I2088" s="4" t="n">
        <v>2.1692</v>
      </c>
      <c r="J2088" s="4" t="str">
        <f aca="false">TRIM(E2088) &amp; TRIM(C2088) &amp; TRIM(D2088)</f>
        <v>First ReviewBoost VideoCR</v>
      </c>
      <c r="K2088" s="4" t="n">
        <f aca="false">IFERROR(I2088*60,"")</f>
        <v>130.152</v>
      </c>
    </row>
    <row r="2089" customFormat="false" ht="15" hidden="false" customHeight="false" outlineLevel="0" collapsed="false">
      <c r="A2089" s="4" t="s">
        <v>15</v>
      </c>
      <c r="B2089" s="4" t="s">
        <v>1526</v>
      </c>
      <c r="C2089" s="4" t="s">
        <v>1529</v>
      </c>
      <c r="D2089" s="4" t="s">
        <v>100</v>
      </c>
      <c r="E2089" s="4" t="s">
        <v>63</v>
      </c>
      <c r="F2089" s="4" t="s">
        <v>63</v>
      </c>
      <c r="G2089" s="4" t="s">
        <v>1572</v>
      </c>
      <c r="H2089" s="4"/>
      <c r="I2089" s="4" t="n">
        <v>1.4676</v>
      </c>
      <c r="J2089" s="4" t="str">
        <f aca="false">TRIM(E2089) &amp; TRIM(C2089) &amp; TRIM(D2089)</f>
        <v>First ReviewBoost LivestreamAU</v>
      </c>
      <c r="K2089" s="4" t="n">
        <f aca="false">IFERROR(I2089*60,"")</f>
        <v>88.056</v>
      </c>
    </row>
    <row r="2090" customFormat="false" ht="15" hidden="false" customHeight="false" outlineLevel="0" collapsed="false">
      <c r="A2090" s="4" t="s">
        <v>15</v>
      </c>
      <c r="B2090" s="4" t="s">
        <v>1526</v>
      </c>
      <c r="C2090" s="4" t="s">
        <v>1529</v>
      </c>
      <c r="D2090" s="4" t="s">
        <v>181</v>
      </c>
      <c r="E2090" s="4" t="s">
        <v>66</v>
      </c>
      <c r="F2090" s="4" t="s">
        <v>67</v>
      </c>
      <c r="G2090" s="4" t="s">
        <v>1586</v>
      </c>
      <c r="H2090" s="4"/>
      <c r="I2090" s="4" t="n">
        <v>1.6024</v>
      </c>
      <c r="J2090" s="4" t="str">
        <f aca="false">TRIM(E2090) &amp; TRIM(C2090) &amp; TRIM(D2090)</f>
        <v>Posted RecallBoost LivestreamLB</v>
      </c>
      <c r="K2090" s="4" t="n">
        <f aca="false">IFERROR(I2090*60,"")</f>
        <v>96.144</v>
      </c>
    </row>
    <row r="2091" customFormat="false" ht="15" hidden="false" customHeight="false" outlineLevel="0" collapsed="false">
      <c r="A2091" s="4" t="s">
        <v>15</v>
      </c>
      <c r="B2091" s="4" t="s">
        <v>1526</v>
      </c>
      <c r="C2091" s="4" t="s">
        <v>1527</v>
      </c>
      <c r="D2091" s="4" t="s">
        <v>208</v>
      </c>
      <c r="E2091" s="4" t="s">
        <v>66</v>
      </c>
      <c r="F2091" s="4" t="s">
        <v>67</v>
      </c>
      <c r="G2091" s="4" t="s">
        <v>1768</v>
      </c>
      <c r="H2091" s="4"/>
      <c r="I2091" s="4" t="n">
        <v>1.2019</v>
      </c>
      <c r="J2091" s="4" t="str">
        <f aca="false">TRIM(E2091) &amp; TRIM(C2091) &amp; TRIM(D2091)</f>
        <v>Posted RecallBoost CarouselCO</v>
      </c>
      <c r="K2091" s="4" t="n">
        <f aca="false">IFERROR(I2091*60,"")</f>
        <v>72.114</v>
      </c>
    </row>
    <row r="2092" customFormat="false" ht="15" hidden="false" customHeight="false" outlineLevel="0" collapsed="false">
      <c r="A2092" s="4" t="s">
        <v>15</v>
      </c>
      <c r="B2092" s="4" t="s">
        <v>1526</v>
      </c>
      <c r="C2092" s="4" t="s">
        <v>1535</v>
      </c>
      <c r="D2092" s="4" t="s">
        <v>104</v>
      </c>
      <c r="E2092" s="4" t="s">
        <v>63</v>
      </c>
      <c r="F2092" s="4" t="s">
        <v>63</v>
      </c>
      <c r="G2092" s="4" t="s">
        <v>1650</v>
      </c>
      <c r="H2092" s="4"/>
      <c r="I2092" s="4" t="n">
        <v>1.915</v>
      </c>
      <c r="J2092" s="4" t="str">
        <f aca="false">TRIM(E2092) &amp; TRIM(C2092) &amp; TRIM(D2092)</f>
        <v>First ReviewBoost VideoIE</v>
      </c>
      <c r="K2092" s="4" t="n">
        <f aca="false">IFERROR(I2092*60,"")</f>
        <v>114.9</v>
      </c>
    </row>
    <row r="2093" customFormat="false" ht="15" hidden="false" customHeight="false" outlineLevel="0" collapsed="false">
      <c r="A2093" s="4" t="s">
        <v>15</v>
      </c>
      <c r="B2093" s="4" t="s">
        <v>1526</v>
      </c>
      <c r="C2093" s="4" t="s">
        <v>1527</v>
      </c>
      <c r="D2093" s="4" t="s">
        <v>115</v>
      </c>
      <c r="E2093" s="4" t="s">
        <v>63</v>
      </c>
      <c r="F2093" s="4" t="s">
        <v>63</v>
      </c>
      <c r="G2093" s="4" t="s">
        <v>1560</v>
      </c>
      <c r="H2093" s="4"/>
      <c r="I2093" s="4" t="n">
        <v>1.7265</v>
      </c>
      <c r="J2093" s="4" t="str">
        <f aca="false">TRIM(E2093) &amp; TRIM(C2093) &amp; TRIM(D2093)</f>
        <v>First ReviewBoost CarouselAT</v>
      </c>
      <c r="K2093" s="4" t="n">
        <f aca="false">IFERROR(I2093*60,"")</f>
        <v>103.59</v>
      </c>
    </row>
    <row r="2094" customFormat="false" ht="15" hidden="false" customHeight="false" outlineLevel="0" collapsed="false">
      <c r="A2094" s="4" t="s">
        <v>15</v>
      </c>
      <c r="B2094" s="4" t="s">
        <v>1526</v>
      </c>
      <c r="C2094" s="4" t="s">
        <v>1527</v>
      </c>
      <c r="D2094" s="4" t="s">
        <v>308</v>
      </c>
      <c r="E2094" s="4" t="s">
        <v>66</v>
      </c>
      <c r="F2094" s="4" t="s">
        <v>67</v>
      </c>
      <c r="G2094" s="4" t="s">
        <v>1749</v>
      </c>
      <c r="H2094" s="4"/>
      <c r="I2094" s="4" t="n">
        <v>2.3791</v>
      </c>
      <c r="J2094" s="4" t="str">
        <f aca="false">TRIM(E2094) &amp; TRIM(C2094) &amp; TRIM(D2094)</f>
        <v>Posted RecallBoost CarouselPL</v>
      </c>
      <c r="K2094" s="4" t="n">
        <f aca="false">IFERROR(I2094*60,"")</f>
        <v>142.746</v>
      </c>
    </row>
    <row r="2095" customFormat="false" ht="15" hidden="false" customHeight="false" outlineLevel="0" collapsed="false">
      <c r="A2095" s="4" t="s">
        <v>15</v>
      </c>
      <c r="B2095" s="4" t="s">
        <v>1526</v>
      </c>
      <c r="C2095" s="4" t="s">
        <v>1529</v>
      </c>
      <c r="D2095" s="4" t="s">
        <v>231</v>
      </c>
      <c r="E2095" s="4" t="s">
        <v>66</v>
      </c>
      <c r="F2095" s="4" t="s">
        <v>67</v>
      </c>
      <c r="G2095" s="4" t="s">
        <v>1587</v>
      </c>
      <c r="H2095" s="4"/>
      <c r="I2095" s="4" t="n">
        <v>2.2923</v>
      </c>
      <c r="J2095" s="4" t="str">
        <f aca="false">TRIM(E2095) &amp; TRIM(C2095) &amp; TRIM(D2095)</f>
        <v>Posted RecallBoost LivestreamIL</v>
      </c>
      <c r="K2095" s="4" t="n">
        <f aca="false">IFERROR(I2095*60,"")</f>
        <v>137.538</v>
      </c>
    </row>
    <row r="2096" customFormat="false" ht="15" hidden="false" customHeight="false" outlineLevel="0" collapsed="false">
      <c r="A2096" s="4" t="s">
        <v>15</v>
      </c>
      <c r="B2096" s="4" t="s">
        <v>1526</v>
      </c>
      <c r="C2096" s="4" t="s">
        <v>1527</v>
      </c>
      <c r="D2096" s="4" t="s">
        <v>124</v>
      </c>
      <c r="E2096" s="4" t="s">
        <v>59</v>
      </c>
      <c r="F2096" s="4" t="s">
        <v>59</v>
      </c>
      <c r="G2096" s="4" t="s">
        <v>1649</v>
      </c>
      <c r="H2096" s="4"/>
      <c r="I2096" s="4" t="n">
        <v>1.1757</v>
      </c>
      <c r="J2096" s="4" t="str">
        <f aca="false">TRIM(E2096) &amp; TRIM(C2096) &amp; TRIM(D2096)</f>
        <v>Re-reviewBoost CarouselPT</v>
      </c>
      <c r="K2096" s="4" t="n">
        <f aca="false">IFERROR(I2096*60,"")</f>
        <v>70.542</v>
      </c>
    </row>
    <row r="2097" customFormat="false" ht="15" hidden="false" customHeight="false" outlineLevel="0" collapsed="false">
      <c r="A2097" s="4" t="s">
        <v>15</v>
      </c>
      <c r="B2097" s="4" t="s">
        <v>1526</v>
      </c>
      <c r="C2097" s="4" t="s">
        <v>1527</v>
      </c>
      <c r="D2097" s="4" t="s">
        <v>141</v>
      </c>
      <c r="E2097" s="4" t="s">
        <v>63</v>
      </c>
      <c r="F2097" s="4" t="s">
        <v>63</v>
      </c>
      <c r="G2097" s="4" t="s">
        <v>1769</v>
      </c>
      <c r="H2097" s="4"/>
      <c r="I2097" s="4" t="n">
        <v>1.3717</v>
      </c>
      <c r="J2097" s="4" t="str">
        <f aca="false">TRIM(E2097) &amp; TRIM(C2097) &amp; TRIM(D2097)</f>
        <v>First ReviewBoost CarouselAZ</v>
      </c>
      <c r="K2097" s="4" t="n">
        <f aca="false">IFERROR(I2097*60,"")</f>
        <v>82.302</v>
      </c>
    </row>
    <row r="2098" customFormat="false" ht="15" hidden="false" customHeight="false" outlineLevel="0" collapsed="false">
      <c r="A2098" s="4" t="s">
        <v>15</v>
      </c>
      <c r="B2098" s="4" t="s">
        <v>1526</v>
      </c>
      <c r="C2098" s="4" t="s">
        <v>1529</v>
      </c>
      <c r="D2098" s="4" t="s">
        <v>157</v>
      </c>
      <c r="E2098" s="4" t="s">
        <v>66</v>
      </c>
      <c r="F2098" s="4" t="s">
        <v>67</v>
      </c>
      <c r="G2098" s="4" t="s">
        <v>1530</v>
      </c>
      <c r="H2098" s="4"/>
      <c r="I2098" s="4" t="n">
        <v>0.9874</v>
      </c>
      <c r="J2098" s="4" t="str">
        <f aca="false">TRIM(E2098) &amp; TRIM(C2098) &amp; TRIM(D2098)</f>
        <v>Posted RecallBoost LivestreamSA</v>
      </c>
      <c r="K2098" s="4" t="n">
        <f aca="false">IFERROR(I2098*60,"")</f>
        <v>59.244</v>
      </c>
    </row>
    <row r="2099" customFormat="false" ht="15" hidden="false" customHeight="false" outlineLevel="0" collapsed="false">
      <c r="A2099" s="4" t="s">
        <v>15</v>
      </c>
      <c r="B2099" s="4" t="s">
        <v>1526</v>
      </c>
      <c r="C2099" s="4" t="s">
        <v>1535</v>
      </c>
      <c r="D2099" s="4" t="s">
        <v>197</v>
      </c>
      <c r="E2099" s="4" t="s">
        <v>66</v>
      </c>
      <c r="F2099" s="4" t="s">
        <v>67</v>
      </c>
      <c r="G2099" s="4" t="s">
        <v>1642</v>
      </c>
      <c r="H2099" s="4"/>
      <c r="I2099" s="4" t="n">
        <v>2.0678</v>
      </c>
      <c r="J2099" s="4" t="str">
        <f aca="false">TRIM(E2099) &amp; TRIM(C2099) &amp; TRIM(D2099)</f>
        <v>Posted RecallBoost VideoGR</v>
      </c>
      <c r="K2099" s="4" t="n">
        <f aca="false">IFERROR(I2099*60,"")</f>
        <v>124.068</v>
      </c>
    </row>
    <row r="2100" customFormat="false" ht="15" hidden="false" customHeight="false" outlineLevel="0" collapsed="false">
      <c r="A2100" s="4" t="s">
        <v>15</v>
      </c>
      <c r="B2100" s="4" t="s">
        <v>1526</v>
      </c>
      <c r="C2100" s="4" t="s">
        <v>1535</v>
      </c>
      <c r="D2100" s="4" t="s">
        <v>113</v>
      </c>
      <c r="E2100" s="4" t="s">
        <v>66</v>
      </c>
      <c r="F2100" s="4" t="s">
        <v>67</v>
      </c>
      <c r="G2100" s="4" t="s">
        <v>1588</v>
      </c>
      <c r="H2100" s="4"/>
      <c r="I2100" s="4" t="n">
        <v>1.9268</v>
      </c>
      <c r="J2100" s="4" t="str">
        <f aca="false">TRIM(E2100) &amp; TRIM(C2100) &amp; TRIM(D2100)</f>
        <v>Posted RecallBoost VideoNL</v>
      </c>
      <c r="K2100" s="4" t="n">
        <f aca="false">IFERROR(I2100*60,"")</f>
        <v>115.608</v>
      </c>
    </row>
    <row r="2101" customFormat="false" ht="15" hidden="false" customHeight="false" outlineLevel="0" collapsed="false">
      <c r="A2101" s="4" t="s">
        <v>15</v>
      </c>
      <c r="B2101" s="4" t="s">
        <v>1526</v>
      </c>
      <c r="C2101" s="4" t="s">
        <v>1535</v>
      </c>
      <c r="D2101" s="4" t="s">
        <v>1550</v>
      </c>
      <c r="E2101" s="4" t="s">
        <v>63</v>
      </c>
      <c r="F2101" s="4" t="s">
        <v>63</v>
      </c>
      <c r="G2101" s="4" t="s">
        <v>1770</v>
      </c>
      <c r="H2101" s="4"/>
      <c r="I2101" s="4" t="n">
        <v>1.3381</v>
      </c>
      <c r="J2101" s="4" t="str">
        <f aca="false">TRIM(E2101) &amp; TRIM(C2101) &amp; TRIM(D2101)</f>
        <v>First ReviewBoost VideoLY</v>
      </c>
      <c r="K2101" s="4" t="n">
        <f aca="false">IFERROR(I2101*60,"")</f>
        <v>80.286</v>
      </c>
    </row>
    <row r="2102" customFormat="false" ht="15" hidden="false" customHeight="false" outlineLevel="0" collapsed="false">
      <c r="A2102" s="4" t="s">
        <v>15</v>
      </c>
      <c r="B2102" s="4" t="s">
        <v>1526</v>
      </c>
      <c r="C2102" s="4" t="s">
        <v>1535</v>
      </c>
      <c r="D2102" s="4" t="s">
        <v>238</v>
      </c>
      <c r="E2102" s="4" t="s">
        <v>66</v>
      </c>
      <c r="F2102" s="4" t="s">
        <v>67</v>
      </c>
      <c r="G2102" s="4" t="s">
        <v>1771</v>
      </c>
      <c r="H2102" s="4"/>
      <c r="I2102" s="4" t="n">
        <v>1.8906</v>
      </c>
      <c r="J2102" s="4" t="str">
        <f aca="false">TRIM(E2102) &amp; TRIM(C2102) &amp; TRIM(D2102)</f>
        <v>Posted RecallBoost VideoCH</v>
      </c>
      <c r="K2102" s="4" t="n">
        <f aca="false">IFERROR(I2102*60,"")</f>
        <v>113.436</v>
      </c>
    </row>
    <row r="2103" customFormat="false" ht="15" hidden="false" customHeight="false" outlineLevel="0" collapsed="false">
      <c r="A2103" s="4" t="s">
        <v>15</v>
      </c>
      <c r="B2103" s="4" t="s">
        <v>1526</v>
      </c>
      <c r="C2103" s="4" t="s">
        <v>1527</v>
      </c>
      <c r="D2103" s="4" t="s">
        <v>139</v>
      </c>
      <c r="E2103" s="4" t="s">
        <v>66</v>
      </c>
      <c r="F2103" s="4" t="s">
        <v>67</v>
      </c>
      <c r="G2103" s="4" t="s">
        <v>1564</v>
      </c>
      <c r="H2103" s="4"/>
      <c r="I2103" s="4" t="n">
        <v>1.1648</v>
      </c>
      <c r="J2103" s="4" t="str">
        <f aca="false">TRIM(E2103) &amp; TRIM(C2103) &amp; TRIM(D2103)</f>
        <v>Posted RecallBoost CarouselEG</v>
      </c>
      <c r="K2103" s="4" t="n">
        <f aca="false">IFERROR(I2103*60,"")</f>
        <v>69.888</v>
      </c>
    </row>
    <row r="2104" customFormat="false" ht="15" hidden="false" customHeight="false" outlineLevel="0" collapsed="false">
      <c r="A2104" s="4" t="s">
        <v>15</v>
      </c>
      <c r="B2104" s="4" t="s">
        <v>1526</v>
      </c>
      <c r="C2104" s="4" t="s">
        <v>1535</v>
      </c>
      <c r="D2104" s="4" t="s">
        <v>1625</v>
      </c>
      <c r="E2104" s="4" t="s">
        <v>63</v>
      </c>
      <c r="F2104" s="4" t="s">
        <v>63</v>
      </c>
      <c r="G2104" s="4" t="s">
        <v>1772</v>
      </c>
      <c r="H2104" s="4"/>
      <c r="I2104" s="4" t="n">
        <v>1.5613</v>
      </c>
      <c r="J2104" s="4" t="str">
        <f aca="false">TRIM(E2104) &amp; TRIM(C2104) &amp; TRIM(D2104)</f>
        <v>First ReviewBoost VideoSN</v>
      </c>
      <c r="K2104" s="4" t="n">
        <f aca="false">IFERROR(I2104*60,"")</f>
        <v>93.678</v>
      </c>
    </row>
    <row r="2105" customFormat="false" ht="15" hidden="false" customHeight="false" outlineLevel="0" collapsed="false">
      <c r="A2105" s="4" t="s">
        <v>15</v>
      </c>
      <c r="B2105" s="4" t="s">
        <v>1526</v>
      </c>
      <c r="C2105" s="4" t="s">
        <v>1527</v>
      </c>
      <c r="D2105" s="4" t="s">
        <v>243</v>
      </c>
      <c r="E2105" s="4" t="s">
        <v>63</v>
      </c>
      <c r="F2105" s="4" t="s">
        <v>63</v>
      </c>
      <c r="G2105" s="4" t="s">
        <v>1563</v>
      </c>
      <c r="H2105" s="4"/>
      <c r="I2105" s="4" t="n">
        <v>1.5539</v>
      </c>
      <c r="J2105" s="4" t="str">
        <f aca="false">TRIM(E2105) &amp; TRIM(C2105) &amp; TRIM(D2105)</f>
        <v>First ReviewBoost CarouselBY</v>
      </c>
      <c r="K2105" s="4" t="n">
        <f aca="false">IFERROR(I2105*60,"")</f>
        <v>93.234</v>
      </c>
    </row>
    <row r="2106" customFormat="false" ht="15" hidden="false" customHeight="false" outlineLevel="0" collapsed="false">
      <c r="A2106" s="4" t="s">
        <v>15</v>
      </c>
      <c r="B2106" s="4" t="s">
        <v>1526</v>
      </c>
      <c r="C2106" s="4" t="s">
        <v>1527</v>
      </c>
      <c r="D2106" s="4" t="s">
        <v>210</v>
      </c>
      <c r="E2106" s="4" t="s">
        <v>63</v>
      </c>
      <c r="F2106" s="4" t="s">
        <v>63</v>
      </c>
      <c r="G2106" s="4" t="s">
        <v>1773</v>
      </c>
      <c r="H2106" s="4"/>
      <c r="I2106" s="4" t="n">
        <v>0.1654</v>
      </c>
      <c r="J2106" s="4" t="str">
        <f aca="false">TRIM(E2106) &amp; TRIM(C2106) &amp; TRIM(D2106)</f>
        <v>First ReviewBoost CarouselPK</v>
      </c>
      <c r="K2106" s="4" t="n">
        <f aca="false">IFERROR(I2106*60,"")</f>
        <v>9.924</v>
      </c>
    </row>
    <row r="2107" customFormat="false" ht="15" hidden="false" customHeight="false" outlineLevel="0" collapsed="false">
      <c r="A2107" s="4" t="s">
        <v>15</v>
      </c>
      <c r="B2107" s="4" t="s">
        <v>1526</v>
      </c>
      <c r="C2107" s="4" t="s">
        <v>1527</v>
      </c>
      <c r="D2107" s="4" t="s">
        <v>157</v>
      </c>
      <c r="E2107" s="4" t="s">
        <v>66</v>
      </c>
      <c r="F2107" s="4" t="s">
        <v>67</v>
      </c>
      <c r="G2107" s="4" t="s">
        <v>1566</v>
      </c>
      <c r="H2107" s="4"/>
      <c r="I2107" s="4" t="n">
        <v>1.1622</v>
      </c>
      <c r="J2107" s="4" t="str">
        <f aca="false">TRIM(E2107) &amp; TRIM(C2107) &amp; TRIM(D2107)</f>
        <v>Posted RecallBoost CarouselSA</v>
      </c>
      <c r="K2107" s="4" t="n">
        <f aca="false">IFERROR(I2107*60,"")</f>
        <v>69.732</v>
      </c>
    </row>
    <row r="2108" customFormat="false" ht="15" hidden="false" customHeight="false" outlineLevel="0" collapsed="false">
      <c r="A2108" s="4" t="s">
        <v>15</v>
      </c>
      <c r="B2108" s="4" t="s">
        <v>1526</v>
      </c>
      <c r="C2108" s="4" t="s">
        <v>1529</v>
      </c>
      <c r="D2108" s="4" t="s">
        <v>126</v>
      </c>
      <c r="E2108" s="4" t="s">
        <v>63</v>
      </c>
      <c r="F2108" s="4" t="s">
        <v>63</v>
      </c>
      <c r="G2108" s="4" t="s">
        <v>1774</v>
      </c>
      <c r="H2108" s="4"/>
      <c r="I2108" s="4" t="n">
        <v>2.1583</v>
      </c>
      <c r="J2108" s="4" t="str">
        <f aca="false">TRIM(E2108) &amp; TRIM(C2108) &amp; TRIM(D2108)</f>
        <v>First ReviewBoost LivestreamMX</v>
      </c>
      <c r="K2108" s="4" t="n">
        <f aca="false">IFERROR(I2108*60,"")</f>
        <v>129.498</v>
      </c>
    </row>
    <row r="2109" customFormat="false" ht="15" hidden="false" customHeight="false" outlineLevel="0" collapsed="false">
      <c r="A2109" s="4" t="s">
        <v>15</v>
      </c>
      <c r="B2109" s="4" t="s">
        <v>1526</v>
      </c>
      <c r="C2109" s="4" t="s">
        <v>1527</v>
      </c>
      <c r="D2109" s="4" t="s">
        <v>213</v>
      </c>
      <c r="E2109" s="4" t="s">
        <v>59</v>
      </c>
      <c r="F2109" s="4" t="s">
        <v>59</v>
      </c>
      <c r="G2109" s="4" t="s">
        <v>1764</v>
      </c>
      <c r="H2109" s="4"/>
      <c r="I2109" s="4" t="n">
        <v>0.8513</v>
      </c>
      <c r="J2109" s="4" t="str">
        <f aca="false">TRIM(E2109) &amp; TRIM(C2109) &amp; TRIM(D2109)</f>
        <v>Re-reviewBoost CarouselFR</v>
      </c>
      <c r="K2109" s="4" t="n">
        <f aca="false">IFERROR(I2109*60,"")</f>
        <v>51.078</v>
      </c>
    </row>
    <row r="2110" customFormat="false" ht="15" hidden="false" customHeight="false" outlineLevel="0" collapsed="false">
      <c r="A2110" s="4" t="s">
        <v>15</v>
      </c>
      <c r="B2110" s="4" t="s">
        <v>1526</v>
      </c>
      <c r="C2110" s="4" t="s">
        <v>1527</v>
      </c>
      <c r="D2110" s="4" t="s">
        <v>1699</v>
      </c>
      <c r="E2110" s="4" t="s">
        <v>63</v>
      </c>
      <c r="F2110" s="4" t="s">
        <v>63</v>
      </c>
      <c r="G2110" s="4" t="s">
        <v>1775</v>
      </c>
      <c r="H2110" s="4"/>
      <c r="I2110" s="4" t="n">
        <v>0.4714</v>
      </c>
      <c r="J2110" s="4" t="str">
        <f aca="false">TRIM(E2110) &amp; TRIM(C2110) &amp; TRIM(D2110)</f>
        <v>First ReviewBoost CarouselMV</v>
      </c>
      <c r="K2110" s="4" t="n">
        <f aca="false">IFERROR(I2110*60,"")</f>
        <v>28.284</v>
      </c>
    </row>
    <row r="2111" customFormat="false" ht="15" hidden="false" customHeight="false" outlineLevel="0" collapsed="false">
      <c r="A2111" s="4" t="s">
        <v>15</v>
      </c>
      <c r="B2111" s="4" t="s">
        <v>1526</v>
      </c>
      <c r="C2111" s="4" t="s">
        <v>1527</v>
      </c>
      <c r="D2111" s="4" t="s">
        <v>79</v>
      </c>
      <c r="E2111" s="4" t="s">
        <v>63</v>
      </c>
      <c r="F2111" s="4" t="s">
        <v>63</v>
      </c>
      <c r="G2111" s="4" t="s">
        <v>1776</v>
      </c>
      <c r="H2111" s="4"/>
      <c r="I2111" s="4" t="n">
        <v>1.1698</v>
      </c>
      <c r="J2111" s="4" t="str">
        <f aca="false">TRIM(E2111) &amp; TRIM(C2111) &amp; TRIM(D2111)</f>
        <v>First ReviewBoost CarouselZA</v>
      </c>
      <c r="K2111" s="4" t="n">
        <f aca="false">IFERROR(I2111*60,"")</f>
        <v>70.188</v>
      </c>
    </row>
    <row r="2112" customFormat="false" ht="15" hidden="false" customHeight="false" outlineLevel="0" collapsed="false">
      <c r="A2112" s="4" t="s">
        <v>15</v>
      </c>
      <c r="B2112" s="4" t="s">
        <v>1526</v>
      </c>
      <c r="C2112" s="4" t="s">
        <v>1527</v>
      </c>
      <c r="D2112" s="4" t="s">
        <v>104</v>
      </c>
      <c r="E2112" s="4" t="s">
        <v>59</v>
      </c>
      <c r="F2112" s="4" t="s">
        <v>59</v>
      </c>
      <c r="G2112" s="4" t="s">
        <v>1723</v>
      </c>
      <c r="H2112" s="4"/>
      <c r="I2112" s="4" t="n">
        <v>1.4479</v>
      </c>
      <c r="J2112" s="4" t="str">
        <f aca="false">TRIM(E2112) &amp; TRIM(C2112) &amp; TRIM(D2112)</f>
        <v>Re-reviewBoost CarouselIE</v>
      </c>
      <c r="K2112" s="4" t="n">
        <f aca="false">IFERROR(I2112*60,"")</f>
        <v>86.874</v>
      </c>
    </row>
    <row r="2113" customFormat="false" ht="15" hidden="false" customHeight="false" outlineLevel="0" collapsed="false">
      <c r="A2113" s="4" t="s">
        <v>15</v>
      </c>
      <c r="B2113" s="4" t="s">
        <v>1526</v>
      </c>
      <c r="C2113" s="4" t="s">
        <v>1535</v>
      </c>
      <c r="D2113" s="4" t="s">
        <v>178</v>
      </c>
      <c r="E2113" s="4" t="s">
        <v>66</v>
      </c>
      <c r="F2113" s="4" t="s">
        <v>67</v>
      </c>
      <c r="G2113" s="4" t="s">
        <v>1610</v>
      </c>
      <c r="H2113" s="4"/>
      <c r="I2113" s="4" t="n">
        <v>1.7144</v>
      </c>
      <c r="J2113" s="4" t="str">
        <f aca="false">TRIM(E2113) &amp; TRIM(C2113) &amp; TRIM(D2113)</f>
        <v>Posted RecallBoost VideoBO</v>
      </c>
      <c r="K2113" s="4" t="n">
        <f aca="false">IFERROR(I2113*60,"")</f>
        <v>102.864</v>
      </c>
    </row>
    <row r="2114" customFormat="false" ht="15" hidden="false" customHeight="false" outlineLevel="0" collapsed="false">
      <c r="A2114" s="4" t="s">
        <v>15</v>
      </c>
      <c r="B2114" s="4" t="s">
        <v>1526</v>
      </c>
      <c r="C2114" s="4" t="s">
        <v>1535</v>
      </c>
      <c r="D2114" s="4" t="s">
        <v>154</v>
      </c>
      <c r="E2114" s="4" t="s">
        <v>59</v>
      </c>
      <c r="F2114" s="4" t="s">
        <v>59</v>
      </c>
      <c r="G2114" s="4" t="s">
        <v>1553</v>
      </c>
      <c r="H2114" s="4"/>
      <c r="I2114" s="4" t="n">
        <v>2.0333</v>
      </c>
      <c r="J2114" s="4" t="str">
        <f aca="false">TRIM(E2114) &amp; TRIM(C2114) &amp; TRIM(D2114)</f>
        <v>Re-reviewBoost VideoES</v>
      </c>
      <c r="K2114" s="4" t="n">
        <f aca="false">IFERROR(I2114*60,"")</f>
        <v>121.998</v>
      </c>
    </row>
    <row r="2115" customFormat="false" ht="15" hidden="false" customHeight="false" outlineLevel="0" collapsed="false">
      <c r="A2115" s="4" t="s">
        <v>15</v>
      </c>
      <c r="B2115" s="4" t="s">
        <v>1526</v>
      </c>
      <c r="C2115" s="4" t="s">
        <v>1527</v>
      </c>
      <c r="D2115" s="4" t="s">
        <v>164</v>
      </c>
      <c r="E2115" s="4" t="s">
        <v>66</v>
      </c>
      <c r="F2115" s="4" t="s">
        <v>67</v>
      </c>
      <c r="G2115" s="4" t="s">
        <v>1692</v>
      </c>
      <c r="H2115" s="4"/>
      <c r="I2115" s="4" t="n">
        <v>1.1331</v>
      </c>
      <c r="J2115" s="4" t="str">
        <f aca="false">TRIM(E2115) &amp; TRIM(C2115) &amp; TRIM(D2115)</f>
        <v>Posted RecallBoost CarouselCR</v>
      </c>
      <c r="K2115" s="4" t="n">
        <f aca="false">IFERROR(I2115*60,"")</f>
        <v>67.986</v>
      </c>
    </row>
    <row r="2116" customFormat="false" ht="15" hidden="false" customHeight="false" outlineLevel="0" collapsed="false">
      <c r="A2116" s="4" t="s">
        <v>15</v>
      </c>
      <c r="B2116" s="4" t="s">
        <v>1526</v>
      </c>
      <c r="C2116" s="4" t="s">
        <v>1529</v>
      </c>
      <c r="D2116" s="4" t="s">
        <v>62</v>
      </c>
      <c r="E2116" s="4" t="s">
        <v>66</v>
      </c>
      <c r="F2116" s="4" t="s">
        <v>67</v>
      </c>
      <c r="G2116" s="4" t="s">
        <v>1555</v>
      </c>
      <c r="H2116" s="4"/>
      <c r="I2116" s="4" t="n">
        <v>1.4121</v>
      </c>
      <c r="J2116" s="4" t="str">
        <f aca="false">TRIM(E2116) &amp; TRIM(C2116) &amp; TRIM(D2116)</f>
        <v>Posted RecallBoost LivestreamCL</v>
      </c>
      <c r="K2116" s="4" t="n">
        <f aca="false">IFERROR(I2116*60,"")</f>
        <v>84.726</v>
      </c>
    </row>
    <row r="2117" customFormat="false" ht="15" hidden="false" customHeight="false" outlineLevel="0" collapsed="false">
      <c r="A2117" s="4" t="s">
        <v>15</v>
      </c>
      <c r="B2117" s="4" t="s">
        <v>1526</v>
      </c>
      <c r="C2117" s="4" t="s">
        <v>1535</v>
      </c>
      <c r="D2117" s="4" t="s">
        <v>901</v>
      </c>
      <c r="E2117" s="4" t="s">
        <v>59</v>
      </c>
      <c r="F2117" s="4" t="s">
        <v>59</v>
      </c>
      <c r="G2117" s="4" t="s">
        <v>1777</v>
      </c>
      <c r="H2117" s="4"/>
      <c r="I2117" s="4" t="n">
        <v>0.7556</v>
      </c>
      <c r="J2117" s="4" t="str">
        <f aca="false">TRIM(E2117) &amp; TRIM(C2117) &amp; TRIM(D2117)</f>
        <v>Re-reviewBoost VideoLU</v>
      </c>
      <c r="K2117" s="4" t="n">
        <f aca="false">IFERROR(I2117*60,"")</f>
        <v>45.336</v>
      </c>
    </row>
    <row r="2118" customFormat="false" ht="15" hidden="false" customHeight="false" outlineLevel="0" collapsed="false">
      <c r="A2118" s="4" t="s">
        <v>15</v>
      </c>
      <c r="B2118" s="4" t="s">
        <v>1526</v>
      </c>
      <c r="C2118" s="4" t="s">
        <v>1529</v>
      </c>
      <c r="D2118" s="4" t="s">
        <v>87</v>
      </c>
      <c r="E2118" s="4" t="s">
        <v>66</v>
      </c>
      <c r="F2118" s="4" t="s">
        <v>67</v>
      </c>
      <c r="G2118" s="4" t="s">
        <v>1778</v>
      </c>
      <c r="H2118" s="4"/>
      <c r="I2118" s="4" t="n">
        <v>1.3719</v>
      </c>
      <c r="J2118" s="4" t="str">
        <f aca="false">TRIM(E2118) &amp; TRIM(C2118) &amp; TRIM(D2118)</f>
        <v>Posted RecallBoost LivestreamAE</v>
      </c>
      <c r="K2118" s="4" t="n">
        <f aca="false">IFERROR(I2118*60,"")</f>
        <v>82.314</v>
      </c>
    </row>
    <row r="2119" customFormat="false" ht="15" hidden="false" customHeight="false" outlineLevel="0" collapsed="false">
      <c r="A2119" s="4" t="s">
        <v>15</v>
      </c>
      <c r="B2119" s="4" t="s">
        <v>1526</v>
      </c>
      <c r="C2119" s="4" t="s">
        <v>1535</v>
      </c>
      <c r="D2119" s="4" t="s">
        <v>121</v>
      </c>
      <c r="E2119" s="4" t="s">
        <v>66</v>
      </c>
      <c r="F2119" s="4" t="s">
        <v>67</v>
      </c>
      <c r="G2119" s="4" t="s">
        <v>1606</v>
      </c>
      <c r="H2119" s="4"/>
      <c r="I2119" s="4" t="n">
        <v>2.0806</v>
      </c>
      <c r="J2119" s="4" t="str">
        <f aca="false">TRIM(E2119) &amp; TRIM(C2119) &amp; TRIM(D2119)</f>
        <v>Posted RecallBoost VideoKR</v>
      </c>
      <c r="K2119" s="4" t="n">
        <f aca="false">IFERROR(I2119*60,"")</f>
        <v>124.836</v>
      </c>
    </row>
    <row r="2120" customFormat="false" ht="15" hidden="false" customHeight="false" outlineLevel="0" collapsed="false">
      <c r="A2120" s="4" t="s">
        <v>15</v>
      </c>
      <c r="B2120" s="4" t="s">
        <v>1526</v>
      </c>
      <c r="C2120" s="4" t="s">
        <v>1529</v>
      </c>
      <c r="D2120" s="4" t="s">
        <v>190</v>
      </c>
      <c r="E2120" s="4" t="s">
        <v>66</v>
      </c>
      <c r="F2120" s="4" t="s">
        <v>67</v>
      </c>
      <c r="G2120" s="4" t="s">
        <v>1617</v>
      </c>
      <c r="H2120" s="4"/>
      <c r="I2120" s="4" t="n">
        <v>1.3918</v>
      </c>
      <c r="J2120" s="4" t="str">
        <f aca="false">TRIM(E2120) &amp; TRIM(C2120) &amp; TRIM(D2120)</f>
        <v>Posted RecallBoost LivestreamPH</v>
      </c>
      <c r="K2120" s="4" t="n">
        <f aca="false">IFERROR(I2120*60,"")</f>
        <v>83.508</v>
      </c>
    </row>
    <row r="2121" customFormat="false" ht="15" hidden="false" customHeight="false" outlineLevel="0" collapsed="false">
      <c r="A2121" s="4" t="s">
        <v>15</v>
      </c>
      <c r="B2121" s="4" t="s">
        <v>1526</v>
      </c>
      <c r="C2121" s="4" t="s">
        <v>1529</v>
      </c>
      <c r="D2121" s="4" t="s">
        <v>197</v>
      </c>
      <c r="E2121" s="4" t="s">
        <v>63</v>
      </c>
      <c r="F2121" s="4" t="s">
        <v>63</v>
      </c>
      <c r="G2121" s="4" t="s">
        <v>1779</v>
      </c>
      <c r="H2121" s="4"/>
      <c r="I2121" s="4" t="n">
        <v>2.6251</v>
      </c>
      <c r="J2121" s="4" t="str">
        <f aca="false">TRIM(E2121) &amp; TRIM(C2121) &amp; TRIM(D2121)</f>
        <v>First ReviewBoost LivestreamGR</v>
      </c>
      <c r="K2121" s="4" t="n">
        <f aca="false">IFERROR(I2121*60,"")</f>
        <v>157.506</v>
      </c>
    </row>
    <row r="2122" customFormat="false" ht="15" hidden="false" customHeight="false" outlineLevel="0" collapsed="false">
      <c r="A2122" s="4" t="s">
        <v>15</v>
      </c>
      <c r="B2122" s="4" t="s">
        <v>1526</v>
      </c>
      <c r="C2122" s="4" t="s">
        <v>1535</v>
      </c>
      <c r="D2122" s="4" t="s">
        <v>65</v>
      </c>
      <c r="E2122" s="4" t="s">
        <v>59</v>
      </c>
      <c r="F2122" s="4" t="s">
        <v>59</v>
      </c>
      <c r="G2122" s="4" t="s">
        <v>1602</v>
      </c>
      <c r="H2122" s="4"/>
      <c r="I2122" s="4" t="n">
        <v>3.8914</v>
      </c>
      <c r="J2122" s="4" t="str">
        <f aca="false">TRIM(E2122) &amp; TRIM(C2122) &amp; TRIM(D2122)</f>
        <v>Re-reviewBoost VideoEE</v>
      </c>
      <c r="K2122" s="4" t="n">
        <f aca="false">IFERROR(I2122*60,"")</f>
        <v>233.484</v>
      </c>
    </row>
    <row r="2123" customFormat="false" ht="15" hidden="false" customHeight="false" outlineLevel="0" collapsed="false">
      <c r="A2123" s="4" t="s">
        <v>15</v>
      </c>
      <c r="B2123" s="4" t="s">
        <v>1526</v>
      </c>
      <c r="C2123" s="4" t="s">
        <v>1535</v>
      </c>
      <c r="D2123" s="4" t="s">
        <v>65</v>
      </c>
      <c r="E2123" s="4" t="s">
        <v>63</v>
      </c>
      <c r="F2123" s="4" t="s">
        <v>63</v>
      </c>
      <c r="G2123" s="4" t="s">
        <v>1602</v>
      </c>
      <c r="H2123" s="4"/>
      <c r="I2123" s="4" t="n">
        <v>1.1863</v>
      </c>
      <c r="J2123" s="4" t="str">
        <f aca="false">TRIM(E2123) &amp; TRIM(C2123) &amp; TRIM(D2123)</f>
        <v>First ReviewBoost VideoEE</v>
      </c>
      <c r="K2123" s="4" t="n">
        <f aca="false">IFERROR(I2123*60,"")</f>
        <v>71.178</v>
      </c>
    </row>
    <row r="2124" customFormat="false" ht="15" hidden="false" customHeight="false" outlineLevel="0" collapsed="false">
      <c r="A2124" s="4" t="s">
        <v>15</v>
      </c>
      <c r="B2124" s="4" t="s">
        <v>1526</v>
      </c>
      <c r="C2124" s="4" t="s">
        <v>1527</v>
      </c>
      <c r="D2124" s="4" t="s">
        <v>73</v>
      </c>
      <c r="E2124" s="4" t="s">
        <v>63</v>
      </c>
      <c r="F2124" s="4" t="s">
        <v>63</v>
      </c>
      <c r="G2124" s="4" t="s">
        <v>1571</v>
      </c>
      <c r="H2124" s="4"/>
      <c r="I2124" s="4" t="n">
        <v>0.7241</v>
      </c>
      <c r="J2124" s="4" t="str">
        <f aca="false">TRIM(E2124) &amp; TRIM(C2124) &amp; TRIM(D2124)</f>
        <v>First ReviewBoost CarouselIQ</v>
      </c>
      <c r="K2124" s="4" t="n">
        <f aca="false">IFERROR(I2124*60,"")</f>
        <v>43.446</v>
      </c>
    </row>
    <row r="2125" customFormat="false" ht="15" hidden="false" customHeight="false" outlineLevel="0" collapsed="false">
      <c r="A2125" s="4" t="s">
        <v>15</v>
      </c>
      <c r="B2125" s="4" t="s">
        <v>1526</v>
      </c>
      <c r="C2125" s="4" t="s">
        <v>1535</v>
      </c>
      <c r="D2125" s="4" t="s">
        <v>190</v>
      </c>
      <c r="E2125" s="4" t="s">
        <v>66</v>
      </c>
      <c r="F2125" s="4" t="s">
        <v>67</v>
      </c>
      <c r="G2125" s="4" t="s">
        <v>1780</v>
      </c>
      <c r="H2125" s="4"/>
      <c r="I2125" s="4" t="n">
        <v>1.0283</v>
      </c>
      <c r="J2125" s="4" t="str">
        <f aca="false">TRIM(E2125) &amp; TRIM(C2125) &amp; TRIM(D2125)</f>
        <v>Posted RecallBoost VideoPH</v>
      </c>
      <c r="K2125" s="4" t="n">
        <f aca="false">IFERROR(I2125*60,"")</f>
        <v>61.698</v>
      </c>
    </row>
    <row r="2126" customFormat="false" ht="15" hidden="false" customHeight="false" outlineLevel="0" collapsed="false">
      <c r="A2126" s="4" t="s">
        <v>15</v>
      </c>
      <c r="B2126" s="4" t="s">
        <v>1526</v>
      </c>
      <c r="C2126" s="4" t="s">
        <v>1527</v>
      </c>
      <c r="D2126" s="4" t="s">
        <v>265</v>
      </c>
      <c r="E2126" s="4" t="s">
        <v>66</v>
      </c>
      <c r="F2126" s="4" t="s">
        <v>67</v>
      </c>
      <c r="G2126" s="4" t="s">
        <v>1727</v>
      </c>
      <c r="H2126" s="4"/>
      <c r="I2126" s="4" t="n">
        <v>1.3038</v>
      </c>
      <c r="J2126" s="4" t="str">
        <f aca="false">TRIM(E2126) &amp; TRIM(C2126) &amp; TRIM(D2126)</f>
        <v>Posted RecallBoost CarouselNO</v>
      </c>
      <c r="K2126" s="4" t="n">
        <f aca="false">IFERROR(I2126*60,"")</f>
        <v>78.228</v>
      </c>
    </row>
    <row r="2127" customFormat="false" ht="15" hidden="false" customHeight="false" outlineLevel="0" collapsed="false">
      <c r="A2127" s="4" t="s">
        <v>15</v>
      </c>
      <c r="B2127" s="4" t="s">
        <v>1526</v>
      </c>
      <c r="C2127" s="4" t="s">
        <v>1535</v>
      </c>
      <c r="D2127" s="4" t="s">
        <v>206</v>
      </c>
      <c r="E2127" s="4" t="s">
        <v>66</v>
      </c>
      <c r="F2127" s="4" t="s">
        <v>67</v>
      </c>
      <c r="G2127" s="4" t="s">
        <v>1600</v>
      </c>
      <c r="H2127" s="4"/>
      <c r="I2127" s="4" t="n">
        <v>1.6427</v>
      </c>
      <c r="J2127" s="4" t="str">
        <f aca="false">TRIM(E2127) &amp; TRIM(C2127) &amp; TRIM(D2127)</f>
        <v>Posted RecallBoost VideoDZ</v>
      </c>
      <c r="K2127" s="4" t="n">
        <f aca="false">IFERROR(I2127*60,"")</f>
        <v>98.562</v>
      </c>
    </row>
    <row r="2128" customFormat="false" ht="15" hidden="false" customHeight="false" outlineLevel="0" collapsed="false">
      <c r="A2128" s="4" t="s">
        <v>15</v>
      </c>
      <c r="B2128" s="4" t="s">
        <v>1526</v>
      </c>
      <c r="C2128" s="4" t="s">
        <v>1535</v>
      </c>
      <c r="D2128" s="4" t="s">
        <v>357</v>
      </c>
      <c r="E2128" s="4" t="s">
        <v>63</v>
      </c>
      <c r="F2128" s="4" t="s">
        <v>63</v>
      </c>
      <c r="G2128" s="4" t="s">
        <v>1536</v>
      </c>
      <c r="H2128" s="4"/>
      <c r="I2128" s="4" t="n">
        <v>1.6551</v>
      </c>
      <c r="J2128" s="4" t="str">
        <f aca="false">TRIM(E2128) &amp; TRIM(C2128) &amp; TRIM(D2128)</f>
        <v>First ReviewBoost VideoHU</v>
      </c>
      <c r="K2128" s="4" t="n">
        <f aca="false">IFERROR(I2128*60,"")</f>
        <v>99.306</v>
      </c>
    </row>
    <row r="2129" customFormat="false" ht="15" hidden="false" customHeight="false" outlineLevel="0" collapsed="false">
      <c r="A2129" s="4" t="s">
        <v>15</v>
      </c>
      <c r="B2129" s="4" t="s">
        <v>1526</v>
      </c>
      <c r="C2129" s="4" t="s">
        <v>1529</v>
      </c>
      <c r="D2129" s="4" t="s">
        <v>121</v>
      </c>
      <c r="E2129" s="4" t="s">
        <v>66</v>
      </c>
      <c r="F2129" s="4" t="s">
        <v>67</v>
      </c>
      <c r="G2129" s="4" t="s">
        <v>1640</v>
      </c>
      <c r="H2129" s="4"/>
      <c r="I2129" s="4" t="n">
        <v>2.7847</v>
      </c>
      <c r="J2129" s="4" t="str">
        <f aca="false">TRIM(E2129) &amp; TRIM(C2129) &amp; TRIM(D2129)</f>
        <v>Posted RecallBoost LivestreamKR</v>
      </c>
      <c r="K2129" s="4" t="n">
        <f aca="false">IFERROR(I2129*60,"")</f>
        <v>167.082</v>
      </c>
    </row>
    <row r="2130" customFormat="false" ht="15" hidden="false" customHeight="false" outlineLevel="0" collapsed="false">
      <c r="A2130" s="4" t="s">
        <v>15</v>
      </c>
      <c r="B2130" s="4" t="s">
        <v>1526</v>
      </c>
      <c r="C2130" s="4" t="s">
        <v>1529</v>
      </c>
      <c r="D2130" s="4" t="s">
        <v>1589</v>
      </c>
      <c r="E2130" s="4" t="s">
        <v>66</v>
      </c>
      <c r="F2130" s="4" t="s">
        <v>67</v>
      </c>
      <c r="G2130" s="4" t="s">
        <v>1781</v>
      </c>
      <c r="H2130" s="4"/>
      <c r="I2130" s="4" t="n">
        <v>2.9989</v>
      </c>
      <c r="J2130" s="4" t="str">
        <f aca="false">TRIM(E2130) &amp; TRIM(C2130) &amp; TRIM(D2130)</f>
        <v>Posted RecallBoost LivestreamSV</v>
      </c>
      <c r="K2130" s="4" t="n">
        <f aca="false">IFERROR(I2130*60,"")</f>
        <v>179.934</v>
      </c>
    </row>
    <row r="2131" customFormat="false" ht="15" hidden="false" customHeight="false" outlineLevel="0" collapsed="false">
      <c r="A2131" s="4" t="s">
        <v>15</v>
      </c>
      <c r="B2131" s="4" t="s">
        <v>1526</v>
      </c>
      <c r="C2131" s="4" t="s">
        <v>1535</v>
      </c>
      <c r="D2131" s="4" t="s">
        <v>87</v>
      </c>
      <c r="E2131" s="4" t="s">
        <v>66</v>
      </c>
      <c r="F2131" s="4" t="s">
        <v>67</v>
      </c>
      <c r="G2131" s="4" t="s">
        <v>1539</v>
      </c>
      <c r="H2131" s="4"/>
      <c r="I2131" s="4" t="n">
        <v>1.6073</v>
      </c>
      <c r="J2131" s="4" t="str">
        <f aca="false">TRIM(E2131) &amp; TRIM(C2131) &amp; TRIM(D2131)</f>
        <v>Posted RecallBoost VideoAE</v>
      </c>
      <c r="K2131" s="4" t="n">
        <f aca="false">IFERROR(I2131*60,"")</f>
        <v>96.438</v>
      </c>
    </row>
    <row r="2132" customFormat="false" ht="15" hidden="false" customHeight="false" outlineLevel="0" collapsed="false">
      <c r="A2132" s="4" t="s">
        <v>15</v>
      </c>
      <c r="B2132" s="4" t="s">
        <v>1526</v>
      </c>
      <c r="C2132" s="4" t="s">
        <v>1535</v>
      </c>
      <c r="D2132" s="4" t="s">
        <v>1782</v>
      </c>
      <c r="E2132" s="4" t="s">
        <v>63</v>
      </c>
      <c r="F2132" s="4" t="s">
        <v>63</v>
      </c>
      <c r="G2132" s="4" t="s">
        <v>1783</v>
      </c>
      <c r="H2132" s="4"/>
      <c r="I2132" s="4" t="n">
        <v>2.0013</v>
      </c>
      <c r="J2132" s="4" t="str">
        <f aca="false">TRIM(E2132) &amp; TRIM(C2132) &amp; TRIM(D2132)</f>
        <v>First ReviewBoost VideoKG</v>
      </c>
      <c r="K2132" s="4" t="n">
        <f aca="false">IFERROR(I2132*60,"")</f>
        <v>120.078</v>
      </c>
    </row>
    <row r="2133" customFormat="false" ht="15" hidden="false" customHeight="false" outlineLevel="0" collapsed="false">
      <c r="A2133" s="4" t="s">
        <v>15</v>
      </c>
      <c r="B2133" s="4" t="s">
        <v>1526</v>
      </c>
      <c r="C2133" s="4" t="s">
        <v>1527</v>
      </c>
      <c r="D2133" s="4" t="s">
        <v>299</v>
      </c>
      <c r="E2133" s="4" t="s">
        <v>63</v>
      </c>
      <c r="F2133" s="4" t="s">
        <v>63</v>
      </c>
      <c r="G2133" s="4" t="s">
        <v>1689</v>
      </c>
      <c r="H2133" s="4"/>
      <c r="I2133" s="4" t="n">
        <v>1.0369</v>
      </c>
      <c r="J2133" s="4" t="str">
        <f aca="false">TRIM(E2133) &amp; TRIM(C2133) &amp; TRIM(D2133)</f>
        <v>First ReviewBoost CarouselQA</v>
      </c>
      <c r="K2133" s="4" t="n">
        <f aca="false">IFERROR(I2133*60,"")</f>
        <v>62.214</v>
      </c>
    </row>
    <row r="2134" customFormat="false" ht="15" hidden="false" customHeight="false" outlineLevel="0" collapsed="false">
      <c r="A2134" s="4" t="s">
        <v>15</v>
      </c>
      <c r="B2134" s="4" t="s">
        <v>1526</v>
      </c>
      <c r="C2134" s="4" t="s">
        <v>1529</v>
      </c>
      <c r="D2134" s="4" t="s">
        <v>162</v>
      </c>
      <c r="E2134" s="4" t="s">
        <v>63</v>
      </c>
      <c r="F2134" s="4" t="s">
        <v>63</v>
      </c>
      <c r="G2134" s="4" t="s">
        <v>1784</v>
      </c>
      <c r="H2134" s="4"/>
      <c r="I2134" s="4" t="n">
        <v>1.415</v>
      </c>
      <c r="J2134" s="4" t="str">
        <f aca="false">TRIM(E2134) &amp; TRIM(C2134) &amp; TRIM(D2134)</f>
        <v>First ReviewBoost LivestreamJO</v>
      </c>
      <c r="K2134" s="4" t="n">
        <f aca="false">IFERROR(I2134*60,"")</f>
        <v>84.9</v>
      </c>
    </row>
    <row r="2135" customFormat="false" ht="15" hidden="false" customHeight="false" outlineLevel="0" collapsed="false">
      <c r="A2135" s="4" t="s">
        <v>15</v>
      </c>
      <c r="B2135" s="4" t="s">
        <v>1526</v>
      </c>
      <c r="C2135" s="4" t="s">
        <v>1529</v>
      </c>
      <c r="D2135" s="4" t="s">
        <v>213</v>
      </c>
      <c r="E2135" s="4" t="s">
        <v>66</v>
      </c>
      <c r="F2135" s="4" t="s">
        <v>67</v>
      </c>
      <c r="G2135" s="4" t="s">
        <v>1738</v>
      </c>
      <c r="H2135" s="4"/>
      <c r="I2135" s="4" t="n">
        <v>1.4975</v>
      </c>
      <c r="J2135" s="4" t="str">
        <f aca="false">TRIM(E2135) &amp; TRIM(C2135) &amp; TRIM(D2135)</f>
        <v>Posted RecallBoost LivestreamFR</v>
      </c>
      <c r="K2135" s="4" t="n">
        <f aca="false">IFERROR(I2135*60,"")</f>
        <v>89.85</v>
      </c>
    </row>
    <row r="2136" customFormat="false" ht="15" hidden="false" customHeight="false" outlineLevel="0" collapsed="false">
      <c r="A2136" s="4" t="s">
        <v>15</v>
      </c>
      <c r="B2136" s="4" t="s">
        <v>1526</v>
      </c>
      <c r="C2136" s="4" t="s">
        <v>1529</v>
      </c>
      <c r="D2136" s="4" t="s">
        <v>171</v>
      </c>
      <c r="E2136" s="4" t="s">
        <v>63</v>
      </c>
      <c r="F2136" s="4" t="s">
        <v>63</v>
      </c>
      <c r="G2136" s="4" t="s">
        <v>1785</v>
      </c>
      <c r="H2136" s="4"/>
      <c r="I2136" s="4" t="n">
        <v>2.3275</v>
      </c>
      <c r="J2136" s="4" t="str">
        <f aca="false">TRIM(E2136) &amp; TRIM(C2136) &amp; TRIM(D2136)</f>
        <v>First ReviewBoost LivestreamKE</v>
      </c>
      <c r="K2136" s="4" t="n">
        <f aca="false">IFERROR(I2136*60,"")</f>
        <v>139.65</v>
      </c>
    </row>
    <row r="2137" customFormat="false" ht="15" hidden="false" customHeight="false" outlineLevel="0" collapsed="false">
      <c r="A2137" s="4" t="s">
        <v>15</v>
      </c>
      <c r="B2137" s="4" t="s">
        <v>1526</v>
      </c>
      <c r="C2137" s="4" t="s">
        <v>1535</v>
      </c>
      <c r="D2137" s="4" t="s">
        <v>1550</v>
      </c>
      <c r="E2137" s="4" t="s">
        <v>66</v>
      </c>
      <c r="F2137" s="4" t="s">
        <v>67</v>
      </c>
      <c r="G2137" s="4" t="s">
        <v>1770</v>
      </c>
      <c r="H2137" s="4"/>
      <c r="I2137" s="4" t="n">
        <v>1.736</v>
      </c>
      <c r="J2137" s="4" t="str">
        <f aca="false">TRIM(E2137) &amp; TRIM(C2137) &amp; TRIM(D2137)</f>
        <v>Posted RecallBoost VideoLY</v>
      </c>
      <c r="K2137" s="4" t="n">
        <f aca="false">IFERROR(I2137*60,"")</f>
        <v>104.16</v>
      </c>
    </row>
    <row r="2138" customFormat="false" ht="15" hidden="false" customHeight="false" outlineLevel="0" collapsed="false">
      <c r="A2138" s="4" t="s">
        <v>15</v>
      </c>
      <c r="B2138" s="4" t="s">
        <v>1526</v>
      </c>
      <c r="C2138" s="4" t="s">
        <v>1529</v>
      </c>
      <c r="D2138" s="4" t="s">
        <v>73</v>
      </c>
      <c r="E2138" s="4" t="s">
        <v>63</v>
      </c>
      <c r="F2138" s="4" t="s">
        <v>63</v>
      </c>
      <c r="G2138" s="4" t="s">
        <v>1766</v>
      </c>
      <c r="H2138" s="4"/>
      <c r="I2138" s="4" t="n">
        <v>0.0673</v>
      </c>
      <c r="J2138" s="4" t="str">
        <f aca="false">TRIM(E2138) &amp; TRIM(C2138) &amp; TRIM(D2138)</f>
        <v>First ReviewBoost LivestreamIQ</v>
      </c>
      <c r="K2138" s="4" t="n">
        <f aca="false">IFERROR(I2138*60,"")</f>
        <v>4.038</v>
      </c>
    </row>
    <row r="2139" customFormat="false" ht="15" hidden="false" customHeight="false" outlineLevel="0" collapsed="false">
      <c r="A2139" s="4" t="s">
        <v>15</v>
      </c>
      <c r="B2139" s="4" t="s">
        <v>1526</v>
      </c>
      <c r="C2139" s="4" t="s">
        <v>1527</v>
      </c>
      <c r="D2139" s="4" t="s">
        <v>166</v>
      </c>
      <c r="E2139" s="4" t="s">
        <v>66</v>
      </c>
      <c r="F2139" s="4" t="s">
        <v>67</v>
      </c>
      <c r="G2139" s="4" t="s">
        <v>1786</v>
      </c>
      <c r="H2139" s="4"/>
      <c r="I2139" s="4" t="n">
        <v>2.7011</v>
      </c>
      <c r="J2139" s="4" t="str">
        <f aca="false">TRIM(E2139) &amp; TRIM(C2139) &amp; TRIM(D2139)</f>
        <v>Posted RecallBoost CarouselCZ</v>
      </c>
      <c r="K2139" s="4" t="n">
        <f aca="false">IFERROR(I2139*60,"")</f>
        <v>162.066</v>
      </c>
    </row>
    <row r="2140" customFormat="false" ht="15" hidden="false" customHeight="false" outlineLevel="0" collapsed="false">
      <c r="A2140" s="4" t="s">
        <v>15</v>
      </c>
      <c r="B2140" s="4" t="s">
        <v>1526</v>
      </c>
      <c r="C2140" s="4" t="s">
        <v>1527</v>
      </c>
      <c r="D2140" s="4" t="s">
        <v>159</v>
      </c>
      <c r="E2140" s="4" t="s">
        <v>63</v>
      </c>
      <c r="F2140" s="4" t="s">
        <v>63</v>
      </c>
      <c r="G2140" s="4" t="s">
        <v>1710</v>
      </c>
      <c r="H2140" s="4"/>
      <c r="I2140" s="4" t="n">
        <v>1.3125</v>
      </c>
      <c r="J2140" s="4" t="str">
        <f aca="false">TRIM(E2140) &amp; TRIM(C2140) &amp; TRIM(D2140)</f>
        <v>First ReviewBoost CarouselDO</v>
      </c>
      <c r="K2140" s="4" t="n">
        <f aca="false">IFERROR(I2140*60,"")</f>
        <v>78.75</v>
      </c>
    </row>
    <row r="2141" customFormat="false" ht="15" hidden="false" customHeight="false" outlineLevel="0" collapsed="false">
      <c r="A2141" s="4" t="s">
        <v>15</v>
      </c>
      <c r="B2141" s="4" t="s">
        <v>1526</v>
      </c>
      <c r="C2141" s="4" t="s">
        <v>1535</v>
      </c>
      <c r="D2141" s="4" t="s">
        <v>238</v>
      </c>
      <c r="E2141" s="4" t="s">
        <v>63</v>
      </c>
      <c r="F2141" s="4" t="s">
        <v>63</v>
      </c>
      <c r="G2141" s="4" t="s">
        <v>1771</v>
      </c>
      <c r="H2141" s="4"/>
      <c r="I2141" s="4" t="n">
        <v>2.1465</v>
      </c>
      <c r="J2141" s="4" t="str">
        <f aca="false">TRIM(E2141) &amp; TRIM(C2141) &amp; TRIM(D2141)</f>
        <v>First ReviewBoost VideoCH</v>
      </c>
      <c r="K2141" s="4" t="n">
        <f aca="false">IFERROR(I2141*60,"")</f>
        <v>128.79</v>
      </c>
    </row>
    <row r="2142" customFormat="false" ht="15" hidden="false" customHeight="false" outlineLevel="0" collapsed="false">
      <c r="A2142" s="4" t="s">
        <v>15</v>
      </c>
      <c r="B2142" s="4" t="s">
        <v>1526</v>
      </c>
      <c r="C2142" s="4" t="s">
        <v>1535</v>
      </c>
      <c r="D2142" s="4" t="s">
        <v>190</v>
      </c>
      <c r="E2142" s="4" t="s">
        <v>63</v>
      </c>
      <c r="F2142" s="4" t="s">
        <v>63</v>
      </c>
      <c r="G2142" s="4" t="s">
        <v>1780</v>
      </c>
      <c r="H2142" s="4"/>
      <c r="I2142" s="4" t="n">
        <v>1.0161</v>
      </c>
      <c r="J2142" s="4" t="str">
        <f aca="false">TRIM(E2142) &amp; TRIM(C2142) &amp; TRIM(D2142)</f>
        <v>First ReviewBoost VideoPH</v>
      </c>
      <c r="K2142" s="4" t="n">
        <f aca="false">IFERROR(I2142*60,"")</f>
        <v>60.966</v>
      </c>
    </row>
    <row r="2143" customFormat="false" ht="15" hidden="false" customHeight="false" outlineLevel="0" collapsed="false">
      <c r="A2143" s="4" t="s">
        <v>15</v>
      </c>
      <c r="B2143" s="4" t="s">
        <v>1526</v>
      </c>
      <c r="C2143" s="4" t="s">
        <v>1529</v>
      </c>
      <c r="D2143" s="4" t="s">
        <v>275</v>
      </c>
      <c r="E2143" s="4" t="s">
        <v>63</v>
      </c>
      <c r="F2143" s="4" t="s">
        <v>63</v>
      </c>
      <c r="G2143" s="4" t="s">
        <v>1758</v>
      </c>
      <c r="H2143" s="4"/>
      <c r="I2143" s="4" t="n">
        <v>3.0884</v>
      </c>
      <c r="J2143" s="4" t="str">
        <f aca="false">TRIM(E2143) &amp; TRIM(C2143) &amp; TRIM(D2143)</f>
        <v>First ReviewBoost LivestreamGB</v>
      </c>
      <c r="K2143" s="4" t="n">
        <f aca="false">IFERROR(I2143*60,"")</f>
        <v>185.304</v>
      </c>
    </row>
    <row r="2144" customFormat="false" ht="15" hidden="false" customHeight="false" outlineLevel="0" collapsed="false">
      <c r="A2144" s="4" t="s">
        <v>15</v>
      </c>
      <c r="B2144" s="4" t="s">
        <v>1526</v>
      </c>
      <c r="C2144" s="4" t="s">
        <v>1535</v>
      </c>
      <c r="D2144" s="4" t="s">
        <v>901</v>
      </c>
      <c r="E2144" s="4" t="s">
        <v>63</v>
      </c>
      <c r="F2144" s="4" t="s">
        <v>63</v>
      </c>
      <c r="G2144" s="4" t="s">
        <v>1777</v>
      </c>
      <c r="H2144" s="4"/>
      <c r="I2144" s="4" t="n">
        <v>1.4357</v>
      </c>
      <c r="J2144" s="4" t="str">
        <f aca="false">TRIM(E2144) &amp; TRIM(C2144) &amp; TRIM(D2144)</f>
        <v>First ReviewBoost VideoLU</v>
      </c>
      <c r="K2144" s="4" t="n">
        <f aca="false">IFERROR(I2144*60,"")</f>
        <v>86.142</v>
      </c>
    </row>
    <row r="2145" customFormat="false" ht="15" hidden="false" customHeight="false" outlineLevel="0" collapsed="false">
      <c r="A2145" s="4" t="s">
        <v>15</v>
      </c>
      <c r="B2145" s="4" t="s">
        <v>1526</v>
      </c>
      <c r="C2145" s="4" t="s">
        <v>1529</v>
      </c>
      <c r="D2145" s="4" t="s">
        <v>117</v>
      </c>
      <c r="E2145" s="4" t="s">
        <v>63</v>
      </c>
      <c r="F2145" s="4" t="s">
        <v>63</v>
      </c>
      <c r="G2145" s="4" t="s">
        <v>1787</v>
      </c>
      <c r="H2145" s="4"/>
      <c r="I2145" s="4" t="n">
        <v>1.966</v>
      </c>
      <c r="J2145" s="4" t="str">
        <f aca="false">TRIM(E2145) &amp; TRIM(C2145) &amp; TRIM(D2145)</f>
        <v>First ReviewBoost LivestreamAR</v>
      </c>
      <c r="K2145" s="4" t="n">
        <f aca="false">IFERROR(I2145*60,"")</f>
        <v>117.96</v>
      </c>
    </row>
    <row r="2146" customFormat="false" ht="15" hidden="false" customHeight="false" outlineLevel="0" collapsed="false">
      <c r="A2146" s="4" t="s">
        <v>15</v>
      </c>
      <c r="B2146" s="4" t="s">
        <v>1526</v>
      </c>
      <c r="C2146" s="4" t="s">
        <v>1529</v>
      </c>
      <c r="D2146" s="4" t="s">
        <v>197</v>
      </c>
      <c r="E2146" s="4" t="s">
        <v>66</v>
      </c>
      <c r="F2146" s="4" t="s">
        <v>67</v>
      </c>
      <c r="G2146" s="4" t="s">
        <v>1779</v>
      </c>
      <c r="H2146" s="4"/>
      <c r="I2146" s="4" t="n">
        <v>2.1765</v>
      </c>
      <c r="J2146" s="4" t="str">
        <f aca="false">TRIM(E2146) &amp; TRIM(C2146) &amp; TRIM(D2146)</f>
        <v>Posted RecallBoost LivestreamGR</v>
      </c>
      <c r="K2146" s="4" t="n">
        <f aca="false">IFERROR(I2146*60,"")</f>
        <v>130.59</v>
      </c>
    </row>
    <row r="2147" customFormat="false" ht="15" hidden="false" customHeight="false" outlineLevel="0" collapsed="false">
      <c r="A2147" s="4" t="s">
        <v>15</v>
      </c>
      <c r="B2147" s="4" t="s">
        <v>1526</v>
      </c>
      <c r="C2147" s="4" t="s">
        <v>1527</v>
      </c>
      <c r="D2147" s="4" t="s">
        <v>1550</v>
      </c>
      <c r="E2147" s="4" t="s">
        <v>63</v>
      </c>
      <c r="F2147" s="4" t="s">
        <v>63</v>
      </c>
      <c r="G2147" s="4" t="s">
        <v>1737</v>
      </c>
      <c r="H2147" s="4"/>
      <c r="I2147" s="4" t="n">
        <v>1.1368</v>
      </c>
      <c r="J2147" s="4" t="str">
        <f aca="false">TRIM(E2147) &amp; TRIM(C2147) &amp; TRIM(D2147)</f>
        <v>First ReviewBoost CarouselLY</v>
      </c>
      <c r="K2147" s="4" t="n">
        <f aca="false">IFERROR(I2147*60,"")</f>
        <v>68.208</v>
      </c>
    </row>
    <row r="2148" customFormat="false" ht="15" hidden="false" customHeight="false" outlineLevel="0" collapsed="false">
      <c r="A2148" s="4" t="s">
        <v>15</v>
      </c>
      <c r="B2148" s="4" t="s">
        <v>1526</v>
      </c>
      <c r="C2148" s="4" t="s">
        <v>1527</v>
      </c>
      <c r="D2148" s="4" t="s">
        <v>1589</v>
      </c>
      <c r="E2148" s="4" t="s">
        <v>63</v>
      </c>
      <c r="F2148" s="4" t="s">
        <v>63</v>
      </c>
      <c r="G2148" s="4" t="s">
        <v>1734</v>
      </c>
      <c r="H2148" s="4"/>
      <c r="I2148" s="4" t="n">
        <v>1.7462</v>
      </c>
      <c r="J2148" s="4" t="str">
        <f aca="false">TRIM(E2148) &amp; TRIM(C2148) &amp; TRIM(D2148)</f>
        <v>First ReviewBoost CarouselSV</v>
      </c>
      <c r="K2148" s="4" t="n">
        <f aca="false">IFERROR(I2148*60,"")</f>
        <v>104.772</v>
      </c>
    </row>
    <row r="2149" customFormat="false" ht="15" hidden="false" customHeight="false" outlineLevel="0" collapsed="false">
      <c r="A2149" s="4" t="s">
        <v>15</v>
      </c>
      <c r="B2149" s="4" t="s">
        <v>1526</v>
      </c>
      <c r="C2149" s="4" t="s">
        <v>1527</v>
      </c>
      <c r="D2149" s="4" t="s">
        <v>357</v>
      </c>
      <c r="E2149" s="4" t="s">
        <v>63</v>
      </c>
      <c r="F2149" s="4" t="s">
        <v>63</v>
      </c>
      <c r="G2149" s="4" t="s">
        <v>1666</v>
      </c>
      <c r="H2149" s="4"/>
      <c r="I2149" s="4" t="n">
        <v>1.459</v>
      </c>
      <c r="J2149" s="4" t="str">
        <f aca="false">TRIM(E2149) &amp; TRIM(C2149) &amp; TRIM(D2149)</f>
        <v>First ReviewBoost CarouselHU</v>
      </c>
      <c r="K2149" s="4" t="n">
        <f aca="false">IFERROR(I2149*60,"")</f>
        <v>87.54</v>
      </c>
    </row>
    <row r="2150" customFormat="false" ht="15" hidden="false" customHeight="false" outlineLevel="0" collapsed="false">
      <c r="A2150" s="4" t="s">
        <v>15</v>
      </c>
      <c r="B2150" s="4" t="s">
        <v>1526</v>
      </c>
      <c r="C2150" s="4" t="s">
        <v>1527</v>
      </c>
      <c r="D2150" s="4" t="s">
        <v>106</v>
      </c>
      <c r="E2150" s="4" t="s">
        <v>66</v>
      </c>
      <c r="F2150" s="4" t="s">
        <v>67</v>
      </c>
      <c r="G2150" s="4" t="s">
        <v>1730</v>
      </c>
      <c r="H2150" s="4"/>
      <c r="I2150" s="4" t="n">
        <v>1.1353</v>
      </c>
      <c r="J2150" s="4" t="str">
        <f aca="false">TRIM(E2150) &amp; TRIM(C2150) &amp; TRIM(D2150)</f>
        <v>Posted RecallBoost CarouselMY</v>
      </c>
      <c r="K2150" s="4" t="n">
        <f aca="false">IFERROR(I2150*60,"")</f>
        <v>68.118</v>
      </c>
    </row>
    <row r="2151" customFormat="false" ht="15" hidden="false" customHeight="false" outlineLevel="0" collapsed="false">
      <c r="A2151" s="4" t="s">
        <v>15</v>
      </c>
      <c r="B2151" s="4" t="s">
        <v>1526</v>
      </c>
      <c r="C2151" s="4" t="s">
        <v>1527</v>
      </c>
      <c r="D2151" s="4" t="s">
        <v>275</v>
      </c>
      <c r="E2151" s="4" t="s">
        <v>63</v>
      </c>
      <c r="F2151" s="4" t="s">
        <v>63</v>
      </c>
      <c r="G2151" s="4" t="s">
        <v>1732</v>
      </c>
      <c r="H2151" s="4"/>
      <c r="I2151" s="4" t="n">
        <v>2.1094</v>
      </c>
      <c r="J2151" s="4" t="str">
        <f aca="false">TRIM(E2151) &amp; TRIM(C2151) &amp; TRIM(D2151)</f>
        <v>First ReviewBoost CarouselGB</v>
      </c>
      <c r="K2151" s="4" t="n">
        <f aca="false">IFERROR(I2151*60,"")</f>
        <v>126.564</v>
      </c>
    </row>
    <row r="2152" customFormat="false" ht="15" hidden="false" customHeight="false" outlineLevel="0" collapsed="false">
      <c r="A2152" s="4" t="s">
        <v>15</v>
      </c>
      <c r="B2152" s="4" t="s">
        <v>1526</v>
      </c>
      <c r="C2152" s="4" t="s">
        <v>1527</v>
      </c>
      <c r="D2152" s="4" t="s">
        <v>341</v>
      </c>
      <c r="E2152" s="4" t="s">
        <v>63</v>
      </c>
      <c r="F2152" s="4" t="s">
        <v>63</v>
      </c>
      <c r="G2152" s="4" t="s">
        <v>1708</v>
      </c>
      <c r="H2152" s="4"/>
      <c r="I2152" s="4" t="n">
        <v>1.2276</v>
      </c>
      <c r="J2152" s="4" t="str">
        <f aca="false">TRIM(E2152) &amp; TRIM(C2152) &amp; TRIM(D2152)</f>
        <v>First ReviewBoost CarouselBG</v>
      </c>
      <c r="K2152" s="4" t="n">
        <f aca="false">IFERROR(I2152*60,"")</f>
        <v>73.656</v>
      </c>
    </row>
    <row r="2153" customFormat="false" ht="15" hidden="false" customHeight="false" outlineLevel="0" collapsed="false">
      <c r="A2153" s="4" t="s">
        <v>15</v>
      </c>
      <c r="B2153" s="4" t="s">
        <v>1526</v>
      </c>
      <c r="C2153" s="4" t="s">
        <v>1529</v>
      </c>
      <c r="D2153" s="4" t="s">
        <v>1589</v>
      </c>
      <c r="E2153" s="4" t="s">
        <v>63</v>
      </c>
      <c r="F2153" s="4" t="s">
        <v>63</v>
      </c>
      <c r="G2153" s="4" t="s">
        <v>1781</v>
      </c>
      <c r="H2153" s="4"/>
      <c r="I2153" s="4" t="n">
        <v>2.5189</v>
      </c>
      <c r="J2153" s="4" t="str">
        <f aca="false">TRIM(E2153) &amp; TRIM(C2153) &amp; TRIM(D2153)</f>
        <v>First ReviewBoost LivestreamSV</v>
      </c>
      <c r="K2153" s="4" t="n">
        <f aca="false">IFERROR(I2153*60,"")</f>
        <v>151.134</v>
      </c>
    </row>
    <row r="2154" customFormat="false" ht="15" hidden="false" customHeight="false" outlineLevel="0" collapsed="false">
      <c r="A2154" s="4" t="s">
        <v>15</v>
      </c>
      <c r="B2154" s="4" t="s">
        <v>1526</v>
      </c>
      <c r="C2154" s="4" t="s">
        <v>1527</v>
      </c>
      <c r="D2154" s="4" t="s">
        <v>1788</v>
      </c>
      <c r="E2154" s="4" t="s">
        <v>63</v>
      </c>
      <c r="F2154" s="4" t="s">
        <v>63</v>
      </c>
      <c r="G2154" s="4" t="s">
        <v>1789</v>
      </c>
      <c r="H2154" s="4"/>
      <c r="I2154" s="4" t="n">
        <v>0.699</v>
      </c>
      <c r="J2154" s="4" t="str">
        <f aca="false">TRIM(E2154) &amp; TRIM(C2154) &amp; TRIM(D2154)</f>
        <v>First ReviewBoost CarouselTJ</v>
      </c>
      <c r="K2154" s="4" t="n">
        <f aca="false">IFERROR(I2154*60,"")</f>
        <v>41.94</v>
      </c>
    </row>
    <row r="2155" customFormat="false" ht="15" hidden="false" customHeight="false" outlineLevel="0" collapsed="false">
      <c r="A2155" s="4" t="s">
        <v>15</v>
      </c>
      <c r="B2155" s="4" t="s">
        <v>1526</v>
      </c>
      <c r="C2155" s="4" t="s">
        <v>1527</v>
      </c>
      <c r="D2155" s="4" t="s">
        <v>85</v>
      </c>
      <c r="E2155" s="4" t="s">
        <v>63</v>
      </c>
      <c r="F2155" s="4" t="s">
        <v>63</v>
      </c>
      <c r="G2155" s="4" t="s">
        <v>1750</v>
      </c>
      <c r="H2155" s="4"/>
      <c r="I2155" s="4" t="n">
        <v>1.5463</v>
      </c>
      <c r="J2155" s="4" t="str">
        <f aca="false">TRIM(E2155) &amp; TRIM(C2155) &amp; TRIM(D2155)</f>
        <v>First ReviewBoost CarouselEC</v>
      </c>
      <c r="K2155" s="4" t="n">
        <f aca="false">IFERROR(I2155*60,"")</f>
        <v>92.778</v>
      </c>
    </row>
    <row r="2156" customFormat="false" ht="15" hidden="false" customHeight="false" outlineLevel="0" collapsed="false">
      <c r="A2156" s="4" t="s">
        <v>15</v>
      </c>
      <c r="B2156" s="4" t="s">
        <v>1526</v>
      </c>
      <c r="C2156" s="4" t="s">
        <v>1527</v>
      </c>
      <c r="D2156" s="4" t="s">
        <v>171</v>
      </c>
      <c r="E2156" s="4" t="s">
        <v>63</v>
      </c>
      <c r="F2156" s="4" t="s">
        <v>63</v>
      </c>
      <c r="G2156" s="4" t="s">
        <v>1790</v>
      </c>
      <c r="H2156" s="4"/>
      <c r="I2156" s="4" t="n">
        <v>1.8383</v>
      </c>
      <c r="J2156" s="4" t="str">
        <f aca="false">TRIM(E2156) &amp; TRIM(C2156) &amp; TRIM(D2156)</f>
        <v>First ReviewBoost CarouselKE</v>
      </c>
      <c r="K2156" s="4" t="n">
        <f aca="false">IFERROR(I2156*60,"")</f>
        <v>110.298</v>
      </c>
    </row>
    <row r="2157" customFormat="false" ht="15" hidden="false" customHeight="false" outlineLevel="0" collapsed="false">
      <c r="A2157" s="4" t="s">
        <v>15</v>
      </c>
      <c r="B2157" s="4" t="s">
        <v>1526</v>
      </c>
      <c r="C2157" s="4" t="s">
        <v>1535</v>
      </c>
      <c r="D2157" s="4" t="s">
        <v>164</v>
      </c>
      <c r="E2157" s="4" t="s">
        <v>66</v>
      </c>
      <c r="F2157" s="4" t="s">
        <v>67</v>
      </c>
      <c r="G2157" s="4" t="s">
        <v>1767</v>
      </c>
      <c r="H2157" s="4"/>
      <c r="I2157" s="4" t="n">
        <v>2.0775</v>
      </c>
      <c r="J2157" s="4" t="str">
        <f aca="false">TRIM(E2157) &amp; TRIM(C2157) &amp; TRIM(D2157)</f>
        <v>Posted RecallBoost VideoCR</v>
      </c>
      <c r="K2157" s="4" t="n">
        <f aca="false">IFERROR(I2157*60,"")</f>
        <v>124.65</v>
      </c>
    </row>
    <row r="2158" customFormat="false" ht="15" hidden="false" customHeight="false" outlineLevel="0" collapsed="false">
      <c r="A2158" s="4" t="s">
        <v>15</v>
      </c>
      <c r="B2158" s="4" t="s">
        <v>1526</v>
      </c>
      <c r="C2158" s="4" t="s">
        <v>1527</v>
      </c>
      <c r="D2158" s="4" t="s">
        <v>89</v>
      </c>
      <c r="E2158" s="4" t="s">
        <v>66</v>
      </c>
      <c r="F2158" s="4" t="s">
        <v>67</v>
      </c>
      <c r="G2158" s="4" t="s">
        <v>1585</v>
      </c>
      <c r="H2158" s="4"/>
      <c r="I2158" s="4" t="n">
        <v>0.7716</v>
      </c>
      <c r="J2158" s="4" t="str">
        <f aca="false">TRIM(E2158) &amp; TRIM(C2158) &amp; TRIM(D2158)</f>
        <v>Posted RecallBoost CarouselFI</v>
      </c>
      <c r="K2158" s="4" t="n">
        <f aca="false">IFERROR(I2158*60,"")</f>
        <v>46.296</v>
      </c>
    </row>
    <row r="2159" customFormat="false" ht="15" hidden="false" customHeight="false" outlineLevel="0" collapsed="false">
      <c r="A2159" s="4" t="s">
        <v>15</v>
      </c>
      <c r="B2159" s="4" t="s">
        <v>1526</v>
      </c>
      <c r="C2159" s="4" t="s">
        <v>1527</v>
      </c>
      <c r="D2159" s="4" t="s">
        <v>901</v>
      </c>
      <c r="E2159" s="4" t="s">
        <v>59</v>
      </c>
      <c r="F2159" s="4" t="s">
        <v>59</v>
      </c>
      <c r="G2159" s="4" t="s">
        <v>1688</v>
      </c>
      <c r="H2159" s="4"/>
      <c r="I2159" s="4" t="n">
        <v>0.547</v>
      </c>
      <c r="J2159" s="4" t="str">
        <f aca="false">TRIM(E2159) &amp; TRIM(C2159) &amp; TRIM(D2159)</f>
        <v>Re-reviewBoost CarouselLU</v>
      </c>
      <c r="K2159" s="4" t="n">
        <f aca="false">IFERROR(I2159*60,"")</f>
        <v>32.82</v>
      </c>
    </row>
    <row r="2160" customFormat="false" ht="15" hidden="false" customHeight="false" outlineLevel="0" collapsed="false">
      <c r="A2160" s="4" t="s">
        <v>15</v>
      </c>
      <c r="B2160" s="4" t="s">
        <v>1526</v>
      </c>
      <c r="C2160" s="4" t="s">
        <v>1529</v>
      </c>
      <c r="D2160" s="4" t="s">
        <v>126</v>
      </c>
      <c r="E2160" s="4" t="s">
        <v>66</v>
      </c>
      <c r="F2160" s="4" t="s">
        <v>67</v>
      </c>
      <c r="G2160" s="4" t="s">
        <v>1774</v>
      </c>
      <c r="H2160" s="4"/>
      <c r="I2160" s="4" t="n">
        <v>1.5752</v>
      </c>
      <c r="J2160" s="4" t="str">
        <f aca="false">TRIM(E2160) &amp; TRIM(C2160) &amp; TRIM(D2160)</f>
        <v>Posted RecallBoost LivestreamMX</v>
      </c>
      <c r="K2160" s="4" t="n">
        <f aca="false">IFERROR(I2160*60,"")</f>
        <v>94.512</v>
      </c>
    </row>
    <row r="2161" customFormat="false" ht="15" hidden="false" customHeight="false" outlineLevel="0" collapsed="false">
      <c r="A2161" s="4" t="s">
        <v>15</v>
      </c>
      <c r="B2161" s="4" t="s">
        <v>1526</v>
      </c>
      <c r="C2161" s="4" t="s">
        <v>1527</v>
      </c>
      <c r="D2161" s="4" t="s">
        <v>166</v>
      </c>
      <c r="E2161" s="4" t="s">
        <v>59</v>
      </c>
      <c r="F2161" s="4" t="s">
        <v>59</v>
      </c>
      <c r="G2161" s="4" t="s">
        <v>1786</v>
      </c>
      <c r="H2161" s="4"/>
      <c r="I2161" s="4" t="n">
        <v>1.5467</v>
      </c>
      <c r="J2161" s="4" t="str">
        <f aca="false">TRIM(E2161) &amp; TRIM(C2161) &amp; TRIM(D2161)</f>
        <v>Re-reviewBoost CarouselCZ</v>
      </c>
      <c r="K2161" s="4" t="n">
        <f aca="false">IFERROR(I2161*60,"")</f>
        <v>92.802</v>
      </c>
    </row>
    <row r="2162" customFormat="false" ht="15" hidden="false" customHeight="false" outlineLevel="0" collapsed="false">
      <c r="A2162" s="4" t="s">
        <v>15</v>
      </c>
      <c r="B2162" s="4" t="s">
        <v>1526</v>
      </c>
      <c r="C2162" s="4" t="s">
        <v>1529</v>
      </c>
      <c r="D2162" s="4" t="s">
        <v>87</v>
      </c>
      <c r="E2162" s="4" t="s">
        <v>63</v>
      </c>
      <c r="F2162" s="4" t="s">
        <v>63</v>
      </c>
      <c r="G2162" s="4" t="s">
        <v>1778</v>
      </c>
      <c r="H2162" s="4"/>
      <c r="I2162" s="4" t="n">
        <v>1.2059</v>
      </c>
      <c r="J2162" s="4" t="str">
        <f aca="false">TRIM(E2162) &amp; TRIM(C2162) &amp; TRIM(D2162)</f>
        <v>First ReviewBoost LivestreamAE</v>
      </c>
      <c r="K2162" s="4" t="n">
        <f aca="false">IFERROR(I2162*60,"")</f>
        <v>72.354</v>
      </c>
    </row>
    <row r="2163" customFormat="false" ht="15" hidden="false" customHeight="false" outlineLevel="0" collapsed="false">
      <c r="A2163" s="4" t="s">
        <v>15</v>
      </c>
      <c r="B2163" s="4" t="s">
        <v>1526</v>
      </c>
      <c r="C2163" s="4" t="s">
        <v>1529</v>
      </c>
      <c r="D2163" s="4" t="s">
        <v>195</v>
      </c>
      <c r="E2163" s="4" t="s">
        <v>66</v>
      </c>
      <c r="F2163" s="4" t="s">
        <v>67</v>
      </c>
      <c r="G2163" s="4" t="s">
        <v>1668</v>
      </c>
      <c r="H2163" s="4"/>
      <c r="I2163" s="4" t="n">
        <v>2.1498</v>
      </c>
      <c r="J2163" s="4" t="str">
        <f aca="false">TRIM(E2163) &amp; TRIM(C2163) &amp; TRIM(D2163)</f>
        <v>Posted RecallBoost LivestreamIT</v>
      </c>
      <c r="K2163" s="4" t="n">
        <f aca="false">IFERROR(I2163*60,"")</f>
        <v>128.988</v>
      </c>
    </row>
    <row r="2164" customFormat="false" ht="15" hidden="false" customHeight="false" outlineLevel="0" collapsed="false">
      <c r="A2164" s="4" t="s">
        <v>15</v>
      </c>
      <c r="B2164" s="4" t="s">
        <v>1526</v>
      </c>
      <c r="C2164" s="4" t="s">
        <v>1527</v>
      </c>
      <c r="D2164" s="4" t="s">
        <v>210</v>
      </c>
      <c r="E2164" s="4" t="s">
        <v>66</v>
      </c>
      <c r="F2164" s="4" t="s">
        <v>67</v>
      </c>
      <c r="G2164" s="4" t="s">
        <v>1773</v>
      </c>
      <c r="H2164" s="4"/>
      <c r="I2164" s="4" t="n">
        <v>0.9861</v>
      </c>
      <c r="J2164" s="4" t="str">
        <f aca="false">TRIM(E2164) &amp; TRIM(C2164) &amp; TRIM(D2164)</f>
        <v>Posted RecallBoost CarouselPK</v>
      </c>
      <c r="K2164" s="4" t="n">
        <f aca="false">IFERROR(I2164*60,"")</f>
        <v>59.166</v>
      </c>
    </row>
    <row r="2165" customFormat="false" ht="15" hidden="false" customHeight="false" outlineLevel="0" collapsed="false">
      <c r="A2165" s="4" t="s">
        <v>15</v>
      </c>
      <c r="B2165" s="4" t="s">
        <v>1526</v>
      </c>
      <c r="C2165" s="4" t="s">
        <v>1527</v>
      </c>
      <c r="D2165" s="4" t="s">
        <v>79</v>
      </c>
      <c r="E2165" s="4" t="s">
        <v>66</v>
      </c>
      <c r="F2165" s="4" t="s">
        <v>67</v>
      </c>
      <c r="G2165" s="4" t="s">
        <v>1776</v>
      </c>
      <c r="H2165" s="4"/>
      <c r="I2165" s="4" t="n">
        <v>1.1104</v>
      </c>
      <c r="J2165" s="4" t="str">
        <f aca="false">TRIM(E2165) &amp; TRIM(C2165) &amp; TRIM(D2165)</f>
        <v>Posted RecallBoost CarouselZA</v>
      </c>
      <c r="K2165" s="4" t="n">
        <f aca="false">IFERROR(I2165*60,"")</f>
        <v>66.624</v>
      </c>
    </row>
    <row r="2166" customFormat="false" ht="15" hidden="false" customHeight="false" outlineLevel="0" collapsed="false">
      <c r="A2166" s="4" t="s">
        <v>15</v>
      </c>
      <c r="B2166" s="4" t="s">
        <v>1526</v>
      </c>
      <c r="C2166" s="4" t="s">
        <v>1527</v>
      </c>
      <c r="D2166" s="4" t="s">
        <v>141</v>
      </c>
      <c r="E2166" s="4" t="s">
        <v>66</v>
      </c>
      <c r="F2166" s="4" t="s">
        <v>67</v>
      </c>
      <c r="G2166" s="4" t="s">
        <v>1769</v>
      </c>
      <c r="H2166" s="4"/>
      <c r="I2166" s="4" t="n">
        <v>1.0172</v>
      </c>
      <c r="J2166" s="4" t="str">
        <f aca="false">TRIM(E2166) &amp; TRIM(C2166) &amp; TRIM(D2166)</f>
        <v>Posted RecallBoost CarouselAZ</v>
      </c>
      <c r="K2166" s="4" t="n">
        <f aca="false">IFERROR(I2166*60,"")</f>
        <v>61.032</v>
      </c>
    </row>
    <row r="2167" customFormat="false" ht="15" hidden="false" customHeight="false" outlineLevel="0" collapsed="false">
      <c r="A2167" s="4" t="s">
        <v>15</v>
      </c>
      <c r="B2167" s="4" t="s">
        <v>1526</v>
      </c>
      <c r="C2167" s="4" t="s">
        <v>1527</v>
      </c>
      <c r="D2167" s="4" t="s">
        <v>199</v>
      </c>
      <c r="E2167" s="4" t="s">
        <v>63</v>
      </c>
      <c r="F2167" s="4" t="s">
        <v>63</v>
      </c>
      <c r="G2167" s="4" t="s">
        <v>1791</v>
      </c>
      <c r="H2167" s="4"/>
      <c r="I2167" s="4" t="n">
        <v>1.2456</v>
      </c>
      <c r="J2167" s="4" t="str">
        <f aca="false">TRIM(E2167) &amp; TRIM(C2167) &amp; TRIM(D2167)</f>
        <v>First ReviewBoost CarouselBH</v>
      </c>
      <c r="K2167" s="4" t="n">
        <f aca="false">IFERROR(I2167*60,"")</f>
        <v>74.736</v>
      </c>
    </row>
    <row r="2168" customFormat="false" ht="15" hidden="false" customHeight="false" outlineLevel="0" collapsed="false">
      <c r="A2168" s="4" t="s">
        <v>15</v>
      </c>
      <c r="B2168" s="4" t="s">
        <v>1526</v>
      </c>
      <c r="C2168" s="4" t="s">
        <v>1527</v>
      </c>
      <c r="D2168" s="4" t="s">
        <v>265</v>
      </c>
      <c r="E2168" s="4" t="s">
        <v>63</v>
      </c>
      <c r="F2168" s="4" t="s">
        <v>63</v>
      </c>
      <c r="G2168" s="4" t="s">
        <v>1727</v>
      </c>
      <c r="H2168" s="4"/>
      <c r="I2168" s="4" t="n">
        <v>2.2794</v>
      </c>
      <c r="J2168" s="4" t="str">
        <f aca="false">TRIM(E2168) &amp; TRIM(C2168) &amp; TRIM(D2168)</f>
        <v>First ReviewBoost CarouselNO</v>
      </c>
      <c r="K2168" s="4" t="n">
        <f aca="false">IFERROR(I2168*60,"")</f>
        <v>136.764</v>
      </c>
    </row>
    <row r="2169" customFormat="false" ht="15" hidden="false" customHeight="false" outlineLevel="0" collapsed="false">
      <c r="A2169" s="4" t="s">
        <v>15</v>
      </c>
      <c r="B2169" s="4" t="s">
        <v>1526</v>
      </c>
      <c r="C2169" s="4" t="s">
        <v>1527</v>
      </c>
      <c r="D2169" s="4" t="s">
        <v>1652</v>
      </c>
      <c r="E2169" s="4" t="s">
        <v>63</v>
      </c>
      <c r="F2169" s="4" t="s">
        <v>63</v>
      </c>
      <c r="G2169" s="4" t="s">
        <v>1792</v>
      </c>
      <c r="H2169" s="4"/>
      <c r="I2169" s="4" t="n">
        <v>4.3039</v>
      </c>
      <c r="J2169" s="4" t="str">
        <f aca="false">TRIM(E2169) &amp; TRIM(C2169) &amp; TRIM(D2169)</f>
        <v>First ReviewBoost CarouselML</v>
      </c>
      <c r="K2169" s="4" t="n">
        <f aca="false">IFERROR(I2169*60,"")</f>
        <v>258.234</v>
      </c>
    </row>
    <row r="2170" customFormat="false" ht="15" hidden="false" customHeight="false" outlineLevel="0" collapsed="false">
      <c r="A2170" s="4" t="s">
        <v>15</v>
      </c>
      <c r="B2170" s="4" t="s">
        <v>1526</v>
      </c>
      <c r="C2170" s="4" t="s">
        <v>1529</v>
      </c>
      <c r="D2170" s="4" t="s">
        <v>284</v>
      </c>
      <c r="E2170" s="4" t="s">
        <v>63</v>
      </c>
      <c r="F2170" s="4" t="s">
        <v>63</v>
      </c>
      <c r="G2170" s="4" t="s">
        <v>1655</v>
      </c>
      <c r="H2170" s="4"/>
      <c r="I2170" s="4" t="n">
        <v>1.4535</v>
      </c>
      <c r="J2170" s="4" t="str">
        <f aca="false">TRIM(E2170) &amp; TRIM(C2170) &amp; TRIM(D2170)</f>
        <v>First ReviewBoost LivestreamTR</v>
      </c>
      <c r="K2170" s="4" t="n">
        <f aca="false">IFERROR(I2170*60,"")</f>
        <v>87.21</v>
      </c>
    </row>
    <row r="2171" customFormat="false" ht="15" hidden="false" customHeight="false" outlineLevel="0" collapsed="false">
      <c r="A2171" s="4" t="s">
        <v>15</v>
      </c>
      <c r="B2171" s="4" t="s">
        <v>1526</v>
      </c>
      <c r="C2171" s="4" t="s">
        <v>1529</v>
      </c>
      <c r="D2171" s="4" t="s">
        <v>130</v>
      </c>
      <c r="E2171" s="4" t="s">
        <v>63</v>
      </c>
      <c r="F2171" s="4" t="s">
        <v>63</v>
      </c>
      <c r="G2171" s="4" t="s">
        <v>1733</v>
      </c>
      <c r="H2171" s="4"/>
      <c r="I2171" s="4" t="n">
        <v>1.0421</v>
      </c>
      <c r="J2171" s="4" t="str">
        <f aca="false">TRIM(E2171) &amp; TRIM(C2171) &amp; TRIM(D2171)</f>
        <v>First ReviewBoost LivestreamMA</v>
      </c>
      <c r="K2171" s="4" t="n">
        <f aca="false">IFERROR(I2171*60,"")</f>
        <v>62.526</v>
      </c>
    </row>
    <row r="2172" customFormat="false" ht="15" hidden="false" customHeight="false" outlineLevel="0" collapsed="false">
      <c r="A2172" s="4" t="s">
        <v>15</v>
      </c>
      <c r="B2172" s="4" t="s">
        <v>1526</v>
      </c>
      <c r="C2172" s="4" t="s">
        <v>1535</v>
      </c>
      <c r="D2172" s="4" t="s">
        <v>62</v>
      </c>
      <c r="E2172" s="4" t="s">
        <v>63</v>
      </c>
      <c r="F2172" s="4" t="s">
        <v>63</v>
      </c>
      <c r="G2172" s="4" t="s">
        <v>1705</v>
      </c>
      <c r="H2172" s="4"/>
      <c r="I2172" s="4" t="n">
        <v>1.7308</v>
      </c>
      <c r="J2172" s="4" t="str">
        <f aca="false">TRIM(E2172) &amp; TRIM(C2172) &amp; TRIM(D2172)</f>
        <v>First ReviewBoost VideoCL</v>
      </c>
      <c r="K2172" s="4" t="n">
        <f aca="false">IFERROR(I2172*60,"")</f>
        <v>103.848</v>
      </c>
    </row>
    <row r="2173" customFormat="false" ht="15" hidden="false" customHeight="false" outlineLevel="0" collapsed="false">
      <c r="A2173" s="4" t="s">
        <v>15</v>
      </c>
      <c r="B2173" s="4" t="s">
        <v>1526</v>
      </c>
      <c r="C2173" s="4" t="s">
        <v>1527</v>
      </c>
      <c r="D2173" s="4" t="s">
        <v>154</v>
      </c>
      <c r="E2173" s="4" t="s">
        <v>59</v>
      </c>
      <c r="F2173" s="4" t="s">
        <v>59</v>
      </c>
      <c r="G2173" s="4" t="s">
        <v>1714</v>
      </c>
      <c r="H2173" s="4"/>
      <c r="I2173" s="4" t="n">
        <v>2.8043</v>
      </c>
      <c r="J2173" s="4" t="str">
        <f aca="false">TRIM(E2173) &amp; TRIM(C2173) &amp; TRIM(D2173)</f>
        <v>Re-reviewBoost CarouselES</v>
      </c>
      <c r="K2173" s="4" t="n">
        <f aca="false">IFERROR(I2173*60,"")</f>
        <v>168.258</v>
      </c>
    </row>
    <row r="2174" customFormat="false" ht="15" hidden="false" customHeight="false" outlineLevel="0" collapsed="false">
      <c r="A2174" s="4" t="s">
        <v>15</v>
      </c>
      <c r="B2174" s="4" t="s">
        <v>1526</v>
      </c>
      <c r="C2174" s="4" t="s">
        <v>1535</v>
      </c>
      <c r="D2174" s="4" t="s">
        <v>115</v>
      </c>
      <c r="E2174" s="4" t="s">
        <v>63</v>
      </c>
      <c r="F2174" s="4" t="s">
        <v>63</v>
      </c>
      <c r="G2174" s="4" t="s">
        <v>1753</v>
      </c>
      <c r="H2174" s="4"/>
      <c r="I2174" s="4" t="n">
        <v>1.5481</v>
      </c>
      <c r="J2174" s="4" t="str">
        <f aca="false">TRIM(E2174) &amp; TRIM(C2174) &amp; TRIM(D2174)</f>
        <v>First ReviewBoost VideoAT</v>
      </c>
      <c r="K2174" s="4" t="n">
        <f aca="false">IFERROR(I2174*60,"")</f>
        <v>92.886</v>
      </c>
    </row>
    <row r="2175" customFormat="false" ht="15" hidden="false" customHeight="false" outlineLevel="0" collapsed="false">
      <c r="A2175" s="4" t="s">
        <v>15</v>
      </c>
      <c r="B2175" s="4" t="s">
        <v>1526</v>
      </c>
      <c r="C2175" s="4" t="s">
        <v>1535</v>
      </c>
      <c r="D2175" s="4" t="s">
        <v>197</v>
      </c>
      <c r="E2175" s="4" t="s">
        <v>59</v>
      </c>
      <c r="F2175" s="4" t="s">
        <v>59</v>
      </c>
      <c r="G2175" s="4" t="s">
        <v>1642</v>
      </c>
      <c r="H2175" s="4"/>
      <c r="I2175" s="4" t="n">
        <v>1.2173</v>
      </c>
      <c r="J2175" s="4" t="str">
        <f aca="false">TRIM(E2175) &amp; TRIM(C2175) &amp; TRIM(D2175)</f>
        <v>Re-reviewBoost VideoGR</v>
      </c>
      <c r="K2175" s="4" t="n">
        <f aca="false">IFERROR(I2175*60,"")</f>
        <v>73.038</v>
      </c>
    </row>
    <row r="2176" customFormat="false" ht="15" hidden="false" customHeight="false" outlineLevel="0" collapsed="false">
      <c r="A2176" s="4" t="s">
        <v>15</v>
      </c>
      <c r="B2176" s="4" t="s">
        <v>1526</v>
      </c>
      <c r="C2176" s="4" t="s">
        <v>1529</v>
      </c>
      <c r="D2176" s="4" t="s">
        <v>235</v>
      </c>
      <c r="E2176" s="4" t="s">
        <v>63</v>
      </c>
      <c r="F2176" s="4" t="s">
        <v>63</v>
      </c>
      <c r="G2176" s="4" t="s">
        <v>1741</v>
      </c>
      <c r="H2176" s="4"/>
      <c r="I2176" s="4" t="n">
        <v>2.3513</v>
      </c>
      <c r="J2176" s="4" t="str">
        <f aca="false">TRIM(E2176) &amp; TRIM(C2176) &amp; TRIM(D2176)</f>
        <v>First ReviewBoost LivestreamJP</v>
      </c>
      <c r="K2176" s="4" t="n">
        <f aca="false">IFERROR(I2176*60,"")</f>
        <v>141.078</v>
      </c>
    </row>
    <row r="2177" customFormat="false" ht="15" hidden="false" customHeight="false" outlineLevel="0" collapsed="false">
      <c r="A2177" s="4" t="s">
        <v>15</v>
      </c>
      <c r="B2177" s="4" t="s">
        <v>1526</v>
      </c>
      <c r="C2177" s="4" t="s">
        <v>1535</v>
      </c>
      <c r="D2177" s="4" t="s">
        <v>216</v>
      </c>
      <c r="E2177" s="4" t="s">
        <v>63</v>
      </c>
      <c r="F2177" s="4" t="s">
        <v>63</v>
      </c>
      <c r="G2177" s="4" t="s">
        <v>1793</v>
      </c>
      <c r="H2177" s="4"/>
      <c r="I2177" s="4" t="n">
        <v>1.7678</v>
      </c>
      <c r="J2177" s="4" t="str">
        <f aca="false">TRIM(E2177) &amp; TRIM(C2177) &amp; TRIM(D2177)</f>
        <v>First ReviewBoost VideoPY</v>
      </c>
      <c r="K2177" s="4" t="n">
        <f aca="false">IFERROR(I2177*60,"")</f>
        <v>106.068</v>
      </c>
    </row>
    <row r="2178" customFormat="false" ht="15" hidden="false" customHeight="false" outlineLevel="0" collapsed="false">
      <c r="A2178" s="4" t="s">
        <v>15</v>
      </c>
      <c r="B2178" s="4" t="s">
        <v>1526</v>
      </c>
      <c r="C2178" s="4" t="s">
        <v>1535</v>
      </c>
      <c r="D2178" s="4" t="s">
        <v>150</v>
      </c>
      <c r="E2178" s="4" t="s">
        <v>66</v>
      </c>
      <c r="F2178" s="4" t="s">
        <v>67</v>
      </c>
      <c r="G2178" s="4" t="s">
        <v>1651</v>
      </c>
      <c r="H2178" s="4"/>
      <c r="I2178" s="4" t="n">
        <v>1.6973</v>
      </c>
      <c r="J2178" s="4" t="str">
        <f aca="false">TRIM(E2178) &amp; TRIM(C2178) &amp; TRIM(D2178)</f>
        <v>Posted RecallBoost VideoDE</v>
      </c>
      <c r="K2178" s="4" t="n">
        <f aca="false">IFERROR(I2178*60,"")</f>
        <v>101.838</v>
      </c>
    </row>
    <row r="2179" customFormat="false" ht="15" hidden="false" customHeight="false" outlineLevel="0" collapsed="false">
      <c r="A2179" s="4" t="s">
        <v>15</v>
      </c>
      <c r="B2179" s="4" t="s">
        <v>1526</v>
      </c>
      <c r="C2179" s="4" t="s">
        <v>1535</v>
      </c>
      <c r="D2179" s="4" t="s">
        <v>126</v>
      </c>
      <c r="E2179" s="4" t="s">
        <v>66</v>
      </c>
      <c r="F2179" s="4" t="s">
        <v>67</v>
      </c>
      <c r="G2179" s="4" t="s">
        <v>1743</v>
      </c>
      <c r="H2179" s="4"/>
      <c r="I2179" s="4" t="n">
        <v>2.0953</v>
      </c>
      <c r="J2179" s="4" t="str">
        <f aca="false">TRIM(E2179) &amp; TRIM(C2179) &amp; TRIM(D2179)</f>
        <v>Posted RecallBoost VideoMX</v>
      </c>
      <c r="K2179" s="4" t="n">
        <f aca="false">IFERROR(I2179*60,"")</f>
        <v>125.718</v>
      </c>
    </row>
    <row r="2180" customFormat="false" ht="15" hidden="false" customHeight="false" outlineLevel="0" collapsed="false">
      <c r="A2180" s="4" t="s">
        <v>15</v>
      </c>
      <c r="B2180" s="4" t="s">
        <v>1526</v>
      </c>
      <c r="C2180" s="4" t="s">
        <v>1535</v>
      </c>
      <c r="D2180" s="4" t="s">
        <v>85</v>
      </c>
      <c r="E2180" s="4" t="s">
        <v>66</v>
      </c>
      <c r="F2180" s="4" t="s">
        <v>67</v>
      </c>
      <c r="G2180" s="4" t="s">
        <v>1657</v>
      </c>
      <c r="H2180" s="4"/>
      <c r="I2180" s="4" t="n">
        <v>1.8252</v>
      </c>
      <c r="J2180" s="4" t="str">
        <f aca="false">TRIM(E2180) &amp; TRIM(C2180) &amp; TRIM(D2180)</f>
        <v>Posted RecallBoost VideoEC</v>
      </c>
      <c r="K2180" s="4" t="n">
        <f aca="false">IFERROR(I2180*60,"")</f>
        <v>109.512</v>
      </c>
    </row>
    <row r="2181" customFormat="false" ht="15" hidden="false" customHeight="false" outlineLevel="0" collapsed="false">
      <c r="A2181" s="4" t="s">
        <v>15</v>
      </c>
      <c r="B2181" s="4" t="s">
        <v>1526</v>
      </c>
      <c r="C2181" s="4" t="s">
        <v>1527</v>
      </c>
      <c r="D2181" s="4" t="s">
        <v>1547</v>
      </c>
      <c r="E2181" s="4" t="s">
        <v>66</v>
      </c>
      <c r="F2181" s="4" t="s">
        <v>67</v>
      </c>
      <c r="G2181" s="4" t="s">
        <v>1761</v>
      </c>
      <c r="H2181" s="4"/>
      <c r="I2181" s="4" t="n">
        <v>1.0484</v>
      </c>
      <c r="J2181" s="4" t="str">
        <f aca="false">TRIM(E2181) &amp; TRIM(C2181) &amp; TRIM(D2181)</f>
        <v>Posted RecallBoost CarouselHN</v>
      </c>
      <c r="K2181" s="4" t="n">
        <f aca="false">IFERROR(I2181*60,"")</f>
        <v>62.904</v>
      </c>
    </row>
    <row r="2182" customFormat="false" ht="15" hidden="false" customHeight="false" outlineLevel="0" collapsed="false">
      <c r="A2182" s="4" t="s">
        <v>15</v>
      </c>
      <c r="B2182" s="4" t="s">
        <v>1526</v>
      </c>
      <c r="C2182" s="4" t="s">
        <v>1535</v>
      </c>
      <c r="D2182" s="4" t="s">
        <v>89</v>
      </c>
      <c r="E2182" s="4" t="s">
        <v>66</v>
      </c>
      <c r="F2182" s="4" t="s">
        <v>67</v>
      </c>
      <c r="G2182" s="4" t="s">
        <v>1752</v>
      </c>
      <c r="H2182" s="4"/>
      <c r="I2182" s="4" t="n">
        <v>1.261</v>
      </c>
      <c r="J2182" s="4" t="str">
        <f aca="false">TRIM(E2182) &amp; TRIM(C2182) &amp; TRIM(D2182)</f>
        <v>Posted RecallBoost VideoFI</v>
      </c>
      <c r="K2182" s="4" t="n">
        <f aca="false">IFERROR(I2182*60,"")</f>
        <v>75.66</v>
      </c>
    </row>
    <row r="2183" customFormat="false" ht="15" hidden="false" customHeight="false" outlineLevel="0" collapsed="false">
      <c r="A2183" s="4" t="s">
        <v>15</v>
      </c>
      <c r="B2183" s="4" t="s">
        <v>1526</v>
      </c>
      <c r="C2183" s="4" t="s">
        <v>1527</v>
      </c>
      <c r="D2183" s="4" t="s">
        <v>115</v>
      </c>
      <c r="E2183" s="4" t="s">
        <v>66</v>
      </c>
      <c r="F2183" s="4" t="s">
        <v>67</v>
      </c>
      <c r="G2183" s="4" t="s">
        <v>1560</v>
      </c>
      <c r="H2183" s="4"/>
      <c r="I2183" s="4" t="n">
        <v>2.7937</v>
      </c>
      <c r="J2183" s="4" t="str">
        <f aca="false">TRIM(E2183) &amp; TRIM(C2183) &amp; TRIM(D2183)</f>
        <v>Posted RecallBoost CarouselAT</v>
      </c>
      <c r="K2183" s="4" t="n">
        <f aca="false">IFERROR(I2183*60,"")</f>
        <v>167.622</v>
      </c>
    </row>
    <row r="2184" customFormat="false" ht="15" hidden="false" customHeight="false" outlineLevel="0" collapsed="false">
      <c r="A2184" s="4" t="s">
        <v>15</v>
      </c>
      <c r="B2184" s="4" t="s">
        <v>1526</v>
      </c>
      <c r="C2184" s="4" t="s">
        <v>1527</v>
      </c>
      <c r="D2184" s="4" t="s">
        <v>197</v>
      </c>
      <c r="E2184" s="4" t="s">
        <v>66</v>
      </c>
      <c r="F2184" s="4" t="s">
        <v>67</v>
      </c>
      <c r="G2184" s="4" t="s">
        <v>1559</v>
      </c>
      <c r="H2184" s="4"/>
      <c r="I2184" s="4" t="n">
        <v>1.4352</v>
      </c>
      <c r="J2184" s="4" t="str">
        <f aca="false">TRIM(E2184) &amp; TRIM(C2184) &amp; TRIM(D2184)</f>
        <v>Posted RecallBoost CarouselGR</v>
      </c>
      <c r="K2184" s="4" t="n">
        <f aca="false">IFERROR(I2184*60,"")</f>
        <v>86.112</v>
      </c>
    </row>
    <row r="2185" customFormat="false" ht="15" hidden="false" customHeight="false" outlineLevel="0" collapsed="false">
      <c r="A2185" s="4" t="s">
        <v>15</v>
      </c>
      <c r="B2185" s="4" t="s">
        <v>1526</v>
      </c>
      <c r="C2185" s="4" t="s">
        <v>1535</v>
      </c>
      <c r="D2185" s="4" t="s">
        <v>102</v>
      </c>
      <c r="E2185" s="4" t="s">
        <v>63</v>
      </c>
      <c r="F2185" s="4" t="s">
        <v>63</v>
      </c>
      <c r="G2185" s="4" t="s">
        <v>1736</v>
      </c>
      <c r="H2185" s="4"/>
      <c r="I2185" s="4" t="n">
        <v>1.7995</v>
      </c>
      <c r="J2185" s="4" t="str">
        <f aca="false">TRIM(E2185) &amp; TRIM(C2185) &amp; TRIM(D2185)</f>
        <v>First ReviewBoost VideoSE</v>
      </c>
      <c r="K2185" s="4" t="n">
        <f aca="false">IFERROR(I2185*60,"")</f>
        <v>107.97</v>
      </c>
    </row>
    <row r="2186" customFormat="false" ht="15" hidden="false" customHeight="false" outlineLevel="0" collapsed="false">
      <c r="A2186" s="4" t="s">
        <v>15</v>
      </c>
      <c r="B2186" s="4" t="s">
        <v>1526</v>
      </c>
      <c r="C2186" s="4" t="s">
        <v>1527</v>
      </c>
      <c r="D2186" s="4" t="s">
        <v>208</v>
      </c>
      <c r="E2186" s="4" t="s">
        <v>63</v>
      </c>
      <c r="F2186" s="4" t="s">
        <v>63</v>
      </c>
      <c r="G2186" s="4" t="s">
        <v>1768</v>
      </c>
      <c r="H2186" s="4"/>
      <c r="I2186" s="4" t="n">
        <v>1.1866</v>
      </c>
      <c r="J2186" s="4" t="str">
        <f aca="false">TRIM(E2186) &amp; TRIM(C2186) &amp; TRIM(D2186)</f>
        <v>First ReviewBoost CarouselCO</v>
      </c>
      <c r="K2186" s="4" t="n">
        <f aca="false">IFERROR(I2186*60,"")</f>
        <v>71.196</v>
      </c>
    </row>
    <row r="2187" customFormat="false" ht="15" hidden="false" customHeight="false" outlineLevel="0" collapsed="false">
      <c r="A2187" s="4" t="s">
        <v>15</v>
      </c>
      <c r="B2187" s="4" t="s">
        <v>1526</v>
      </c>
      <c r="C2187" s="4" t="s">
        <v>1535</v>
      </c>
      <c r="D2187" s="4" t="s">
        <v>70</v>
      </c>
      <c r="E2187" s="4" t="s">
        <v>66</v>
      </c>
      <c r="F2187" s="4" t="s">
        <v>67</v>
      </c>
      <c r="G2187" s="4" t="s">
        <v>1709</v>
      </c>
      <c r="H2187" s="4"/>
      <c r="I2187" s="4" t="n">
        <v>1.7616</v>
      </c>
      <c r="J2187" s="4" t="str">
        <f aca="false">TRIM(E2187) &amp; TRIM(C2187) &amp; TRIM(D2187)</f>
        <v>Posted RecallBoost VideoBE</v>
      </c>
      <c r="K2187" s="4" t="n">
        <f aca="false">IFERROR(I2187*60,"")</f>
        <v>105.696</v>
      </c>
    </row>
    <row r="2188" customFormat="false" ht="15" hidden="false" customHeight="false" outlineLevel="0" collapsed="false">
      <c r="A2188" s="4" t="s">
        <v>15</v>
      </c>
      <c r="B2188" s="4" t="s">
        <v>1526</v>
      </c>
      <c r="C2188" s="4" t="s">
        <v>1535</v>
      </c>
      <c r="D2188" s="4" t="s">
        <v>106</v>
      </c>
      <c r="E2188" s="4" t="s">
        <v>66</v>
      </c>
      <c r="F2188" s="4" t="s">
        <v>67</v>
      </c>
      <c r="G2188" s="4" t="s">
        <v>1794</v>
      </c>
      <c r="H2188" s="4"/>
      <c r="I2188" s="4" t="n">
        <v>1.2143</v>
      </c>
      <c r="J2188" s="4" t="str">
        <f aca="false">TRIM(E2188) &amp; TRIM(C2188) &amp; TRIM(D2188)</f>
        <v>Posted RecallBoost VideoMY</v>
      </c>
      <c r="K2188" s="4" t="n">
        <f aca="false">IFERROR(I2188*60,"")</f>
        <v>72.858</v>
      </c>
    </row>
    <row r="2189" customFormat="false" ht="15" hidden="false" customHeight="false" outlineLevel="0" collapsed="false">
      <c r="A2189" s="4" t="s">
        <v>15</v>
      </c>
      <c r="B2189" s="4" t="s">
        <v>1526</v>
      </c>
      <c r="C2189" s="4" t="s">
        <v>1527</v>
      </c>
      <c r="D2189" s="4" t="s">
        <v>308</v>
      </c>
      <c r="E2189" s="4" t="s">
        <v>63</v>
      </c>
      <c r="F2189" s="4" t="s">
        <v>63</v>
      </c>
      <c r="G2189" s="4" t="s">
        <v>1749</v>
      </c>
      <c r="H2189" s="4"/>
      <c r="I2189" s="4" t="n">
        <v>2.7446</v>
      </c>
      <c r="J2189" s="4" t="str">
        <f aca="false">TRIM(E2189) &amp; TRIM(C2189) &amp; TRIM(D2189)</f>
        <v>First ReviewBoost CarouselPL</v>
      </c>
      <c r="K2189" s="4" t="n">
        <f aca="false">IFERROR(I2189*60,"")</f>
        <v>164.676</v>
      </c>
    </row>
    <row r="2190" customFormat="false" ht="15" hidden="false" customHeight="false" outlineLevel="0" collapsed="false">
      <c r="A2190" s="4" t="s">
        <v>15</v>
      </c>
      <c r="B2190" s="4" t="s">
        <v>1526</v>
      </c>
      <c r="C2190" s="4" t="s">
        <v>1527</v>
      </c>
      <c r="D2190" s="4" t="s">
        <v>1673</v>
      </c>
      <c r="E2190" s="4" t="s">
        <v>66</v>
      </c>
      <c r="F2190" s="4" t="s">
        <v>67</v>
      </c>
      <c r="G2190" s="4" t="s">
        <v>1728</v>
      </c>
      <c r="H2190" s="4"/>
      <c r="I2190" s="4" t="n">
        <v>1.684</v>
      </c>
      <c r="J2190" s="4" t="str">
        <f aca="false">TRIM(E2190) &amp; TRIM(C2190) &amp; TRIM(D2190)</f>
        <v>Posted RecallBoost CarouselAL</v>
      </c>
      <c r="K2190" s="4" t="n">
        <f aca="false">IFERROR(I2190*60,"")</f>
        <v>101.04</v>
      </c>
    </row>
    <row r="2191" customFormat="false" ht="15" hidden="false" customHeight="false" outlineLevel="0" collapsed="false">
      <c r="A2191" s="4" t="s">
        <v>15</v>
      </c>
      <c r="B2191" s="4" t="s">
        <v>1526</v>
      </c>
      <c r="C2191" s="4" t="s">
        <v>1527</v>
      </c>
      <c r="D2191" s="4" t="s">
        <v>213</v>
      </c>
      <c r="E2191" s="4" t="s">
        <v>63</v>
      </c>
      <c r="F2191" s="4" t="s">
        <v>63</v>
      </c>
      <c r="G2191" s="4" t="s">
        <v>1764</v>
      </c>
      <c r="H2191" s="4"/>
      <c r="I2191" s="4" t="n">
        <v>1.0928</v>
      </c>
      <c r="J2191" s="4" t="str">
        <f aca="false">TRIM(E2191) &amp; TRIM(C2191) &amp; TRIM(D2191)</f>
        <v>First ReviewBoost CarouselFR</v>
      </c>
      <c r="K2191" s="4" t="n">
        <f aca="false">IFERROR(I2191*60,"")</f>
        <v>65.568</v>
      </c>
    </row>
    <row r="2192" customFormat="false" ht="15" hidden="false" customHeight="false" outlineLevel="0" collapsed="false">
      <c r="A2192" s="4" t="s">
        <v>15</v>
      </c>
      <c r="B2192" s="4" t="s">
        <v>1526</v>
      </c>
      <c r="C2192" s="4" t="s">
        <v>1529</v>
      </c>
      <c r="D2192" s="4" t="s">
        <v>310</v>
      </c>
      <c r="E2192" s="4" t="s">
        <v>63</v>
      </c>
      <c r="F2192" s="4" t="s">
        <v>63</v>
      </c>
      <c r="G2192" s="4" t="s">
        <v>1795</v>
      </c>
      <c r="H2192" s="4"/>
      <c r="I2192" s="4" t="n">
        <v>1.8228</v>
      </c>
      <c r="J2192" s="4" t="str">
        <f aca="false">TRIM(E2192) &amp; TRIM(C2192) &amp; TRIM(D2192)</f>
        <v>First ReviewBoost LivestreamUY</v>
      </c>
      <c r="K2192" s="4" t="n">
        <f aca="false">IFERROR(I2192*60,"")</f>
        <v>109.368</v>
      </c>
    </row>
    <row r="2193" customFormat="false" ht="15" hidden="false" customHeight="false" outlineLevel="0" collapsed="false">
      <c r="A2193" s="4" t="s">
        <v>15</v>
      </c>
      <c r="B2193" s="4" t="s">
        <v>1526</v>
      </c>
      <c r="C2193" s="4" t="s">
        <v>1535</v>
      </c>
      <c r="D2193" s="4" t="s">
        <v>275</v>
      </c>
      <c r="E2193" s="4" t="s">
        <v>66</v>
      </c>
      <c r="F2193" s="4" t="s">
        <v>67</v>
      </c>
      <c r="G2193" s="4" t="s">
        <v>1616</v>
      </c>
      <c r="H2193" s="4"/>
      <c r="I2193" s="4" t="n">
        <v>1.9091</v>
      </c>
      <c r="J2193" s="4" t="str">
        <f aca="false">TRIM(E2193) &amp; TRIM(C2193) &amp; TRIM(D2193)</f>
        <v>Posted RecallBoost VideoGB</v>
      </c>
      <c r="K2193" s="4" t="n">
        <f aca="false">IFERROR(I2193*60,"")</f>
        <v>114.546</v>
      </c>
    </row>
    <row r="2194" customFormat="false" ht="15" hidden="false" customHeight="false" outlineLevel="0" collapsed="false">
      <c r="A2194" s="4" t="s">
        <v>15</v>
      </c>
      <c r="B2194" s="4" t="s">
        <v>1526</v>
      </c>
      <c r="C2194" s="4" t="s">
        <v>1527</v>
      </c>
      <c r="D2194" s="4" t="s">
        <v>267</v>
      </c>
      <c r="E2194" s="4" t="s">
        <v>66</v>
      </c>
      <c r="F2194" s="4" t="s">
        <v>67</v>
      </c>
      <c r="G2194" s="4" t="s">
        <v>1631</v>
      </c>
      <c r="H2194" s="4"/>
      <c r="I2194" s="4" t="n">
        <v>0.9381</v>
      </c>
      <c r="J2194" s="4" t="str">
        <f aca="false">TRIM(E2194) &amp; TRIM(C2194) &amp; TRIM(D2194)</f>
        <v>Posted RecallBoost CarouselID</v>
      </c>
      <c r="K2194" s="4" t="n">
        <f aca="false">IFERROR(I2194*60,"")</f>
        <v>56.286</v>
      </c>
    </row>
    <row r="2195" customFormat="false" ht="15" hidden="false" customHeight="false" outlineLevel="0" collapsed="false">
      <c r="A2195" s="4" t="s">
        <v>15</v>
      </c>
      <c r="B2195" s="4" t="s">
        <v>1526</v>
      </c>
      <c r="C2195" s="4" t="s">
        <v>1529</v>
      </c>
      <c r="D2195" s="4" t="s">
        <v>299</v>
      </c>
      <c r="E2195" s="4" t="s">
        <v>66</v>
      </c>
      <c r="F2195" s="4" t="s">
        <v>67</v>
      </c>
      <c r="G2195" s="4" t="s">
        <v>1686</v>
      </c>
      <c r="H2195" s="4"/>
      <c r="I2195" s="4" t="n">
        <v>1.1784</v>
      </c>
      <c r="J2195" s="4" t="str">
        <f aca="false">TRIM(E2195) &amp; TRIM(C2195) &amp; TRIM(D2195)</f>
        <v>Posted RecallBoost LivestreamQA</v>
      </c>
      <c r="K2195" s="4" t="n">
        <f aca="false">IFERROR(I2195*60,"")</f>
        <v>70.704</v>
      </c>
    </row>
    <row r="2196" customFormat="false" ht="15" hidden="false" customHeight="false" outlineLevel="0" collapsed="false">
      <c r="A2196" s="4" t="s">
        <v>15</v>
      </c>
      <c r="B2196" s="4" t="s">
        <v>1526</v>
      </c>
      <c r="C2196" s="4" t="s">
        <v>1535</v>
      </c>
      <c r="D2196" s="4" t="s">
        <v>89</v>
      </c>
      <c r="E2196" s="4" t="s">
        <v>63</v>
      </c>
      <c r="F2196" s="4" t="s">
        <v>63</v>
      </c>
      <c r="G2196" s="4" t="s">
        <v>1752</v>
      </c>
      <c r="H2196" s="4"/>
      <c r="I2196" s="4" t="n">
        <v>2.0576</v>
      </c>
      <c r="J2196" s="4" t="str">
        <f aca="false">TRIM(E2196) &amp; TRIM(C2196) &amp; TRIM(D2196)</f>
        <v>First ReviewBoost VideoFI</v>
      </c>
      <c r="K2196" s="4" t="n">
        <f aca="false">IFERROR(I2196*60,"")</f>
        <v>123.456</v>
      </c>
    </row>
    <row r="2197" customFormat="false" ht="15" hidden="false" customHeight="false" outlineLevel="0" collapsed="false">
      <c r="A2197" s="4" t="s">
        <v>15</v>
      </c>
      <c r="B2197" s="4" t="s">
        <v>1526</v>
      </c>
      <c r="C2197" s="4" t="s">
        <v>1535</v>
      </c>
      <c r="D2197" s="4" t="s">
        <v>208</v>
      </c>
      <c r="E2197" s="4" t="s">
        <v>66</v>
      </c>
      <c r="F2197" s="4" t="s">
        <v>67</v>
      </c>
      <c r="G2197" s="4" t="s">
        <v>1609</v>
      </c>
      <c r="H2197" s="4"/>
      <c r="I2197" s="4" t="n">
        <v>1.8481</v>
      </c>
      <c r="J2197" s="4" t="str">
        <f aca="false">TRIM(E2197) &amp; TRIM(C2197) &amp; TRIM(D2197)</f>
        <v>Posted RecallBoost VideoCO</v>
      </c>
      <c r="K2197" s="4" t="n">
        <f aca="false">IFERROR(I2197*60,"")</f>
        <v>110.886</v>
      </c>
    </row>
    <row r="2198" customFormat="false" ht="15" hidden="false" customHeight="false" outlineLevel="0" collapsed="false">
      <c r="A2198" s="4" t="s">
        <v>15</v>
      </c>
      <c r="B2198" s="4" t="s">
        <v>1526</v>
      </c>
      <c r="C2198" s="4" t="s">
        <v>1527</v>
      </c>
      <c r="D2198" s="4" t="s">
        <v>1782</v>
      </c>
      <c r="E2198" s="4" t="s">
        <v>63</v>
      </c>
      <c r="F2198" s="4" t="s">
        <v>63</v>
      </c>
      <c r="G2198" s="4" t="s">
        <v>1796</v>
      </c>
      <c r="H2198" s="4"/>
      <c r="I2198" s="4" t="n">
        <v>1.7148</v>
      </c>
      <c r="J2198" s="4" t="str">
        <f aca="false">TRIM(E2198) &amp; TRIM(C2198) &amp; TRIM(D2198)</f>
        <v>First ReviewBoost CarouselKG</v>
      </c>
      <c r="K2198" s="4" t="n">
        <f aca="false">IFERROR(I2198*60,"")</f>
        <v>102.888</v>
      </c>
    </row>
    <row r="2199" customFormat="false" ht="15" hidden="false" customHeight="false" outlineLevel="0" collapsed="false">
      <c r="A2199" s="4" t="s">
        <v>15</v>
      </c>
      <c r="B2199" s="4" t="s">
        <v>1526</v>
      </c>
      <c r="C2199" s="4" t="s">
        <v>1535</v>
      </c>
      <c r="D2199" s="4" t="s">
        <v>251</v>
      </c>
      <c r="E2199" s="4" t="s">
        <v>63</v>
      </c>
      <c r="F2199" s="4" t="s">
        <v>63</v>
      </c>
      <c r="G2199" s="4" t="s">
        <v>1698</v>
      </c>
      <c r="H2199" s="4"/>
      <c r="I2199" s="4" t="n">
        <v>1.97</v>
      </c>
      <c r="J2199" s="4" t="str">
        <f aca="false">TRIM(E2199) &amp; TRIM(C2199) &amp; TRIM(D2199)</f>
        <v>First ReviewBoost VideoRO</v>
      </c>
      <c r="K2199" s="4" t="n">
        <f aca="false">IFERROR(I2199*60,"")</f>
        <v>118.2</v>
      </c>
    </row>
    <row r="2200" customFormat="false" ht="15" hidden="false" customHeight="false" outlineLevel="0" collapsed="false">
      <c r="A2200" s="4" t="s">
        <v>15</v>
      </c>
      <c r="B2200" s="4" t="s">
        <v>1526</v>
      </c>
      <c r="C2200" s="4" t="s">
        <v>1527</v>
      </c>
      <c r="D2200" s="4" t="s">
        <v>58</v>
      </c>
      <c r="E2200" s="4" t="s">
        <v>63</v>
      </c>
      <c r="F2200" s="4" t="s">
        <v>63</v>
      </c>
      <c r="G2200" s="4" t="s">
        <v>1543</v>
      </c>
      <c r="H2200" s="4"/>
      <c r="I2200" s="4" t="n">
        <v>0.6154</v>
      </c>
      <c r="J2200" s="4" t="str">
        <f aca="false">TRIM(E2200) &amp; TRIM(C2200) &amp; TRIM(D2200)</f>
        <v>First ReviewBoost CarouselSG</v>
      </c>
      <c r="K2200" s="4" t="n">
        <f aca="false">IFERROR(I2200*60,"")</f>
        <v>36.924</v>
      </c>
    </row>
    <row r="2201" customFormat="false" ht="15" hidden="false" customHeight="false" outlineLevel="0" collapsed="false">
      <c r="A2201" s="4" t="s">
        <v>15</v>
      </c>
      <c r="B2201" s="4" t="s">
        <v>1526</v>
      </c>
      <c r="C2201" s="4" t="s">
        <v>1535</v>
      </c>
      <c r="D2201" s="4" t="s">
        <v>231</v>
      </c>
      <c r="E2201" s="4" t="s">
        <v>66</v>
      </c>
      <c r="F2201" s="4" t="s">
        <v>67</v>
      </c>
      <c r="G2201" s="4" t="s">
        <v>1707</v>
      </c>
      <c r="H2201" s="4"/>
      <c r="I2201" s="4" t="n">
        <v>1.2623</v>
      </c>
      <c r="J2201" s="4" t="str">
        <f aca="false">TRIM(E2201) &amp; TRIM(C2201) &amp; TRIM(D2201)</f>
        <v>Posted RecallBoost VideoIL</v>
      </c>
      <c r="K2201" s="4" t="n">
        <f aca="false">IFERROR(I2201*60,"")</f>
        <v>75.738</v>
      </c>
    </row>
    <row r="2202" customFormat="false" ht="15" hidden="false" customHeight="false" outlineLevel="0" collapsed="false">
      <c r="A2202" s="4" t="s">
        <v>15</v>
      </c>
      <c r="B2202" s="4" t="s">
        <v>1526</v>
      </c>
      <c r="C2202" s="4" t="s">
        <v>1529</v>
      </c>
      <c r="D2202" s="4" t="s">
        <v>159</v>
      </c>
      <c r="E2202" s="4" t="s">
        <v>63</v>
      </c>
      <c r="F2202" s="4" t="s">
        <v>63</v>
      </c>
      <c r="G2202" s="4" t="s">
        <v>1701</v>
      </c>
      <c r="H2202" s="4"/>
      <c r="I2202" s="4" t="n">
        <v>0.4795</v>
      </c>
      <c r="J2202" s="4" t="str">
        <f aca="false">TRIM(E2202) &amp; TRIM(C2202) &amp; TRIM(D2202)</f>
        <v>First ReviewBoost LivestreamDO</v>
      </c>
      <c r="K2202" s="4" t="n">
        <f aca="false">IFERROR(I2202*60,"")</f>
        <v>28.77</v>
      </c>
    </row>
    <row r="2203" customFormat="false" ht="15" hidden="false" customHeight="false" outlineLevel="0" collapsed="false">
      <c r="A2203" s="4" t="s">
        <v>15</v>
      </c>
      <c r="B2203" s="4" t="s">
        <v>1526</v>
      </c>
      <c r="C2203" s="4" t="s">
        <v>1527</v>
      </c>
      <c r="D2203" s="4" t="s">
        <v>62</v>
      </c>
      <c r="E2203" s="4" t="s">
        <v>63</v>
      </c>
      <c r="F2203" s="4" t="s">
        <v>63</v>
      </c>
      <c r="G2203" s="4" t="s">
        <v>1660</v>
      </c>
      <c r="H2203" s="4"/>
      <c r="I2203" s="4" t="n">
        <v>1.3144</v>
      </c>
      <c r="J2203" s="4" t="str">
        <f aca="false">TRIM(E2203) &amp; TRIM(C2203) &amp; TRIM(D2203)</f>
        <v>First ReviewBoost CarouselCL</v>
      </c>
      <c r="K2203" s="4" t="n">
        <f aca="false">IFERROR(I2203*60,"")</f>
        <v>78.864</v>
      </c>
    </row>
    <row r="2204" customFormat="false" ht="15" hidden="false" customHeight="false" outlineLevel="0" collapsed="false">
      <c r="A2204" s="4" t="s">
        <v>15</v>
      </c>
      <c r="B2204" s="4" t="s">
        <v>1526</v>
      </c>
      <c r="C2204" s="4" t="s">
        <v>1529</v>
      </c>
      <c r="D2204" s="4" t="s">
        <v>145</v>
      </c>
      <c r="E2204" s="4" t="s">
        <v>63</v>
      </c>
      <c r="F2204" s="4" t="s">
        <v>63</v>
      </c>
      <c r="G2204" s="4" t="s">
        <v>1797</v>
      </c>
      <c r="H2204" s="4"/>
      <c r="I2204" s="4" t="n">
        <v>1.7577</v>
      </c>
      <c r="J2204" s="4" t="str">
        <f aca="false">TRIM(E2204) &amp; TRIM(C2204) &amp; TRIM(D2204)</f>
        <v>First ReviewBoost LivestreamRS</v>
      </c>
      <c r="K2204" s="4" t="n">
        <f aca="false">IFERROR(I2204*60,"")</f>
        <v>105.462</v>
      </c>
    </row>
    <row r="2205" customFormat="false" ht="15" hidden="false" customHeight="false" outlineLevel="0" collapsed="false">
      <c r="A2205" s="4" t="s">
        <v>15</v>
      </c>
      <c r="B2205" s="4" t="s">
        <v>1526</v>
      </c>
      <c r="C2205" s="4" t="s">
        <v>1535</v>
      </c>
      <c r="D2205" s="4" t="s">
        <v>166</v>
      </c>
      <c r="E2205" s="4" t="s">
        <v>66</v>
      </c>
      <c r="F2205" s="4" t="s">
        <v>67</v>
      </c>
      <c r="G2205" s="4" t="s">
        <v>1607</v>
      </c>
      <c r="H2205" s="4"/>
      <c r="I2205" s="4" t="n">
        <v>1.885</v>
      </c>
      <c r="J2205" s="4" t="str">
        <f aca="false">TRIM(E2205) &amp; TRIM(C2205) &amp; TRIM(D2205)</f>
        <v>Posted RecallBoost VideoCZ</v>
      </c>
      <c r="K2205" s="4" t="n">
        <f aca="false">IFERROR(I2205*60,"")</f>
        <v>113.1</v>
      </c>
    </row>
    <row r="2206" customFormat="false" ht="15" hidden="false" customHeight="false" outlineLevel="0" collapsed="false">
      <c r="A2206" s="4" t="s">
        <v>15</v>
      </c>
      <c r="B2206" s="4" t="s">
        <v>1526</v>
      </c>
      <c r="C2206" s="4" t="s">
        <v>1529</v>
      </c>
      <c r="D2206" s="4" t="s">
        <v>306</v>
      </c>
      <c r="E2206" s="4" t="s">
        <v>63</v>
      </c>
      <c r="F2206" s="4" t="s">
        <v>63</v>
      </c>
      <c r="G2206" s="4" t="s">
        <v>1681</v>
      </c>
      <c r="H2206" s="4"/>
      <c r="I2206" s="4" t="n">
        <v>1.2628</v>
      </c>
      <c r="J2206" s="4" t="str">
        <f aca="false">TRIM(E2206) &amp; TRIM(C2206) &amp; TRIM(D2206)</f>
        <v>First ReviewBoost LivestreamTH</v>
      </c>
      <c r="K2206" s="4" t="n">
        <f aca="false">IFERROR(I2206*60,"")</f>
        <v>75.768</v>
      </c>
    </row>
    <row r="2207" customFormat="false" ht="15" hidden="false" customHeight="false" outlineLevel="0" collapsed="false">
      <c r="A2207" s="4" t="s">
        <v>15</v>
      </c>
      <c r="B2207" s="4" t="s">
        <v>1526</v>
      </c>
      <c r="C2207" s="4" t="s">
        <v>1535</v>
      </c>
      <c r="D2207" s="4" t="s">
        <v>106</v>
      </c>
      <c r="E2207" s="4" t="s">
        <v>63</v>
      </c>
      <c r="F2207" s="4" t="s">
        <v>63</v>
      </c>
      <c r="G2207" s="4" t="s">
        <v>1794</v>
      </c>
      <c r="H2207" s="4"/>
      <c r="I2207" s="4" t="n">
        <v>1.9078</v>
      </c>
      <c r="J2207" s="4" t="str">
        <f aca="false">TRIM(E2207) &amp; TRIM(C2207) &amp; TRIM(D2207)</f>
        <v>First ReviewBoost VideoMY</v>
      </c>
      <c r="K2207" s="4" t="n">
        <f aca="false">IFERROR(I2207*60,"")</f>
        <v>114.468</v>
      </c>
    </row>
    <row r="2208" customFormat="false" ht="15" hidden="false" customHeight="false" outlineLevel="0" collapsed="false">
      <c r="A2208" s="4" t="s">
        <v>15</v>
      </c>
      <c r="B2208" s="4" t="s">
        <v>1526</v>
      </c>
      <c r="C2208" s="4" t="s">
        <v>1529</v>
      </c>
      <c r="D2208" s="4" t="s">
        <v>70</v>
      </c>
      <c r="E2208" s="4" t="s">
        <v>66</v>
      </c>
      <c r="F2208" s="4" t="s">
        <v>67</v>
      </c>
      <c r="G2208" s="4" t="s">
        <v>1671</v>
      </c>
      <c r="H2208" s="4"/>
      <c r="I2208" s="4" t="n">
        <v>1.6138</v>
      </c>
      <c r="J2208" s="4" t="str">
        <f aca="false">TRIM(E2208) &amp; TRIM(C2208) &amp; TRIM(D2208)</f>
        <v>Posted RecallBoost LivestreamBE</v>
      </c>
      <c r="K2208" s="4" t="n">
        <f aca="false">IFERROR(I2208*60,"")</f>
        <v>96.828</v>
      </c>
    </row>
    <row r="2209" customFormat="false" ht="15" hidden="false" customHeight="false" outlineLevel="0" collapsed="false">
      <c r="A2209" s="4" t="s">
        <v>15</v>
      </c>
      <c r="B2209" s="4" t="s">
        <v>1526</v>
      </c>
      <c r="C2209" s="4" t="s">
        <v>1527</v>
      </c>
      <c r="D2209" s="4" t="s">
        <v>166</v>
      </c>
      <c r="E2209" s="4" t="s">
        <v>63</v>
      </c>
      <c r="F2209" s="4" t="s">
        <v>63</v>
      </c>
      <c r="G2209" s="4" t="s">
        <v>1786</v>
      </c>
      <c r="H2209" s="4"/>
      <c r="I2209" s="4" t="n">
        <v>2.0701</v>
      </c>
      <c r="J2209" s="4" t="str">
        <f aca="false">TRIM(E2209) &amp; TRIM(C2209) &amp; TRIM(D2209)</f>
        <v>First ReviewBoost CarouselCZ</v>
      </c>
      <c r="K2209" s="4" t="n">
        <f aca="false">IFERROR(I2209*60,"")</f>
        <v>124.206</v>
      </c>
    </row>
    <row r="2210" customFormat="false" ht="15" hidden="false" customHeight="false" outlineLevel="0" collapsed="false">
      <c r="A2210" s="4" t="s">
        <v>15</v>
      </c>
      <c r="B2210" s="4" t="s">
        <v>1526</v>
      </c>
      <c r="C2210" s="4" t="s">
        <v>1535</v>
      </c>
      <c r="D2210" s="4" t="s">
        <v>100</v>
      </c>
      <c r="E2210" s="4" t="s">
        <v>66</v>
      </c>
      <c r="F2210" s="4" t="s">
        <v>67</v>
      </c>
      <c r="G2210" s="4" t="s">
        <v>1684</v>
      </c>
      <c r="H2210" s="4"/>
      <c r="I2210" s="4" t="n">
        <v>0.8528</v>
      </c>
      <c r="J2210" s="4" t="str">
        <f aca="false">TRIM(E2210) &amp; TRIM(C2210) &amp; TRIM(D2210)</f>
        <v>Posted RecallBoost VideoAU</v>
      </c>
      <c r="K2210" s="4" t="n">
        <f aca="false">IFERROR(I2210*60,"")</f>
        <v>51.168</v>
      </c>
    </row>
    <row r="2211" customFormat="false" ht="15" hidden="false" customHeight="false" outlineLevel="0" collapsed="false">
      <c r="A2211" s="4" t="s">
        <v>15</v>
      </c>
      <c r="B2211" s="4" t="s">
        <v>1526</v>
      </c>
      <c r="C2211" s="4" t="s">
        <v>1535</v>
      </c>
      <c r="D2211" s="4" t="s">
        <v>192</v>
      </c>
      <c r="E2211" s="4" t="s">
        <v>66</v>
      </c>
      <c r="F2211" s="4" t="s">
        <v>67</v>
      </c>
      <c r="G2211" s="4" t="s">
        <v>1678</v>
      </c>
      <c r="H2211" s="4"/>
      <c r="I2211" s="4" t="n">
        <v>1.2729</v>
      </c>
      <c r="J2211" s="4" t="str">
        <f aca="false">TRIM(E2211) &amp; TRIM(C2211) &amp; TRIM(D2211)</f>
        <v>Posted RecallBoost VideoGT</v>
      </c>
      <c r="K2211" s="4" t="n">
        <f aca="false">IFERROR(I2211*60,"")</f>
        <v>76.374</v>
      </c>
    </row>
    <row r="2212" customFormat="false" ht="15" hidden="false" customHeight="false" outlineLevel="0" collapsed="false">
      <c r="A2212" s="4" t="s">
        <v>15</v>
      </c>
      <c r="B2212" s="4" t="s">
        <v>1526</v>
      </c>
      <c r="C2212" s="4" t="s">
        <v>1527</v>
      </c>
      <c r="D2212" s="4" t="s">
        <v>216</v>
      </c>
      <c r="E2212" s="4" t="s">
        <v>63</v>
      </c>
      <c r="F2212" s="4" t="s">
        <v>63</v>
      </c>
      <c r="G2212" s="4" t="s">
        <v>1591</v>
      </c>
      <c r="H2212" s="4"/>
      <c r="I2212" s="4" t="n">
        <v>1.8348</v>
      </c>
      <c r="J2212" s="4" t="str">
        <f aca="false">TRIM(E2212) &amp; TRIM(C2212) &amp; TRIM(D2212)</f>
        <v>First ReviewBoost CarouselPY</v>
      </c>
      <c r="K2212" s="4" t="n">
        <f aca="false">IFERROR(I2212*60,"")</f>
        <v>110.088</v>
      </c>
    </row>
    <row r="2213" customFormat="false" ht="15" hidden="false" customHeight="false" outlineLevel="0" collapsed="false">
      <c r="A2213" s="4" t="s">
        <v>15</v>
      </c>
      <c r="B2213" s="4" t="s">
        <v>1526</v>
      </c>
      <c r="C2213" s="4" t="s">
        <v>1535</v>
      </c>
      <c r="D2213" s="4" t="s">
        <v>185</v>
      </c>
      <c r="E2213" s="4" t="s">
        <v>59</v>
      </c>
      <c r="F2213" s="4" t="s">
        <v>59</v>
      </c>
      <c r="G2213" s="4" t="s">
        <v>1597</v>
      </c>
      <c r="H2213" s="4"/>
      <c r="I2213" s="4" t="n">
        <v>1.4463</v>
      </c>
      <c r="J2213" s="4" t="str">
        <f aca="false">TRIM(E2213) &amp; TRIM(C2213) &amp; TRIM(D2213)</f>
        <v>Re-reviewBoost VideoDK</v>
      </c>
      <c r="K2213" s="4" t="n">
        <f aca="false">IFERROR(I2213*60,"")</f>
        <v>86.778</v>
      </c>
    </row>
    <row r="2214" customFormat="false" ht="15" hidden="false" customHeight="false" outlineLevel="0" collapsed="false">
      <c r="A2214" s="4" t="s">
        <v>15</v>
      </c>
      <c r="B2214" s="4" t="s">
        <v>1526</v>
      </c>
      <c r="C2214" s="4" t="s">
        <v>1527</v>
      </c>
      <c r="D2214" s="4" t="s">
        <v>415</v>
      </c>
      <c r="E2214" s="4" t="s">
        <v>63</v>
      </c>
      <c r="F2214" s="4" t="s">
        <v>63</v>
      </c>
      <c r="G2214" s="4" t="s">
        <v>1798</v>
      </c>
      <c r="H2214" s="4"/>
      <c r="I2214" s="4" t="n">
        <v>0.7741</v>
      </c>
      <c r="J2214" s="4" t="str">
        <f aca="false">TRIM(E2214) &amp; TRIM(C2214) &amp; TRIM(D2214)</f>
        <v>First ReviewBoost CarouselNG</v>
      </c>
      <c r="K2214" s="4" t="n">
        <f aca="false">IFERROR(I2214*60,"")</f>
        <v>46.446</v>
      </c>
    </row>
    <row r="2215" customFormat="false" ht="15" hidden="false" customHeight="false" outlineLevel="0" collapsed="false">
      <c r="A2215" s="4" t="s">
        <v>15</v>
      </c>
      <c r="B2215" s="4" t="s">
        <v>1526</v>
      </c>
      <c r="C2215" s="4" t="s">
        <v>1529</v>
      </c>
      <c r="D2215" s="4" t="s">
        <v>310</v>
      </c>
      <c r="E2215" s="4" t="s">
        <v>66</v>
      </c>
      <c r="F2215" s="4" t="s">
        <v>67</v>
      </c>
      <c r="G2215" s="4" t="s">
        <v>1795</v>
      </c>
      <c r="H2215" s="4"/>
      <c r="I2215" s="4" t="n">
        <v>1.7554</v>
      </c>
      <c r="J2215" s="4" t="str">
        <f aca="false">TRIM(E2215) &amp; TRIM(C2215) &amp; TRIM(D2215)</f>
        <v>Posted RecallBoost LivestreamUY</v>
      </c>
      <c r="K2215" s="4" t="n">
        <f aca="false">IFERROR(I2215*60,"")</f>
        <v>105.324</v>
      </c>
    </row>
    <row r="2216" customFormat="false" ht="15" hidden="false" customHeight="false" outlineLevel="0" collapsed="false">
      <c r="A2216" s="4" t="s">
        <v>15</v>
      </c>
      <c r="B2216" s="4" t="s">
        <v>1526</v>
      </c>
      <c r="C2216" s="4" t="s">
        <v>1529</v>
      </c>
      <c r="D2216" s="4" t="s">
        <v>1547</v>
      </c>
      <c r="E2216" s="4" t="s">
        <v>66</v>
      </c>
      <c r="F2216" s="4" t="s">
        <v>67</v>
      </c>
      <c r="G2216" s="4" t="s">
        <v>1799</v>
      </c>
      <c r="H2216" s="4"/>
      <c r="I2216" s="4" t="n">
        <v>3.0668</v>
      </c>
      <c r="J2216" s="4" t="str">
        <f aca="false">TRIM(E2216) &amp; TRIM(C2216) &amp; TRIM(D2216)</f>
        <v>Posted RecallBoost LivestreamHN</v>
      </c>
      <c r="K2216" s="4" t="n">
        <f aca="false">IFERROR(I2216*60,"")</f>
        <v>184.008</v>
      </c>
    </row>
    <row r="2217" customFormat="false" ht="15" hidden="false" customHeight="false" outlineLevel="0" collapsed="false">
      <c r="A2217" s="4" t="s">
        <v>15</v>
      </c>
      <c r="B2217" s="4" t="s">
        <v>1526</v>
      </c>
      <c r="C2217" s="4" t="s">
        <v>1535</v>
      </c>
      <c r="D2217" s="4" t="s">
        <v>362</v>
      </c>
      <c r="E2217" s="4" t="s">
        <v>63</v>
      </c>
      <c r="F2217" s="4" t="s">
        <v>63</v>
      </c>
      <c r="G2217" s="4" t="s">
        <v>1675</v>
      </c>
      <c r="H2217" s="4"/>
      <c r="I2217" s="4" t="n">
        <v>1.5456</v>
      </c>
      <c r="J2217" s="4" t="str">
        <f aca="false">TRIM(E2217) &amp; TRIM(C2217) &amp; TRIM(D2217)</f>
        <v>First ReviewBoost VideoPA</v>
      </c>
      <c r="K2217" s="4" t="n">
        <f aca="false">IFERROR(I2217*60,"")</f>
        <v>92.736</v>
      </c>
    </row>
    <row r="2218" customFormat="false" ht="15" hidden="false" customHeight="false" outlineLevel="0" collapsed="false">
      <c r="A2218" s="4" t="s">
        <v>15</v>
      </c>
      <c r="B2218" s="4" t="s">
        <v>1526</v>
      </c>
      <c r="C2218" s="4" t="s">
        <v>1527</v>
      </c>
      <c r="D2218" s="4" t="s">
        <v>362</v>
      </c>
      <c r="E2218" s="4" t="s">
        <v>63</v>
      </c>
      <c r="F2218" s="4" t="s">
        <v>63</v>
      </c>
      <c r="G2218" s="4" t="s">
        <v>1575</v>
      </c>
      <c r="H2218" s="4"/>
      <c r="I2218" s="4" t="n">
        <v>1.1827</v>
      </c>
      <c r="J2218" s="4" t="str">
        <f aca="false">TRIM(E2218) &amp; TRIM(C2218) &amp; TRIM(D2218)</f>
        <v>First ReviewBoost CarouselPA</v>
      </c>
      <c r="K2218" s="4" t="n">
        <f aca="false">IFERROR(I2218*60,"")</f>
        <v>70.962</v>
      </c>
    </row>
    <row r="2219" customFormat="false" ht="15" hidden="false" customHeight="false" outlineLevel="0" collapsed="false">
      <c r="A2219" s="4" t="s">
        <v>15</v>
      </c>
      <c r="B2219" s="4" t="s">
        <v>1526</v>
      </c>
      <c r="C2219" s="4" t="s">
        <v>1535</v>
      </c>
      <c r="D2219" s="4" t="s">
        <v>97</v>
      </c>
      <c r="E2219" s="4" t="s">
        <v>63</v>
      </c>
      <c r="F2219" s="4" t="s">
        <v>63</v>
      </c>
      <c r="G2219" s="4" t="s">
        <v>1659</v>
      </c>
      <c r="H2219" s="4"/>
      <c r="I2219" s="4" t="n">
        <v>1.7256</v>
      </c>
      <c r="J2219" s="4" t="str">
        <f aca="false">TRIM(E2219) &amp; TRIM(C2219) &amp; TRIM(D2219)</f>
        <v>First ReviewBoost VideoBR</v>
      </c>
      <c r="K2219" s="4" t="n">
        <f aca="false">IFERROR(I2219*60,"")</f>
        <v>103.536</v>
      </c>
    </row>
    <row r="2220" customFormat="false" ht="15" hidden="false" customHeight="false" outlineLevel="0" collapsed="false">
      <c r="A2220" s="4" t="s">
        <v>15</v>
      </c>
      <c r="B2220" s="4" t="s">
        <v>1526</v>
      </c>
      <c r="C2220" s="4" t="s">
        <v>1527</v>
      </c>
      <c r="D2220" s="4" t="s">
        <v>117</v>
      </c>
      <c r="E2220" s="4" t="s">
        <v>66</v>
      </c>
      <c r="F2220" s="4" t="s">
        <v>67</v>
      </c>
      <c r="G2220" s="4" t="s">
        <v>1541</v>
      </c>
      <c r="H2220" s="4"/>
      <c r="I2220" s="4" t="n">
        <v>1.2001</v>
      </c>
      <c r="J2220" s="4" t="str">
        <f aca="false">TRIM(E2220) &amp; TRIM(C2220) &amp; TRIM(D2220)</f>
        <v>Posted RecallBoost CarouselAR</v>
      </c>
      <c r="K2220" s="4" t="n">
        <f aca="false">IFERROR(I2220*60,"")</f>
        <v>72.006</v>
      </c>
    </row>
    <row r="2221" customFormat="false" ht="15" hidden="false" customHeight="false" outlineLevel="0" collapsed="false">
      <c r="A2221" s="4" t="s">
        <v>15</v>
      </c>
      <c r="B2221" s="4" t="s">
        <v>1526</v>
      </c>
      <c r="C2221" s="4" t="s">
        <v>1535</v>
      </c>
      <c r="D2221" s="4" t="s">
        <v>185</v>
      </c>
      <c r="E2221" s="4" t="s">
        <v>66</v>
      </c>
      <c r="F2221" s="4" t="s">
        <v>67</v>
      </c>
      <c r="G2221" s="4" t="s">
        <v>1597</v>
      </c>
      <c r="H2221" s="4"/>
      <c r="I2221" s="4" t="n">
        <v>1.024</v>
      </c>
      <c r="J2221" s="4" t="str">
        <f aca="false">TRIM(E2221) &amp; TRIM(C2221) &amp; TRIM(D2221)</f>
        <v>Posted RecallBoost VideoDK</v>
      </c>
      <c r="K2221" s="4" t="n">
        <f aca="false">IFERROR(I2221*60,"")</f>
        <v>61.44</v>
      </c>
    </row>
    <row r="2222" customFormat="false" ht="15" hidden="false" customHeight="false" outlineLevel="0" collapsed="false">
      <c r="A2222" s="4" t="s">
        <v>15</v>
      </c>
      <c r="B2222" s="4" t="s">
        <v>1526</v>
      </c>
      <c r="C2222" s="4" t="s">
        <v>1535</v>
      </c>
      <c r="D2222" s="4" t="s">
        <v>216</v>
      </c>
      <c r="E2222" s="4" t="s">
        <v>66</v>
      </c>
      <c r="F2222" s="4" t="s">
        <v>67</v>
      </c>
      <c r="G2222" s="4" t="s">
        <v>1793</v>
      </c>
      <c r="H2222" s="4"/>
      <c r="I2222" s="4" t="n">
        <v>1.8244</v>
      </c>
      <c r="J2222" s="4" t="str">
        <f aca="false">TRIM(E2222) &amp; TRIM(C2222) &amp; TRIM(D2222)</f>
        <v>Posted RecallBoost VideoPY</v>
      </c>
      <c r="K2222" s="4" t="n">
        <f aca="false">IFERROR(I2222*60,"")</f>
        <v>109.464</v>
      </c>
    </row>
    <row r="2223" customFormat="false" ht="15" hidden="false" customHeight="false" outlineLevel="0" collapsed="false">
      <c r="A2223" s="4" t="s">
        <v>15</v>
      </c>
      <c r="B2223" s="4" t="s">
        <v>1526</v>
      </c>
      <c r="C2223" s="4" t="s">
        <v>1535</v>
      </c>
      <c r="D2223" s="4" t="s">
        <v>168</v>
      </c>
      <c r="E2223" s="4" t="s">
        <v>63</v>
      </c>
      <c r="F2223" s="4" t="s">
        <v>63</v>
      </c>
      <c r="G2223" s="4" t="s">
        <v>1697</v>
      </c>
      <c r="H2223" s="4"/>
      <c r="I2223" s="4" t="n">
        <v>1.9666</v>
      </c>
      <c r="J2223" s="4" t="str">
        <f aca="false">TRIM(E2223) &amp; TRIM(C2223) &amp; TRIM(D2223)</f>
        <v>First ReviewBoost VideoKZ</v>
      </c>
      <c r="K2223" s="4" t="n">
        <f aca="false">IFERROR(I2223*60,"")</f>
        <v>117.996</v>
      </c>
    </row>
    <row r="2224" customFormat="false" ht="15" hidden="false" customHeight="false" outlineLevel="0" collapsed="false">
      <c r="A2224" s="4" t="s">
        <v>15</v>
      </c>
      <c r="B2224" s="4" t="s">
        <v>1526</v>
      </c>
      <c r="C2224" s="4" t="s">
        <v>1535</v>
      </c>
      <c r="D2224" s="4" t="s">
        <v>341</v>
      </c>
      <c r="E2224" s="4" t="s">
        <v>63</v>
      </c>
      <c r="F2224" s="4" t="s">
        <v>63</v>
      </c>
      <c r="G2224" s="4" t="s">
        <v>1570</v>
      </c>
      <c r="H2224" s="4"/>
      <c r="I2224" s="4" t="n">
        <v>1.3853</v>
      </c>
      <c r="J2224" s="4" t="str">
        <f aca="false">TRIM(E2224) &amp; TRIM(C2224) &amp; TRIM(D2224)</f>
        <v>First ReviewBoost VideoBG</v>
      </c>
      <c r="K2224" s="4" t="n">
        <f aca="false">IFERROR(I2224*60,"")</f>
        <v>83.118</v>
      </c>
    </row>
    <row r="2225" customFormat="false" ht="15" hidden="false" customHeight="false" outlineLevel="0" collapsed="false">
      <c r="A2225" s="4" t="s">
        <v>15</v>
      </c>
      <c r="B2225" s="4" t="s">
        <v>1526</v>
      </c>
      <c r="C2225" s="4" t="s">
        <v>1535</v>
      </c>
      <c r="D2225" s="4" t="s">
        <v>115</v>
      </c>
      <c r="E2225" s="4" t="s">
        <v>66</v>
      </c>
      <c r="F2225" s="4" t="s">
        <v>67</v>
      </c>
      <c r="G2225" s="4" t="s">
        <v>1753</v>
      </c>
      <c r="H2225" s="4"/>
      <c r="I2225" s="4" t="n">
        <v>2.1253</v>
      </c>
      <c r="J2225" s="4" t="str">
        <f aca="false">TRIM(E2225) &amp; TRIM(C2225) &amp; TRIM(D2225)</f>
        <v>Posted RecallBoost VideoAT</v>
      </c>
      <c r="K2225" s="4" t="n">
        <f aca="false">IFERROR(I2225*60,"")</f>
        <v>127.518</v>
      </c>
    </row>
    <row r="2226" customFormat="false" ht="15" hidden="false" customHeight="false" outlineLevel="0" collapsed="false">
      <c r="A2226" s="4" t="s">
        <v>15</v>
      </c>
      <c r="B2226" s="4" t="s">
        <v>1526</v>
      </c>
      <c r="C2226" s="4" t="s">
        <v>1527</v>
      </c>
      <c r="D2226" s="4" t="s">
        <v>357</v>
      </c>
      <c r="E2226" s="4" t="s">
        <v>59</v>
      </c>
      <c r="F2226" s="4" t="s">
        <v>59</v>
      </c>
      <c r="G2226" s="4" t="s">
        <v>1666</v>
      </c>
      <c r="H2226" s="4"/>
      <c r="I2226" s="4" t="n">
        <v>2.1881</v>
      </c>
      <c r="J2226" s="4" t="str">
        <f aca="false">TRIM(E2226) &amp; TRIM(C2226) &amp; TRIM(D2226)</f>
        <v>Re-reviewBoost CarouselHU</v>
      </c>
      <c r="K2226" s="4" t="n">
        <f aca="false">IFERROR(I2226*60,"")</f>
        <v>131.286</v>
      </c>
    </row>
    <row r="2227" customFormat="false" ht="15" hidden="false" customHeight="false" outlineLevel="0" collapsed="false">
      <c r="A2227" s="4" t="s">
        <v>15</v>
      </c>
      <c r="B2227" s="4" t="s">
        <v>1526</v>
      </c>
      <c r="C2227" s="4" t="s">
        <v>1529</v>
      </c>
      <c r="D2227" s="4" t="s">
        <v>271</v>
      </c>
      <c r="E2227" s="4" t="s">
        <v>63</v>
      </c>
      <c r="F2227" s="4" t="s">
        <v>63</v>
      </c>
      <c r="G2227" s="4" t="s">
        <v>1716</v>
      </c>
      <c r="H2227" s="4"/>
      <c r="I2227" s="4" t="n">
        <v>1.3796</v>
      </c>
      <c r="J2227" s="4" t="str">
        <f aca="false">TRIM(E2227) &amp; TRIM(C2227) &amp; TRIM(D2227)</f>
        <v>First ReviewBoost LivestreamKW</v>
      </c>
      <c r="K2227" s="4" t="n">
        <f aca="false">IFERROR(I2227*60,"")</f>
        <v>82.776</v>
      </c>
    </row>
    <row r="2228" customFormat="false" ht="15" hidden="false" customHeight="false" outlineLevel="0" collapsed="false">
      <c r="A2228" s="4" t="s">
        <v>15</v>
      </c>
      <c r="B2228" s="4" t="s">
        <v>1526</v>
      </c>
      <c r="C2228" s="4" t="s">
        <v>1527</v>
      </c>
      <c r="D2228" s="4" t="s">
        <v>206</v>
      </c>
      <c r="E2228" s="4" t="s">
        <v>63</v>
      </c>
      <c r="F2228" s="4" t="s">
        <v>63</v>
      </c>
      <c r="G2228" s="4" t="s">
        <v>1614</v>
      </c>
      <c r="H2228" s="4"/>
      <c r="I2228" s="4" t="n">
        <v>1.2174</v>
      </c>
      <c r="J2228" s="4" t="str">
        <f aca="false">TRIM(E2228) &amp; TRIM(C2228) &amp; TRIM(D2228)</f>
        <v>First ReviewBoost CarouselDZ</v>
      </c>
      <c r="K2228" s="4" t="n">
        <f aca="false">IFERROR(I2228*60,"")</f>
        <v>73.044</v>
      </c>
    </row>
    <row r="2229" customFormat="false" ht="15" hidden="false" customHeight="false" outlineLevel="0" collapsed="false">
      <c r="A2229" s="4" t="s">
        <v>15</v>
      </c>
      <c r="B2229" s="4" t="s">
        <v>1526</v>
      </c>
      <c r="C2229" s="4" t="s">
        <v>1529</v>
      </c>
      <c r="D2229" s="4" t="s">
        <v>106</v>
      </c>
      <c r="E2229" s="4" t="s">
        <v>63</v>
      </c>
      <c r="F2229" s="4" t="s">
        <v>63</v>
      </c>
      <c r="G2229" s="4" t="s">
        <v>1604</v>
      </c>
      <c r="H2229" s="4"/>
      <c r="I2229" s="4" t="n">
        <v>2.0826</v>
      </c>
      <c r="J2229" s="4" t="str">
        <f aca="false">TRIM(E2229) &amp; TRIM(C2229) &amp; TRIM(D2229)</f>
        <v>First ReviewBoost LivestreamMY</v>
      </c>
      <c r="K2229" s="4" t="n">
        <f aca="false">IFERROR(I2229*60,"")</f>
        <v>124.956</v>
      </c>
    </row>
    <row r="2230" customFormat="false" ht="15" hidden="false" customHeight="false" outlineLevel="0" collapsed="false">
      <c r="A2230" s="4" t="s">
        <v>15</v>
      </c>
      <c r="B2230" s="4" t="s">
        <v>1526</v>
      </c>
      <c r="C2230" s="4" t="s">
        <v>1527</v>
      </c>
      <c r="D2230" s="4" t="s">
        <v>154</v>
      </c>
      <c r="E2230" s="4" t="s">
        <v>63</v>
      </c>
      <c r="F2230" s="4" t="s">
        <v>63</v>
      </c>
      <c r="G2230" s="4" t="s">
        <v>1714</v>
      </c>
      <c r="H2230" s="4"/>
      <c r="I2230" s="4" t="n">
        <v>1.8883</v>
      </c>
      <c r="J2230" s="4" t="str">
        <f aca="false">TRIM(E2230) &amp; TRIM(C2230) &amp; TRIM(D2230)</f>
        <v>First ReviewBoost CarouselES</v>
      </c>
      <c r="K2230" s="4" t="n">
        <f aca="false">IFERROR(I2230*60,"")</f>
        <v>113.298</v>
      </c>
    </row>
    <row r="2231" customFormat="false" ht="15" hidden="false" customHeight="false" outlineLevel="0" collapsed="false">
      <c r="A2231" s="4" t="s">
        <v>15</v>
      </c>
      <c r="B2231" s="4" t="s">
        <v>1526</v>
      </c>
      <c r="C2231" s="4" t="s">
        <v>1535</v>
      </c>
      <c r="D2231" s="4" t="s">
        <v>117</v>
      </c>
      <c r="E2231" s="4" t="s">
        <v>66</v>
      </c>
      <c r="F2231" s="4" t="s">
        <v>67</v>
      </c>
      <c r="G2231" s="4" t="s">
        <v>1621</v>
      </c>
      <c r="H2231" s="4"/>
      <c r="I2231" s="4" t="n">
        <v>1.3691</v>
      </c>
      <c r="J2231" s="4" t="str">
        <f aca="false">TRIM(E2231) &amp; TRIM(C2231) &amp; TRIM(D2231)</f>
        <v>Posted RecallBoost VideoAR</v>
      </c>
      <c r="K2231" s="4" t="n">
        <f aca="false">IFERROR(I2231*60,"")</f>
        <v>82.146</v>
      </c>
    </row>
    <row r="2232" customFormat="false" ht="15" hidden="false" customHeight="false" outlineLevel="0" collapsed="false">
      <c r="A2232" s="4" t="s">
        <v>15</v>
      </c>
      <c r="B2232" s="4" t="s">
        <v>1526</v>
      </c>
      <c r="C2232" s="4" t="s">
        <v>1535</v>
      </c>
      <c r="D2232" s="4" t="s">
        <v>246</v>
      </c>
      <c r="E2232" s="4" t="s">
        <v>66</v>
      </c>
      <c r="F2232" s="4" t="s">
        <v>67</v>
      </c>
      <c r="G2232" s="4" t="s">
        <v>1598</v>
      </c>
      <c r="H2232" s="4"/>
      <c r="I2232" s="4" t="n">
        <v>3.7419</v>
      </c>
      <c r="J2232" s="4" t="str">
        <f aca="false">TRIM(E2232) &amp; TRIM(C2232) &amp; TRIM(D2232)</f>
        <v>Posted RecallBoost VideoLV</v>
      </c>
      <c r="K2232" s="4" t="n">
        <f aca="false">IFERROR(I2232*60,"")</f>
        <v>224.514</v>
      </c>
    </row>
    <row r="2233" customFormat="false" ht="15" hidden="false" customHeight="false" outlineLevel="0" collapsed="false">
      <c r="A2233" s="4" t="s">
        <v>15</v>
      </c>
      <c r="B2233" s="4" t="s">
        <v>1526</v>
      </c>
      <c r="C2233" s="4" t="s">
        <v>1529</v>
      </c>
      <c r="D2233" s="4" t="s">
        <v>117</v>
      </c>
      <c r="E2233" s="4" t="s">
        <v>66</v>
      </c>
      <c r="F2233" s="4" t="s">
        <v>67</v>
      </c>
      <c r="G2233" s="4" t="s">
        <v>1787</v>
      </c>
      <c r="H2233" s="4"/>
      <c r="I2233" s="4" t="n">
        <v>1.9191</v>
      </c>
      <c r="J2233" s="4" t="str">
        <f aca="false">TRIM(E2233) &amp; TRIM(C2233) &amp; TRIM(D2233)</f>
        <v>Posted RecallBoost LivestreamAR</v>
      </c>
      <c r="K2233" s="4" t="n">
        <f aca="false">IFERROR(I2233*60,"")</f>
        <v>115.146</v>
      </c>
    </row>
    <row r="2234" customFormat="false" ht="15" hidden="false" customHeight="false" outlineLevel="0" collapsed="false">
      <c r="A2234" s="4" t="s">
        <v>15</v>
      </c>
      <c r="B2234" s="4" t="s">
        <v>1526</v>
      </c>
      <c r="C2234" s="4" t="s">
        <v>1535</v>
      </c>
      <c r="D2234" s="4" t="s">
        <v>267</v>
      </c>
      <c r="E2234" s="4" t="s">
        <v>63</v>
      </c>
      <c r="F2234" s="4" t="s">
        <v>63</v>
      </c>
      <c r="G2234" s="4" t="s">
        <v>1620</v>
      </c>
      <c r="H2234" s="4"/>
      <c r="I2234" s="4" t="n">
        <v>1.1017</v>
      </c>
      <c r="J2234" s="4" t="str">
        <f aca="false">TRIM(E2234) &amp; TRIM(C2234) &amp; TRIM(D2234)</f>
        <v>First ReviewBoost VideoID</v>
      </c>
      <c r="K2234" s="4" t="n">
        <f aca="false">IFERROR(I2234*60,"")</f>
        <v>66.102</v>
      </c>
    </row>
    <row r="2235" customFormat="false" ht="15" hidden="false" customHeight="false" outlineLevel="0" collapsed="false">
      <c r="A2235" s="4" t="s">
        <v>15</v>
      </c>
      <c r="B2235" s="4" t="s">
        <v>1526</v>
      </c>
      <c r="C2235" s="4" t="s">
        <v>1527</v>
      </c>
      <c r="D2235" s="4" t="s">
        <v>231</v>
      </c>
      <c r="E2235" s="4" t="s">
        <v>63</v>
      </c>
      <c r="F2235" s="4" t="s">
        <v>63</v>
      </c>
      <c r="G2235" s="4" t="s">
        <v>1725</v>
      </c>
      <c r="H2235" s="4"/>
      <c r="I2235" s="4" t="n">
        <v>1.602</v>
      </c>
      <c r="J2235" s="4" t="str">
        <f aca="false">TRIM(E2235) &amp; TRIM(C2235) &amp; TRIM(D2235)</f>
        <v>First ReviewBoost CarouselIL</v>
      </c>
      <c r="K2235" s="4" t="n">
        <f aca="false">IFERROR(I2235*60,"")</f>
        <v>96.12</v>
      </c>
    </row>
    <row r="2236" customFormat="false" ht="15" hidden="false" customHeight="false" outlineLevel="0" collapsed="false">
      <c r="A2236" s="4" t="s">
        <v>15</v>
      </c>
      <c r="B2236" s="4" t="s">
        <v>1526</v>
      </c>
      <c r="C2236" s="4" t="s">
        <v>1535</v>
      </c>
      <c r="D2236" s="4" t="s">
        <v>243</v>
      </c>
      <c r="E2236" s="4" t="s">
        <v>66</v>
      </c>
      <c r="F2236" s="4" t="s">
        <v>67</v>
      </c>
      <c r="G2236" s="4" t="s">
        <v>1664</v>
      </c>
      <c r="H2236" s="4"/>
      <c r="I2236" s="4" t="n">
        <v>2.1242</v>
      </c>
      <c r="J2236" s="4" t="str">
        <f aca="false">TRIM(E2236) &amp; TRIM(C2236) &amp; TRIM(D2236)</f>
        <v>Posted RecallBoost VideoBY</v>
      </c>
      <c r="K2236" s="4" t="n">
        <f aca="false">IFERROR(I2236*60,"")</f>
        <v>127.452</v>
      </c>
    </row>
    <row r="2237" customFormat="false" ht="15" hidden="false" customHeight="false" outlineLevel="0" collapsed="false">
      <c r="A2237" s="4" t="s">
        <v>15</v>
      </c>
      <c r="B2237" s="4" t="s">
        <v>1526</v>
      </c>
      <c r="C2237" s="4" t="s">
        <v>1527</v>
      </c>
      <c r="D2237" s="4" t="s">
        <v>136</v>
      </c>
      <c r="E2237" s="4" t="s">
        <v>63</v>
      </c>
      <c r="F2237" s="4" t="s">
        <v>63</v>
      </c>
      <c r="G2237" s="4" t="s">
        <v>1726</v>
      </c>
      <c r="H2237" s="4"/>
      <c r="I2237" s="4" t="n">
        <v>1.3862</v>
      </c>
      <c r="J2237" s="4" t="str">
        <f aca="false">TRIM(E2237) &amp; TRIM(C2237) &amp; TRIM(D2237)</f>
        <v>First ReviewBoost CarouselPE</v>
      </c>
      <c r="K2237" s="4" t="n">
        <f aca="false">IFERROR(I2237*60,"")</f>
        <v>83.172</v>
      </c>
    </row>
    <row r="2238" customFormat="false" ht="15" hidden="false" customHeight="false" outlineLevel="0" collapsed="false">
      <c r="A2238" s="4" t="s">
        <v>15</v>
      </c>
      <c r="B2238" s="4" t="s">
        <v>1526</v>
      </c>
      <c r="C2238" s="4" t="s">
        <v>1529</v>
      </c>
      <c r="D2238" s="4" t="s">
        <v>139</v>
      </c>
      <c r="E2238" s="4" t="s">
        <v>63</v>
      </c>
      <c r="F2238" s="4" t="s">
        <v>63</v>
      </c>
      <c r="G2238" s="4" t="s">
        <v>1532</v>
      </c>
      <c r="H2238" s="4"/>
      <c r="I2238" s="4" t="n">
        <v>1.2104</v>
      </c>
      <c r="J2238" s="4" t="str">
        <f aca="false">TRIM(E2238) &amp; TRIM(C2238) &amp; TRIM(D2238)</f>
        <v>First ReviewBoost LivestreamEG</v>
      </c>
      <c r="K2238" s="4" t="n">
        <f aca="false">IFERROR(I2238*60,"")</f>
        <v>72.624</v>
      </c>
    </row>
    <row r="2239" customFormat="false" ht="15" hidden="false" customHeight="false" outlineLevel="0" collapsed="false">
      <c r="A2239" s="4" t="s">
        <v>15</v>
      </c>
      <c r="B2239" s="4" t="s">
        <v>1526</v>
      </c>
      <c r="C2239" s="4" t="s">
        <v>1527</v>
      </c>
      <c r="D2239" s="4" t="s">
        <v>251</v>
      </c>
      <c r="E2239" s="4" t="s">
        <v>63</v>
      </c>
      <c r="F2239" s="4" t="s">
        <v>63</v>
      </c>
      <c r="G2239" s="4" t="s">
        <v>1561</v>
      </c>
      <c r="H2239" s="4"/>
      <c r="I2239" s="4" t="n">
        <v>2.0575</v>
      </c>
      <c r="J2239" s="4" t="str">
        <f aca="false">TRIM(E2239) &amp; TRIM(C2239) &amp; TRIM(D2239)</f>
        <v>First ReviewBoost CarouselRO</v>
      </c>
      <c r="K2239" s="4" t="n">
        <f aca="false">IFERROR(I2239*60,"")</f>
        <v>123.45</v>
      </c>
    </row>
    <row r="2240" customFormat="false" ht="15" hidden="false" customHeight="false" outlineLevel="0" collapsed="false">
      <c r="A2240" s="4" t="s">
        <v>15</v>
      </c>
      <c r="B2240" s="4" t="s">
        <v>1526</v>
      </c>
      <c r="C2240" s="4" t="s">
        <v>1527</v>
      </c>
      <c r="D2240" s="4" t="s">
        <v>197</v>
      </c>
      <c r="E2240" s="4" t="s">
        <v>63</v>
      </c>
      <c r="F2240" s="4" t="s">
        <v>63</v>
      </c>
      <c r="G2240" s="4" t="s">
        <v>1559</v>
      </c>
      <c r="H2240" s="4"/>
      <c r="I2240" s="4" t="n">
        <v>1.3094</v>
      </c>
      <c r="J2240" s="4" t="str">
        <f aca="false">TRIM(E2240) &amp; TRIM(C2240) &amp; TRIM(D2240)</f>
        <v>First ReviewBoost CarouselGR</v>
      </c>
      <c r="K2240" s="4" t="n">
        <f aca="false">IFERROR(I2240*60,"")</f>
        <v>78.564</v>
      </c>
    </row>
    <row r="2241" customFormat="false" ht="15" hidden="false" customHeight="false" outlineLevel="0" collapsed="false">
      <c r="A2241" s="4" t="s">
        <v>15</v>
      </c>
      <c r="B2241" s="4" t="s">
        <v>1526</v>
      </c>
      <c r="C2241" s="4" t="s">
        <v>1529</v>
      </c>
      <c r="D2241" s="4" t="s">
        <v>162</v>
      </c>
      <c r="E2241" s="4" t="s">
        <v>66</v>
      </c>
      <c r="F2241" s="4" t="s">
        <v>67</v>
      </c>
      <c r="G2241" s="4" t="s">
        <v>1784</v>
      </c>
      <c r="H2241" s="4"/>
      <c r="I2241" s="4" t="n">
        <v>1.571</v>
      </c>
      <c r="J2241" s="4" t="str">
        <f aca="false">TRIM(E2241) &amp; TRIM(C2241) &amp; TRIM(D2241)</f>
        <v>Posted RecallBoost LivestreamJO</v>
      </c>
      <c r="K2241" s="4" t="n">
        <f aca="false">IFERROR(I2241*60,"")</f>
        <v>94.26</v>
      </c>
    </row>
    <row r="2242" customFormat="false" ht="15" hidden="false" customHeight="false" outlineLevel="0" collapsed="false">
      <c r="A2242" s="4" t="s">
        <v>15</v>
      </c>
      <c r="B2242" s="4" t="s">
        <v>1526</v>
      </c>
      <c r="C2242" s="4" t="s">
        <v>1527</v>
      </c>
      <c r="D2242" s="4" t="s">
        <v>195</v>
      </c>
      <c r="E2242" s="4" t="s">
        <v>63</v>
      </c>
      <c r="F2242" s="4" t="s">
        <v>63</v>
      </c>
      <c r="G2242" s="4" t="s">
        <v>1624</v>
      </c>
      <c r="H2242" s="4"/>
      <c r="I2242" s="4" t="n">
        <v>2.4733</v>
      </c>
      <c r="J2242" s="4" t="str">
        <f aca="false">TRIM(E2242) &amp; TRIM(C2242) &amp; TRIM(D2242)</f>
        <v>First ReviewBoost CarouselIT</v>
      </c>
      <c r="K2242" s="4" t="n">
        <f aca="false">IFERROR(I2242*60,"")</f>
        <v>148.398</v>
      </c>
    </row>
    <row r="2243" customFormat="false" ht="15" hidden="false" customHeight="false" outlineLevel="0" collapsed="false">
      <c r="A2243" s="4" t="s">
        <v>15</v>
      </c>
      <c r="B2243" s="4" t="s">
        <v>1526</v>
      </c>
      <c r="C2243" s="4" t="s">
        <v>1535</v>
      </c>
      <c r="D2243" s="4" t="s">
        <v>265</v>
      </c>
      <c r="E2243" s="4" t="s">
        <v>66</v>
      </c>
      <c r="F2243" s="4" t="s">
        <v>67</v>
      </c>
      <c r="G2243" s="4" t="s">
        <v>1646</v>
      </c>
      <c r="H2243" s="4"/>
      <c r="I2243" s="4" t="n">
        <v>0.9461</v>
      </c>
      <c r="J2243" s="4" t="str">
        <f aca="false">TRIM(E2243) &amp; TRIM(C2243) &amp; TRIM(D2243)</f>
        <v>Posted RecallBoost VideoNO</v>
      </c>
      <c r="K2243" s="4" t="n">
        <f aca="false">IFERROR(I2243*60,"")</f>
        <v>56.766</v>
      </c>
    </row>
    <row r="2244" customFormat="false" ht="15" hidden="false" customHeight="false" outlineLevel="0" collapsed="false">
      <c r="A2244" s="4" t="s">
        <v>15</v>
      </c>
      <c r="B2244" s="4" t="s">
        <v>1526</v>
      </c>
      <c r="C2244" s="4" t="s">
        <v>1527</v>
      </c>
      <c r="D2244" s="4" t="s">
        <v>126</v>
      </c>
      <c r="E2244" s="4" t="s">
        <v>63</v>
      </c>
      <c r="F2244" s="4" t="s">
        <v>63</v>
      </c>
      <c r="G2244" s="4" t="s">
        <v>1722</v>
      </c>
      <c r="H2244" s="4"/>
      <c r="I2244" s="4" t="n">
        <v>1.5951</v>
      </c>
      <c r="J2244" s="4" t="str">
        <f aca="false">TRIM(E2244) &amp; TRIM(C2244) &amp; TRIM(D2244)</f>
        <v>First ReviewBoost CarouselMX</v>
      </c>
      <c r="K2244" s="4" t="n">
        <f aca="false">IFERROR(I2244*60,"")</f>
        <v>95.706</v>
      </c>
    </row>
    <row r="2245" customFormat="false" ht="15" hidden="false" customHeight="false" outlineLevel="0" collapsed="false">
      <c r="A2245" s="4" t="s">
        <v>15</v>
      </c>
      <c r="B2245" s="4" t="s">
        <v>1526</v>
      </c>
      <c r="C2245" s="4" t="s">
        <v>1527</v>
      </c>
      <c r="D2245" s="4" t="s">
        <v>87</v>
      </c>
      <c r="E2245" s="4" t="s">
        <v>66</v>
      </c>
      <c r="F2245" s="4" t="s">
        <v>67</v>
      </c>
      <c r="G2245" s="4" t="s">
        <v>1720</v>
      </c>
      <c r="H2245" s="4"/>
      <c r="I2245" s="4" t="n">
        <v>0.9626</v>
      </c>
      <c r="J2245" s="4" t="str">
        <f aca="false">TRIM(E2245) &amp; TRIM(C2245) &amp; TRIM(D2245)</f>
        <v>Posted RecallBoost CarouselAE</v>
      </c>
      <c r="K2245" s="4" t="n">
        <f aca="false">IFERROR(I2245*60,"")</f>
        <v>57.756</v>
      </c>
    </row>
    <row r="2246" customFormat="false" ht="15" hidden="false" customHeight="false" outlineLevel="0" collapsed="false">
      <c r="A2246" s="4" t="s">
        <v>15</v>
      </c>
      <c r="B2246" s="4" t="s">
        <v>1526</v>
      </c>
      <c r="C2246" s="4" t="s">
        <v>1535</v>
      </c>
      <c r="D2246" s="4" t="s">
        <v>1547</v>
      </c>
      <c r="E2246" s="4" t="s">
        <v>66</v>
      </c>
      <c r="F2246" s="4" t="s">
        <v>67</v>
      </c>
      <c r="G2246" s="4" t="s">
        <v>1548</v>
      </c>
      <c r="H2246" s="4"/>
      <c r="I2246" s="4" t="n">
        <v>2.0473</v>
      </c>
      <c r="J2246" s="4" t="str">
        <f aca="false">TRIM(E2246) &amp; TRIM(C2246) &amp; TRIM(D2246)</f>
        <v>Posted RecallBoost VideoHN</v>
      </c>
      <c r="K2246" s="4" t="n">
        <f aca="false">IFERROR(I2246*60,"")</f>
        <v>122.838</v>
      </c>
    </row>
    <row r="2247" customFormat="false" ht="15" hidden="false" customHeight="false" outlineLevel="0" collapsed="false">
      <c r="A2247" s="4" t="s">
        <v>15</v>
      </c>
      <c r="B2247" s="4" t="s">
        <v>1526</v>
      </c>
      <c r="C2247" s="4" t="s">
        <v>1529</v>
      </c>
      <c r="D2247" s="4" t="s">
        <v>166</v>
      </c>
      <c r="E2247" s="4" t="s">
        <v>66</v>
      </c>
      <c r="F2247" s="4" t="s">
        <v>67</v>
      </c>
      <c r="G2247" s="4" t="s">
        <v>1647</v>
      </c>
      <c r="H2247" s="4"/>
      <c r="I2247" s="4" t="n">
        <v>3.7966</v>
      </c>
      <c r="J2247" s="4" t="str">
        <f aca="false">TRIM(E2247) &amp; TRIM(C2247) &amp; TRIM(D2247)</f>
        <v>Posted RecallBoost LivestreamCZ</v>
      </c>
      <c r="K2247" s="4" t="n">
        <f aca="false">IFERROR(I2247*60,"")</f>
        <v>227.796</v>
      </c>
    </row>
    <row r="2248" customFormat="false" ht="15" hidden="false" customHeight="false" outlineLevel="0" collapsed="false">
      <c r="A2248" s="4" t="s">
        <v>15</v>
      </c>
      <c r="B2248" s="4" t="s">
        <v>1526</v>
      </c>
      <c r="C2248" s="4" t="s">
        <v>1527</v>
      </c>
      <c r="D2248" s="4" t="s">
        <v>199</v>
      </c>
      <c r="E2248" s="4" t="s">
        <v>66</v>
      </c>
      <c r="F2248" s="4" t="s">
        <v>67</v>
      </c>
      <c r="G2248" s="4" t="s">
        <v>1791</v>
      </c>
      <c r="H2248" s="4"/>
      <c r="I2248" s="4" t="n">
        <v>0.7635</v>
      </c>
      <c r="J2248" s="4" t="str">
        <f aca="false">TRIM(E2248) &amp; TRIM(C2248) &amp; TRIM(D2248)</f>
        <v>Posted RecallBoost CarouselBH</v>
      </c>
      <c r="K2248" s="4" t="n">
        <f aca="false">IFERROR(I2248*60,"")</f>
        <v>45.81</v>
      </c>
    </row>
    <row r="2249" customFormat="false" ht="15" hidden="false" customHeight="false" outlineLevel="0" collapsed="false">
      <c r="A2249" s="4" t="s">
        <v>15</v>
      </c>
      <c r="B2249" s="4" t="s">
        <v>1526</v>
      </c>
      <c r="C2249" s="4" t="s">
        <v>1529</v>
      </c>
      <c r="D2249" s="4" t="s">
        <v>216</v>
      </c>
      <c r="E2249" s="4" t="s">
        <v>63</v>
      </c>
      <c r="F2249" s="4" t="s">
        <v>63</v>
      </c>
      <c r="G2249" s="4" t="s">
        <v>1800</v>
      </c>
      <c r="H2249" s="4"/>
      <c r="I2249" s="4" t="n">
        <v>3.4471</v>
      </c>
      <c r="J2249" s="4" t="str">
        <f aca="false">TRIM(E2249) &amp; TRIM(C2249) &amp; TRIM(D2249)</f>
        <v>First ReviewBoost LivestreamPY</v>
      </c>
      <c r="K2249" s="4" t="n">
        <f aca="false">IFERROR(I2249*60,"")</f>
        <v>206.826</v>
      </c>
    </row>
    <row r="2250" customFormat="false" ht="15" hidden="false" customHeight="false" outlineLevel="0" collapsed="false">
      <c r="A2250" s="4" t="s">
        <v>15</v>
      </c>
      <c r="B2250" s="4" t="s">
        <v>1526</v>
      </c>
      <c r="C2250" s="4" t="s">
        <v>1527</v>
      </c>
      <c r="D2250" s="4" t="s">
        <v>152</v>
      </c>
      <c r="E2250" s="4" t="s">
        <v>66</v>
      </c>
      <c r="F2250" s="4" t="s">
        <v>67</v>
      </c>
      <c r="G2250" s="4" t="s">
        <v>1557</v>
      </c>
      <c r="H2250" s="4"/>
      <c r="I2250" s="4" t="n">
        <v>1.3734</v>
      </c>
      <c r="J2250" s="4" t="str">
        <f aca="false">TRIM(E2250) &amp; TRIM(C2250) &amp; TRIM(D2250)</f>
        <v>Posted RecallBoost CarouselCY</v>
      </c>
      <c r="K2250" s="4" t="n">
        <f aca="false">IFERROR(I2250*60,"")</f>
        <v>82.404</v>
      </c>
    </row>
    <row r="2251" customFormat="false" ht="15" hidden="false" customHeight="false" outlineLevel="0" collapsed="false">
      <c r="A2251" s="4" t="s">
        <v>15</v>
      </c>
      <c r="B2251" s="4" t="s">
        <v>1526</v>
      </c>
      <c r="C2251" s="4" t="s">
        <v>1527</v>
      </c>
      <c r="D2251" s="4" t="s">
        <v>1801</v>
      </c>
      <c r="E2251" s="4" t="s">
        <v>63</v>
      </c>
      <c r="F2251" s="4" t="s">
        <v>63</v>
      </c>
      <c r="G2251" s="4" t="s">
        <v>1802</v>
      </c>
      <c r="H2251" s="4"/>
      <c r="I2251" s="4" t="n">
        <v>0.281</v>
      </c>
      <c r="J2251" s="4" t="str">
        <f aca="false">TRIM(E2251) &amp; TRIM(C2251) &amp; TRIM(D2251)</f>
        <v>First ReviewBoost CarouselMN</v>
      </c>
      <c r="K2251" s="4" t="n">
        <f aca="false">IFERROR(I2251*60,"")</f>
        <v>16.86</v>
      </c>
    </row>
    <row r="2252" customFormat="false" ht="15" hidden="false" customHeight="false" outlineLevel="0" collapsed="false">
      <c r="A2252" s="4" t="s">
        <v>15</v>
      </c>
      <c r="B2252" s="4" t="s">
        <v>1526</v>
      </c>
      <c r="C2252" s="4" t="s">
        <v>1527</v>
      </c>
      <c r="D2252" s="4" t="s">
        <v>235</v>
      </c>
      <c r="E2252" s="4" t="s">
        <v>66</v>
      </c>
      <c r="F2252" s="4" t="s">
        <v>67</v>
      </c>
      <c r="G2252" s="4" t="s">
        <v>1683</v>
      </c>
      <c r="H2252" s="4"/>
      <c r="I2252" s="4" t="n">
        <v>0.8459</v>
      </c>
      <c r="J2252" s="4" t="str">
        <f aca="false">TRIM(E2252) &amp; TRIM(C2252) &amp; TRIM(D2252)</f>
        <v>Posted RecallBoost CarouselJP</v>
      </c>
      <c r="K2252" s="4" t="n">
        <f aca="false">IFERROR(I2252*60,"")</f>
        <v>50.754</v>
      </c>
    </row>
    <row r="2253" customFormat="false" ht="15" hidden="false" customHeight="false" outlineLevel="0" collapsed="false">
      <c r="A2253" s="4" t="s">
        <v>15</v>
      </c>
      <c r="B2253" s="4" t="s">
        <v>1526</v>
      </c>
      <c r="C2253" s="4" t="s">
        <v>1527</v>
      </c>
      <c r="D2253" s="4" t="s">
        <v>1580</v>
      </c>
      <c r="E2253" s="4" t="s">
        <v>66</v>
      </c>
      <c r="F2253" s="4" t="s">
        <v>67</v>
      </c>
      <c r="G2253" s="4" t="s">
        <v>1803</v>
      </c>
      <c r="H2253" s="4"/>
      <c r="I2253" s="4" t="n">
        <v>3.5446</v>
      </c>
      <c r="J2253" s="4" t="str">
        <f aca="false">TRIM(E2253) &amp; TRIM(C2253) &amp; TRIM(D2253)</f>
        <v>Posted RecallBoost CarouselET</v>
      </c>
      <c r="K2253" s="4" t="n">
        <f aca="false">IFERROR(I2253*60,"")</f>
        <v>212.676</v>
      </c>
    </row>
    <row r="2254" customFormat="false" ht="15" hidden="false" customHeight="false" outlineLevel="0" collapsed="false">
      <c r="A2254" s="4" t="s">
        <v>15</v>
      </c>
      <c r="B2254" s="4" t="s">
        <v>1526</v>
      </c>
      <c r="C2254" s="4" t="s">
        <v>1529</v>
      </c>
      <c r="D2254" s="4" t="s">
        <v>206</v>
      </c>
      <c r="E2254" s="4" t="s">
        <v>63</v>
      </c>
      <c r="F2254" s="4" t="s">
        <v>63</v>
      </c>
      <c r="G2254" s="4" t="s">
        <v>1542</v>
      </c>
      <c r="H2254" s="4"/>
      <c r="I2254" s="4" t="n">
        <v>2.1403</v>
      </c>
      <c r="J2254" s="4" t="str">
        <f aca="false">TRIM(E2254) &amp; TRIM(C2254) &amp; TRIM(D2254)</f>
        <v>First ReviewBoost LivestreamDZ</v>
      </c>
      <c r="K2254" s="4" t="n">
        <f aca="false">IFERROR(I2254*60,"")</f>
        <v>128.418</v>
      </c>
    </row>
    <row r="2255" customFormat="false" ht="15" hidden="false" customHeight="false" outlineLevel="0" collapsed="false">
      <c r="A2255" s="4" t="s">
        <v>15</v>
      </c>
      <c r="B2255" s="4" t="s">
        <v>1526</v>
      </c>
      <c r="C2255" s="4" t="s">
        <v>1535</v>
      </c>
      <c r="D2255" s="4" t="s">
        <v>901</v>
      </c>
      <c r="E2255" s="4" t="s">
        <v>66</v>
      </c>
      <c r="F2255" s="4" t="s">
        <v>67</v>
      </c>
      <c r="G2255" s="4" t="s">
        <v>1777</v>
      </c>
      <c r="H2255" s="4"/>
      <c r="I2255" s="4" t="n">
        <v>2.6063</v>
      </c>
      <c r="J2255" s="4" t="str">
        <f aca="false">TRIM(E2255) &amp; TRIM(C2255) &amp; TRIM(D2255)</f>
        <v>Posted RecallBoost VideoLU</v>
      </c>
      <c r="K2255" s="4" t="n">
        <f aca="false">IFERROR(I2255*60,"")</f>
        <v>156.378</v>
      </c>
    </row>
    <row r="2256" customFormat="false" ht="15" hidden="false" customHeight="false" outlineLevel="0" collapsed="false">
      <c r="A2256" s="4" t="s">
        <v>15</v>
      </c>
      <c r="B2256" s="4" t="s">
        <v>1526</v>
      </c>
      <c r="C2256" s="4" t="s">
        <v>1527</v>
      </c>
      <c r="D2256" s="4" t="s">
        <v>97</v>
      </c>
      <c r="E2256" s="4" t="s">
        <v>63</v>
      </c>
      <c r="F2256" s="4" t="s">
        <v>63</v>
      </c>
      <c r="G2256" s="4" t="s">
        <v>1579</v>
      </c>
      <c r="H2256" s="4"/>
      <c r="I2256" s="4" t="n">
        <v>1.179</v>
      </c>
      <c r="J2256" s="4" t="str">
        <f aca="false">TRIM(E2256) &amp; TRIM(C2256) &amp; TRIM(D2256)</f>
        <v>First ReviewBoost CarouselBR</v>
      </c>
      <c r="K2256" s="4" t="n">
        <f aca="false">IFERROR(I2256*60,"")</f>
        <v>70.74</v>
      </c>
    </row>
    <row r="2257" customFormat="false" ht="15" hidden="false" customHeight="false" outlineLevel="0" collapsed="false">
      <c r="A2257" s="4" t="s">
        <v>15</v>
      </c>
      <c r="B2257" s="4" t="s">
        <v>1526</v>
      </c>
      <c r="C2257" s="4" t="s">
        <v>1535</v>
      </c>
      <c r="D2257" s="4" t="s">
        <v>1589</v>
      </c>
      <c r="E2257" s="4" t="s">
        <v>66</v>
      </c>
      <c r="F2257" s="4" t="s">
        <v>67</v>
      </c>
      <c r="G2257" s="4" t="s">
        <v>1590</v>
      </c>
      <c r="H2257" s="4"/>
      <c r="I2257" s="4" t="n">
        <v>2.0015</v>
      </c>
      <c r="J2257" s="4" t="str">
        <f aca="false">TRIM(E2257) &amp; TRIM(C2257) &amp; TRIM(D2257)</f>
        <v>Posted RecallBoost VideoSV</v>
      </c>
      <c r="K2257" s="4" t="n">
        <f aca="false">IFERROR(I2257*60,"")</f>
        <v>120.09</v>
      </c>
    </row>
    <row r="2258" customFormat="false" ht="15" hidden="false" customHeight="false" outlineLevel="0" collapsed="false">
      <c r="A2258" s="4" t="s">
        <v>15</v>
      </c>
      <c r="B2258" s="4" t="s">
        <v>1526</v>
      </c>
      <c r="C2258" s="4" t="s">
        <v>1527</v>
      </c>
      <c r="D2258" s="4" t="s">
        <v>150</v>
      </c>
      <c r="E2258" s="4" t="s">
        <v>66</v>
      </c>
      <c r="F2258" s="4" t="s">
        <v>67</v>
      </c>
      <c r="G2258" s="4" t="s">
        <v>1694</v>
      </c>
      <c r="H2258" s="4"/>
      <c r="I2258" s="4" t="n">
        <v>1.9452</v>
      </c>
      <c r="J2258" s="4" t="str">
        <f aca="false">TRIM(E2258) &amp; TRIM(C2258) &amp; TRIM(D2258)</f>
        <v>Posted RecallBoost CarouselDE</v>
      </c>
      <c r="K2258" s="4" t="n">
        <f aca="false">IFERROR(I2258*60,"")</f>
        <v>116.712</v>
      </c>
    </row>
    <row r="2259" customFormat="false" ht="15" hidden="false" customHeight="false" outlineLevel="0" collapsed="false">
      <c r="A2259" s="4" t="s">
        <v>15</v>
      </c>
      <c r="B2259" s="4" t="s">
        <v>1804</v>
      </c>
      <c r="C2259" s="4" t="s">
        <v>985</v>
      </c>
      <c r="D2259" s="4" t="s">
        <v>195</v>
      </c>
      <c r="E2259" s="4" t="s">
        <v>63</v>
      </c>
      <c r="F2259" s="4" t="s">
        <v>63</v>
      </c>
      <c r="G2259" s="4" t="s">
        <v>1805</v>
      </c>
      <c r="H2259" s="4"/>
      <c r="I2259" s="4" t="n">
        <v>1.2461</v>
      </c>
      <c r="J2259" s="4" t="str">
        <f aca="false">TRIM(E2259) &amp; TRIM(C2259) &amp; TRIM(D2259)</f>
        <v>First ReviewR&amp;F AdsIT</v>
      </c>
      <c r="K2259" s="4" t="n">
        <f aca="false">IFERROR(I2259*60,"")</f>
        <v>74.766</v>
      </c>
    </row>
    <row r="2260" customFormat="false" ht="15" hidden="false" customHeight="false" outlineLevel="0" collapsed="false">
      <c r="A2260" s="4" t="s">
        <v>15</v>
      </c>
      <c r="B2260" s="4" t="s">
        <v>1804</v>
      </c>
      <c r="C2260" s="4" t="s">
        <v>985</v>
      </c>
      <c r="D2260" s="4" t="s">
        <v>111</v>
      </c>
      <c r="E2260" s="4" t="s">
        <v>63</v>
      </c>
      <c r="F2260" s="4" t="s">
        <v>63</v>
      </c>
      <c r="G2260" s="4" t="s">
        <v>1064</v>
      </c>
      <c r="H2260" s="4"/>
      <c r="I2260" s="4" t="n">
        <v>3.0915</v>
      </c>
      <c r="J2260" s="4" t="str">
        <f aca="false">TRIM(E2260) &amp; TRIM(C2260) &amp; TRIM(D2260)</f>
        <v>First ReviewR&amp;F AdsUS</v>
      </c>
      <c r="K2260" s="4" t="n">
        <f aca="false">IFERROR(I2260*60,"")</f>
        <v>185.49</v>
      </c>
    </row>
    <row r="2261" customFormat="false" ht="15" hidden="false" customHeight="false" outlineLevel="0" collapsed="false">
      <c r="A2261" s="4" t="s">
        <v>15</v>
      </c>
      <c r="B2261" s="4" t="s">
        <v>1804</v>
      </c>
      <c r="C2261" s="4" t="s">
        <v>985</v>
      </c>
      <c r="D2261" s="4" t="s">
        <v>70</v>
      </c>
      <c r="E2261" s="4" t="s">
        <v>63</v>
      </c>
      <c r="F2261" s="4" t="s">
        <v>63</v>
      </c>
      <c r="G2261" s="4" t="s">
        <v>1806</v>
      </c>
      <c r="H2261" s="4"/>
      <c r="I2261" s="4" t="n">
        <v>0.0829</v>
      </c>
      <c r="J2261" s="4" t="str">
        <f aca="false">TRIM(E2261) &amp; TRIM(C2261) &amp; TRIM(D2261)</f>
        <v>First ReviewR&amp;F AdsBE</v>
      </c>
      <c r="K2261" s="4" t="n">
        <f aca="false">IFERROR(I2261*60,"")</f>
        <v>4.974</v>
      </c>
    </row>
    <row r="2262" customFormat="false" ht="15" hidden="false" customHeight="false" outlineLevel="0" collapsed="false">
      <c r="A2262" s="4" t="s">
        <v>15</v>
      </c>
      <c r="B2262" s="4" t="s">
        <v>1804</v>
      </c>
      <c r="C2262" s="4" t="s">
        <v>985</v>
      </c>
      <c r="D2262" s="4" t="s">
        <v>95</v>
      </c>
      <c r="E2262" s="4" t="s">
        <v>63</v>
      </c>
      <c r="F2262" s="4" t="s">
        <v>63</v>
      </c>
      <c r="G2262" s="4" t="s">
        <v>1101</v>
      </c>
      <c r="H2262" s="4"/>
      <c r="I2262" s="4" t="n">
        <v>9.2648</v>
      </c>
      <c r="J2262" s="4" t="str">
        <f aca="false">TRIM(E2262) &amp; TRIM(C2262) &amp; TRIM(D2262)</f>
        <v>First ReviewR&amp;F AdsVN</v>
      </c>
      <c r="K2262" s="4" t="n">
        <f aca="false">IFERROR(I2262*60,"")</f>
        <v>555.888</v>
      </c>
    </row>
    <row r="2263" customFormat="false" ht="15" hidden="false" customHeight="false" outlineLevel="0" collapsed="false">
      <c r="A2263" s="4" t="s">
        <v>15</v>
      </c>
      <c r="B2263" s="4" t="s">
        <v>1804</v>
      </c>
      <c r="C2263" s="4" t="s">
        <v>985</v>
      </c>
      <c r="D2263" s="4" t="s">
        <v>62</v>
      </c>
      <c r="E2263" s="4" t="s">
        <v>63</v>
      </c>
      <c r="F2263" s="4" t="s">
        <v>63</v>
      </c>
      <c r="G2263" s="4" t="s">
        <v>1807</v>
      </c>
      <c r="H2263" s="4"/>
      <c r="I2263" s="4" t="n">
        <v>4.3701</v>
      </c>
      <c r="J2263" s="4" t="str">
        <f aca="false">TRIM(E2263) &amp; TRIM(C2263) &amp; TRIM(D2263)</f>
        <v>First ReviewR&amp;F AdsCL</v>
      </c>
      <c r="K2263" s="4" t="n">
        <f aca="false">IFERROR(I2263*60,"")</f>
        <v>262.206</v>
      </c>
    </row>
    <row r="2264" customFormat="false" ht="15" hidden="false" customHeight="false" outlineLevel="0" collapsed="false">
      <c r="A2264" s="4" t="s">
        <v>15</v>
      </c>
      <c r="B2264" s="4" t="s">
        <v>1804</v>
      </c>
      <c r="C2264" s="4" t="s">
        <v>985</v>
      </c>
      <c r="D2264" s="4" t="s">
        <v>213</v>
      </c>
      <c r="E2264" s="4" t="s">
        <v>63</v>
      </c>
      <c r="F2264" s="4" t="s">
        <v>63</v>
      </c>
      <c r="G2264" s="4" t="s">
        <v>1808</v>
      </c>
      <c r="H2264" s="4"/>
      <c r="I2264" s="4" t="n">
        <v>1.7245</v>
      </c>
      <c r="J2264" s="4" t="str">
        <f aca="false">TRIM(E2264) &amp; TRIM(C2264) &amp; TRIM(D2264)</f>
        <v>First ReviewR&amp;F AdsFR</v>
      </c>
      <c r="K2264" s="4" t="n">
        <f aca="false">IFERROR(I2264*60,"")</f>
        <v>103.47</v>
      </c>
    </row>
    <row r="2265" customFormat="false" ht="15" hidden="false" customHeight="false" outlineLevel="0" collapsed="false">
      <c r="A2265" s="4" t="s">
        <v>15</v>
      </c>
      <c r="B2265" s="4" t="s">
        <v>1804</v>
      </c>
      <c r="C2265" s="4" t="s">
        <v>985</v>
      </c>
      <c r="D2265" s="4" t="s">
        <v>157</v>
      </c>
      <c r="E2265" s="4" t="s">
        <v>63</v>
      </c>
      <c r="F2265" s="4" t="s">
        <v>63</v>
      </c>
      <c r="G2265" s="4" t="s">
        <v>1809</v>
      </c>
      <c r="H2265" s="4"/>
      <c r="I2265" s="4" t="n">
        <v>1.2925</v>
      </c>
      <c r="J2265" s="4" t="str">
        <f aca="false">TRIM(E2265) &amp; TRIM(C2265) &amp; TRIM(D2265)</f>
        <v>First ReviewR&amp;F AdsSA</v>
      </c>
      <c r="K2265" s="4" t="n">
        <f aca="false">IFERROR(I2265*60,"")</f>
        <v>77.55</v>
      </c>
    </row>
    <row r="2266" customFormat="false" ht="15" hidden="false" customHeight="false" outlineLevel="0" collapsed="false">
      <c r="A2266" s="4" t="s">
        <v>15</v>
      </c>
      <c r="B2266" s="4" t="s">
        <v>1804</v>
      </c>
      <c r="C2266" s="4" t="s">
        <v>985</v>
      </c>
      <c r="D2266" s="4" t="s">
        <v>87</v>
      </c>
      <c r="E2266" s="4" t="s">
        <v>63</v>
      </c>
      <c r="F2266" s="4" t="s">
        <v>63</v>
      </c>
      <c r="G2266" s="4" t="s">
        <v>986</v>
      </c>
      <c r="H2266" s="4"/>
      <c r="I2266" s="4" t="n">
        <v>0.1949</v>
      </c>
      <c r="J2266" s="4" t="str">
        <f aca="false">TRIM(E2266) &amp; TRIM(C2266) &amp; TRIM(D2266)</f>
        <v>First ReviewR&amp;F AdsAE</v>
      </c>
      <c r="K2266" s="4" t="n">
        <f aca="false">IFERROR(I2266*60,"")</f>
        <v>11.694</v>
      </c>
    </row>
    <row r="2267" customFormat="false" ht="15" hidden="false" customHeight="false" outlineLevel="0" collapsed="false">
      <c r="A2267" s="4" t="s">
        <v>15</v>
      </c>
      <c r="B2267" s="4" t="s">
        <v>1804</v>
      </c>
      <c r="C2267" s="4" t="s">
        <v>985</v>
      </c>
      <c r="D2267" s="4" t="s">
        <v>197</v>
      </c>
      <c r="E2267" s="4" t="s">
        <v>63</v>
      </c>
      <c r="F2267" s="4" t="s">
        <v>63</v>
      </c>
      <c r="G2267" s="4" t="s">
        <v>1810</v>
      </c>
      <c r="H2267" s="4"/>
      <c r="I2267" s="4" t="n">
        <v>2.7643</v>
      </c>
      <c r="J2267" s="4" t="str">
        <f aca="false">TRIM(E2267) &amp; TRIM(C2267) &amp; TRIM(D2267)</f>
        <v>First ReviewR&amp;F AdsGR</v>
      </c>
      <c r="K2267" s="4" t="n">
        <f aca="false">IFERROR(I2267*60,"")</f>
        <v>165.858</v>
      </c>
    </row>
    <row r="2268" customFormat="false" ht="15" hidden="false" customHeight="false" outlineLevel="0" collapsed="false">
      <c r="A2268" s="4" t="s">
        <v>15</v>
      </c>
      <c r="B2268" s="4" t="s">
        <v>1804</v>
      </c>
      <c r="C2268" s="4" t="s">
        <v>985</v>
      </c>
      <c r="D2268" s="4" t="s">
        <v>168</v>
      </c>
      <c r="E2268" s="4" t="s">
        <v>63</v>
      </c>
      <c r="F2268" s="4" t="s">
        <v>63</v>
      </c>
      <c r="G2268" s="4" t="s">
        <v>1811</v>
      </c>
      <c r="H2268" s="4"/>
      <c r="I2268" s="4" t="n">
        <v>1.8769</v>
      </c>
      <c r="J2268" s="4" t="str">
        <f aca="false">TRIM(E2268) &amp; TRIM(C2268) &amp; TRIM(D2268)</f>
        <v>First ReviewR&amp;F AdsKZ</v>
      </c>
      <c r="K2268" s="4" t="n">
        <f aca="false">IFERROR(I2268*60,"")</f>
        <v>112.614</v>
      </c>
    </row>
    <row r="2269" customFormat="false" ht="15" hidden="false" customHeight="false" outlineLevel="0" collapsed="false">
      <c r="A2269" s="4" t="s">
        <v>15</v>
      </c>
      <c r="B2269" s="4" t="s">
        <v>1804</v>
      </c>
      <c r="C2269" s="4" t="s">
        <v>985</v>
      </c>
      <c r="D2269" s="4" t="s">
        <v>306</v>
      </c>
      <c r="E2269" s="4" t="s">
        <v>63</v>
      </c>
      <c r="F2269" s="4" t="s">
        <v>63</v>
      </c>
      <c r="G2269" s="4" t="s">
        <v>1052</v>
      </c>
      <c r="H2269" s="4"/>
      <c r="I2269" s="4" t="n">
        <v>1.8517</v>
      </c>
      <c r="J2269" s="4" t="str">
        <f aca="false">TRIM(E2269) &amp; TRIM(C2269) &amp; TRIM(D2269)</f>
        <v>First ReviewR&amp;F AdsTH</v>
      </c>
      <c r="K2269" s="4" t="n">
        <f aca="false">IFERROR(I2269*60,"")</f>
        <v>111.102</v>
      </c>
    </row>
    <row r="2270" customFormat="false" ht="15" hidden="false" customHeight="false" outlineLevel="0" collapsed="false">
      <c r="A2270" s="4" t="s">
        <v>15</v>
      </c>
      <c r="B2270" s="4" t="s">
        <v>1804</v>
      </c>
      <c r="C2270" s="4" t="s">
        <v>985</v>
      </c>
      <c r="D2270" s="4" t="s">
        <v>251</v>
      </c>
      <c r="E2270" s="4" t="s">
        <v>63</v>
      </c>
      <c r="F2270" s="4" t="s">
        <v>63</v>
      </c>
      <c r="G2270" s="4" t="s">
        <v>1071</v>
      </c>
      <c r="H2270" s="4"/>
      <c r="I2270" s="4" t="n">
        <v>4.121</v>
      </c>
      <c r="J2270" s="4" t="str">
        <f aca="false">TRIM(E2270) &amp; TRIM(C2270) &amp; TRIM(D2270)</f>
        <v>First ReviewR&amp;F AdsRO</v>
      </c>
      <c r="K2270" s="4" t="n">
        <f aca="false">IFERROR(I2270*60,"")</f>
        <v>247.26</v>
      </c>
    </row>
    <row r="2271" customFormat="false" ht="15" hidden="false" customHeight="false" outlineLevel="0" collapsed="false">
      <c r="A2271" s="4" t="s">
        <v>15</v>
      </c>
      <c r="B2271" s="4" t="s">
        <v>1804</v>
      </c>
      <c r="C2271" s="4" t="s">
        <v>985</v>
      </c>
      <c r="D2271" s="4" t="s">
        <v>126</v>
      </c>
      <c r="E2271" s="4" t="s">
        <v>63</v>
      </c>
      <c r="F2271" s="4" t="s">
        <v>63</v>
      </c>
      <c r="G2271" s="4" t="s">
        <v>1129</v>
      </c>
      <c r="H2271" s="4"/>
      <c r="I2271" s="4" t="n">
        <v>1.9264</v>
      </c>
      <c r="J2271" s="4" t="str">
        <f aca="false">TRIM(E2271) &amp; TRIM(C2271) &amp; TRIM(D2271)</f>
        <v>First ReviewR&amp;F AdsMX</v>
      </c>
      <c r="K2271" s="4" t="n">
        <f aca="false">IFERROR(I2271*60,"")</f>
        <v>115.584</v>
      </c>
    </row>
    <row r="2272" customFormat="false" ht="15" hidden="false" customHeight="false" outlineLevel="0" collapsed="false">
      <c r="A2272" s="4" t="s">
        <v>15</v>
      </c>
      <c r="B2272" s="4" t="s">
        <v>1804</v>
      </c>
      <c r="C2272" s="4" t="s">
        <v>985</v>
      </c>
      <c r="D2272" s="4" t="s">
        <v>308</v>
      </c>
      <c r="E2272" s="4" t="s">
        <v>63</v>
      </c>
      <c r="F2272" s="4" t="s">
        <v>63</v>
      </c>
      <c r="G2272" s="4" t="s">
        <v>1043</v>
      </c>
      <c r="H2272" s="4"/>
      <c r="I2272" s="4" t="n">
        <v>3.324</v>
      </c>
      <c r="J2272" s="4" t="str">
        <f aca="false">TRIM(E2272) &amp; TRIM(C2272) &amp; TRIM(D2272)</f>
        <v>First ReviewR&amp;F AdsPL</v>
      </c>
      <c r="K2272" s="4" t="n">
        <f aca="false">IFERROR(I2272*60,"")</f>
        <v>199.44</v>
      </c>
    </row>
    <row r="2273" customFormat="false" ht="15" hidden="false" customHeight="false" outlineLevel="0" collapsed="false">
      <c r="A2273" s="4" t="s">
        <v>15</v>
      </c>
      <c r="B2273" s="4" t="s">
        <v>1804</v>
      </c>
      <c r="C2273" s="4" t="s">
        <v>985</v>
      </c>
      <c r="D2273" s="4" t="s">
        <v>124</v>
      </c>
      <c r="E2273" s="4" t="s">
        <v>63</v>
      </c>
      <c r="F2273" s="4" t="s">
        <v>63</v>
      </c>
      <c r="G2273" s="4" t="s">
        <v>1812</v>
      </c>
      <c r="H2273" s="4"/>
      <c r="I2273" s="4" t="n">
        <v>4.2806</v>
      </c>
      <c r="J2273" s="4" t="str">
        <f aca="false">TRIM(E2273) &amp; TRIM(C2273) &amp; TRIM(D2273)</f>
        <v>First ReviewR&amp;F AdsPT</v>
      </c>
      <c r="K2273" s="4" t="n">
        <f aca="false">IFERROR(I2273*60,"")</f>
        <v>256.836</v>
      </c>
    </row>
    <row r="2274" customFormat="false" ht="15" hidden="false" customHeight="false" outlineLevel="0" collapsed="false">
      <c r="A2274" s="4" t="s">
        <v>15</v>
      </c>
      <c r="B2274" s="4" t="s">
        <v>1804</v>
      </c>
      <c r="C2274" s="4" t="s">
        <v>985</v>
      </c>
      <c r="D2274" s="4" t="s">
        <v>235</v>
      </c>
      <c r="E2274" s="4" t="s">
        <v>63</v>
      </c>
      <c r="F2274" s="4" t="s">
        <v>63</v>
      </c>
      <c r="G2274" s="4" t="s">
        <v>1021</v>
      </c>
      <c r="H2274" s="4"/>
      <c r="I2274" s="4" t="n">
        <v>4.9239</v>
      </c>
      <c r="J2274" s="4" t="str">
        <f aca="false">TRIM(E2274) &amp; TRIM(C2274) &amp; TRIM(D2274)</f>
        <v>First ReviewR&amp;F AdsJP</v>
      </c>
      <c r="K2274" s="4" t="n">
        <f aca="false">IFERROR(I2274*60,"")</f>
        <v>295.434</v>
      </c>
    </row>
    <row r="2275" customFormat="false" ht="15" hidden="false" customHeight="false" outlineLevel="0" collapsed="false">
      <c r="A2275" s="4" t="s">
        <v>15</v>
      </c>
      <c r="B2275" s="4" t="s">
        <v>1804</v>
      </c>
      <c r="C2275" s="4" t="s">
        <v>985</v>
      </c>
      <c r="D2275" s="4" t="s">
        <v>97</v>
      </c>
      <c r="E2275" s="4" t="s">
        <v>63</v>
      </c>
      <c r="F2275" s="4" t="s">
        <v>63</v>
      </c>
      <c r="G2275" s="4" t="s">
        <v>1813</v>
      </c>
      <c r="H2275" s="4"/>
      <c r="I2275" s="4" t="n">
        <v>2.4692</v>
      </c>
      <c r="J2275" s="4" t="str">
        <f aca="false">TRIM(E2275) &amp; TRIM(C2275) &amp; TRIM(D2275)</f>
        <v>First ReviewR&amp;F AdsBR</v>
      </c>
      <c r="K2275" s="4" t="n">
        <f aca="false">IFERROR(I2275*60,"")</f>
        <v>148.152</v>
      </c>
    </row>
    <row r="2276" customFormat="false" ht="15" hidden="false" customHeight="false" outlineLevel="0" collapsed="false">
      <c r="A2276" s="4" t="s">
        <v>15</v>
      </c>
      <c r="B2276" s="4" t="s">
        <v>1804</v>
      </c>
      <c r="C2276" s="4" t="s">
        <v>985</v>
      </c>
      <c r="D2276" s="4" t="s">
        <v>284</v>
      </c>
      <c r="E2276" s="4" t="s">
        <v>63</v>
      </c>
      <c r="F2276" s="4" t="s">
        <v>63</v>
      </c>
      <c r="G2276" s="4" t="s">
        <v>1056</v>
      </c>
      <c r="H2276" s="4"/>
      <c r="I2276" s="4" t="n">
        <v>2.2574</v>
      </c>
      <c r="J2276" s="4" t="str">
        <f aca="false">TRIM(E2276) &amp; TRIM(C2276) &amp; TRIM(D2276)</f>
        <v>First ReviewR&amp;F AdsTR</v>
      </c>
      <c r="K2276" s="4" t="n">
        <f aca="false">IFERROR(I2276*60,"")</f>
        <v>135.444</v>
      </c>
    </row>
    <row r="2277" customFormat="false" ht="15" hidden="false" customHeight="false" outlineLevel="0" collapsed="false">
      <c r="A2277" s="4" t="s">
        <v>15</v>
      </c>
      <c r="B2277" s="4" t="s">
        <v>1804</v>
      </c>
      <c r="C2277" s="4" t="s">
        <v>985</v>
      </c>
      <c r="D2277" s="4" t="s">
        <v>243</v>
      </c>
      <c r="E2277" s="4" t="s">
        <v>63</v>
      </c>
      <c r="F2277" s="4" t="s">
        <v>63</v>
      </c>
      <c r="G2277" s="4" t="s">
        <v>1081</v>
      </c>
      <c r="H2277" s="4"/>
      <c r="I2277" s="4" t="n">
        <v>6.6285</v>
      </c>
      <c r="J2277" s="4" t="str">
        <f aca="false">TRIM(E2277) &amp; TRIM(C2277) &amp; TRIM(D2277)</f>
        <v>First ReviewR&amp;F AdsBY</v>
      </c>
      <c r="K2277" s="4" t="n">
        <f aca="false">IFERROR(I2277*60,"")</f>
        <v>397.71</v>
      </c>
    </row>
    <row r="2278" customFormat="false" ht="15" hidden="false" customHeight="false" outlineLevel="0" collapsed="false">
      <c r="A2278" s="4" t="s">
        <v>15</v>
      </c>
      <c r="B2278" s="4" t="s">
        <v>1804</v>
      </c>
      <c r="C2278" s="4" t="s">
        <v>985</v>
      </c>
      <c r="D2278" s="4" t="s">
        <v>267</v>
      </c>
      <c r="E2278" s="4" t="s">
        <v>63</v>
      </c>
      <c r="F2278" s="4" t="s">
        <v>63</v>
      </c>
      <c r="G2278" s="4" t="s">
        <v>1036</v>
      </c>
      <c r="H2278" s="4"/>
      <c r="I2278" s="4" t="n">
        <v>5.1674</v>
      </c>
      <c r="J2278" s="4" t="str">
        <f aca="false">TRIM(E2278) &amp; TRIM(C2278) &amp; TRIM(D2278)</f>
        <v>First ReviewR&amp;F AdsID</v>
      </c>
      <c r="K2278" s="4" t="n">
        <f aca="false">IFERROR(I2278*60,"")</f>
        <v>310.044</v>
      </c>
    </row>
    <row r="2279" customFormat="false" ht="15" hidden="false" customHeight="false" outlineLevel="0" collapsed="false">
      <c r="A2279" s="4" t="s">
        <v>15</v>
      </c>
      <c r="B2279" s="4" t="s">
        <v>1804</v>
      </c>
      <c r="C2279" s="4" t="s">
        <v>985</v>
      </c>
      <c r="D2279" s="4" t="s">
        <v>275</v>
      </c>
      <c r="E2279" s="4" t="s">
        <v>63</v>
      </c>
      <c r="F2279" s="4" t="s">
        <v>63</v>
      </c>
      <c r="G2279" s="4" t="s">
        <v>1083</v>
      </c>
      <c r="H2279" s="4"/>
      <c r="I2279" s="4" t="n">
        <v>5.4465</v>
      </c>
      <c r="J2279" s="4" t="str">
        <f aca="false">TRIM(E2279) &amp; TRIM(C2279) &amp; TRIM(D2279)</f>
        <v>First ReviewR&amp;F AdsGB</v>
      </c>
      <c r="K2279" s="4" t="n">
        <f aca="false">IFERROR(I2279*60,"")</f>
        <v>326.79</v>
      </c>
    </row>
    <row r="2280" customFormat="false" ht="15" hidden="false" customHeight="false" outlineLevel="0" collapsed="false">
      <c r="A2280" s="4" t="s">
        <v>15</v>
      </c>
      <c r="B2280" s="4" t="s">
        <v>1804</v>
      </c>
      <c r="C2280" s="4" t="s">
        <v>985</v>
      </c>
      <c r="D2280" s="4" t="s">
        <v>136</v>
      </c>
      <c r="E2280" s="4" t="s">
        <v>63</v>
      </c>
      <c r="F2280" s="4" t="s">
        <v>63</v>
      </c>
      <c r="G2280" s="4" t="s">
        <v>1063</v>
      </c>
      <c r="H2280" s="4"/>
      <c r="I2280" s="4" t="n">
        <v>2.0106</v>
      </c>
      <c r="J2280" s="4" t="str">
        <f aca="false">TRIM(E2280) &amp; TRIM(C2280) &amp; TRIM(D2280)</f>
        <v>First ReviewR&amp;F AdsPE</v>
      </c>
      <c r="K2280" s="4" t="n">
        <f aca="false">IFERROR(I2280*60,"")</f>
        <v>120.636</v>
      </c>
    </row>
    <row r="2281" customFormat="false" ht="15" hidden="false" customHeight="false" outlineLevel="0" collapsed="false">
      <c r="A2281" s="4" t="s">
        <v>15</v>
      </c>
      <c r="B2281" s="4" t="s">
        <v>1804</v>
      </c>
      <c r="C2281" s="4" t="s">
        <v>985</v>
      </c>
      <c r="D2281" s="4" t="s">
        <v>238</v>
      </c>
      <c r="E2281" s="4" t="s">
        <v>63</v>
      </c>
      <c r="F2281" s="4" t="s">
        <v>63</v>
      </c>
      <c r="G2281" s="4" t="s">
        <v>1814</v>
      </c>
      <c r="H2281" s="4"/>
      <c r="I2281" s="4" t="n">
        <v>0.4184</v>
      </c>
      <c r="J2281" s="4" t="str">
        <f aca="false">TRIM(E2281) &amp; TRIM(C2281) &amp; TRIM(D2281)</f>
        <v>First ReviewR&amp;F AdsCH</v>
      </c>
      <c r="K2281" s="4" t="n">
        <f aca="false">IFERROR(I2281*60,"")</f>
        <v>25.104</v>
      </c>
    </row>
    <row r="2282" customFormat="false" ht="15" hidden="false" customHeight="false" outlineLevel="0" collapsed="false">
      <c r="A2282" s="4" t="s">
        <v>15</v>
      </c>
      <c r="B2282" s="4" t="s">
        <v>1804</v>
      </c>
      <c r="C2282" s="4" t="s">
        <v>985</v>
      </c>
      <c r="D2282" s="4" t="s">
        <v>203</v>
      </c>
      <c r="E2282" s="4" t="s">
        <v>63</v>
      </c>
      <c r="F2282" s="4" t="s">
        <v>63</v>
      </c>
      <c r="G2282" s="4" t="s">
        <v>1815</v>
      </c>
      <c r="H2282" s="4"/>
      <c r="I2282" s="4" t="n">
        <v>1.5053</v>
      </c>
      <c r="J2282" s="4" t="str">
        <f aca="false">TRIM(E2282) &amp; TRIM(C2282) &amp; TRIM(D2282)</f>
        <v>First ReviewR&amp;F AdsCA</v>
      </c>
      <c r="K2282" s="4" t="n">
        <f aca="false">IFERROR(I2282*60,"")</f>
        <v>90.318</v>
      </c>
    </row>
    <row r="2283" customFormat="false" ht="15" hidden="false" customHeight="false" outlineLevel="0" collapsed="false">
      <c r="A2283" s="4" t="s">
        <v>15</v>
      </c>
      <c r="B2283" s="4" t="s">
        <v>1804</v>
      </c>
      <c r="C2283" s="4" t="s">
        <v>985</v>
      </c>
      <c r="D2283" s="4" t="s">
        <v>154</v>
      </c>
      <c r="E2283" s="4" t="s">
        <v>63</v>
      </c>
      <c r="F2283" s="4" t="s">
        <v>63</v>
      </c>
      <c r="G2283" s="4" t="s">
        <v>1072</v>
      </c>
      <c r="H2283" s="4"/>
      <c r="I2283" s="4" t="n">
        <v>0.36</v>
      </c>
      <c r="J2283" s="4" t="str">
        <f aca="false">TRIM(E2283) &amp; TRIM(C2283) &amp; TRIM(D2283)</f>
        <v>First ReviewR&amp;F AdsES</v>
      </c>
      <c r="K2283" s="4" t="n">
        <f aca="false">IFERROR(I2283*60,"")</f>
        <v>21.6</v>
      </c>
    </row>
    <row r="2284" customFormat="false" ht="15" hidden="false" customHeight="false" outlineLevel="0" collapsed="false">
      <c r="A2284" s="4" t="s">
        <v>15</v>
      </c>
      <c r="B2284" s="4" t="s">
        <v>1804</v>
      </c>
      <c r="C2284" s="4" t="s">
        <v>985</v>
      </c>
      <c r="D2284" s="4" t="s">
        <v>100</v>
      </c>
      <c r="E2284" s="4" t="s">
        <v>63</v>
      </c>
      <c r="F2284" s="4" t="s">
        <v>63</v>
      </c>
      <c r="G2284" s="4" t="s">
        <v>1033</v>
      </c>
      <c r="H2284" s="4"/>
      <c r="I2284" s="4" t="n">
        <v>1.8907</v>
      </c>
      <c r="J2284" s="4" t="str">
        <f aca="false">TRIM(E2284) &amp; TRIM(C2284) &amp; TRIM(D2284)</f>
        <v>First ReviewR&amp;F AdsAU</v>
      </c>
      <c r="K2284" s="4" t="n">
        <f aca="false">IFERROR(I2284*60,"")</f>
        <v>113.442</v>
      </c>
    </row>
    <row r="2285" customFormat="false" ht="15" hidden="false" customHeight="false" outlineLevel="0" collapsed="false">
      <c r="A2285" s="4" t="s">
        <v>15</v>
      </c>
      <c r="B2285" s="4" t="s">
        <v>1804</v>
      </c>
      <c r="C2285" s="4" t="s">
        <v>985</v>
      </c>
      <c r="D2285" s="4" t="s">
        <v>106</v>
      </c>
      <c r="E2285" s="4" t="s">
        <v>63</v>
      </c>
      <c r="F2285" s="4" t="s">
        <v>63</v>
      </c>
      <c r="G2285" s="4" t="s">
        <v>1816</v>
      </c>
      <c r="H2285" s="4"/>
      <c r="I2285" s="4" t="n">
        <v>2.8319</v>
      </c>
      <c r="J2285" s="4" t="str">
        <f aca="false">TRIM(E2285) &amp; TRIM(C2285) &amp; TRIM(D2285)</f>
        <v>First ReviewR&amp;F AdsMY</v>
      </c>
      <c r="K2285" s="4" t="n">
        <f aca="false">IFERROR(I2285*60,"")</f>
        <v>169.914</v>
      </c>
    </row>
    <row r="2286" customFormat="false" ht="15" hidden="false" customHeight="false" outlineLevel="0" collapsed="false">
      <c r="A2286" s="4" t="s">
        <v>15</v>
      </c>
      <c r="B2286" s="4" t="s">
        <v>1804</v>
      </c>
      <c r="C2286" s="4" t="s">
        <v>985</v>
      </c>
      <c r="D2286" s="4" t="s">
        <v>458</v>
      </c>
      <c r="E2286" s="4" t="s">
        <v>63</v>
      </c>
      <c r="F2286" s="4" t="s">
        <v>63</v>
      </c>
      <c r="G2286" s="4" t="s">
        <v>1031</v>
      </c>
      <c r="H2286" s="4"/>
      <c r="I2286" s="4" t="n">
        <v>6.5413</v>
      </c>
      <c r="J2286" s="4" t="str">
        <f aca="false">TRIM(E2286) &amp; TRIM(C2286) &amp; TRIM(D2286)</f>
        <v>First ReviewR&amp;F AdsTW</v>
      </c>
      <c r="K2286" s="4" t="n">
        <f aca="false">IFERROR(I2286*60,"")</f>
        <v>392.478</v>
      </c>
    </row>
    <row r="2287" customFormat="false" ht="15" hidden="false" customHeight="false" outlineLevel="0" collapsed="false">
      <c r="A2287" s="4" t="s">
        <v>15</v>
      </c>
      <c r="B2287" s="4" t="s">
        <v>1804</v>
      </c>
      <c r="C2287" s="4" t="s">
        <v>985</v>
      </c>
      <c r="D2287" s="4" t="s">
        <v>121</v>
      </c>
      <c r="E2287" s="4" t="s">
        <v>63</v>
      </c>
      <c r="F2287" s="4" t="s">
        <v>63</v>
      </c>
      <c r="G2287" s="4" t="s">
        <v>1817</v>
      </c>
      <c r="H2287" s="4"/>
      <c r="I2287" s="4" t="n">
        <v>2.6155</v>
      </c>
      <c r="J2287" s="4" t="str">
        <f aca="false">TRIM(E2287) &amp; TRIM(C2287) &amp; TRIM(D2287)</f>
        <v>First ReviewR&amp;F AdsKR</v>
      </c>
      <c r="K2287" s="4" t="n">
        <f aca="false">IFERROR(I2287*60,"")</f>
        <v>156.93</v>
      </c>
    </row>
    <row r="2288" customFormat="false" ht="15" hidden="false" customHeight="false" outlineLevel="0" collapsed="false">
      <c r="A2288" s="4" t="s">
        <v>15</v>
      </c>
      <c r="B2288" s="4" t="s">
        <v>1818</v>
      </c>
      <c r="C2288" s="4" t="s">
        <v>1819</v>
      </c>
      <c r="D2288" s="4" t="s">
        <v>275</v>
      </c>
      <c r="E2288" s="4" t="s">
        <v>63</v>
      </c>
      <c r="F2288" s="4" t="s">
        <v>63</v>
      </c>
      <c r="G2288" s="4" t="s">
        <v>1820</v>
      </c>
      <c r="H2288" s="4"/>
      <c r="I2288" s="4" t="n">
        <v>0.0822</v>
      </c>
      <c r="J2288" s="4" t="str">
        <f aca="false">TRIM(E2288) &amp; TRIM(C2288) &amp; TRIM(D2288)</f>
        <v>First ReviewSearch Ads KeywordGB</v>
      </c>
      <c r="K2288" s="4" t="n">
        <f aca="false">IFERROR(I2288*60,"")</f>
        <v>4.932</v>
      </c>
    </row>
    <row r="2289" customFormat="false" ht="15" hidden="false" customHeight="false" outlineLevel="0" collapsed="false">
      <c r="A2289" s="4" t="s">
        <v>15</v>
      </c>
      <c r="B2289" s="4" t="s">
        <v>1818</v>
      </c>
      <c r="C2289" s="4" t="s">
        <v>1819</v>
      </c>
      <c r="D2289" s="4" t="s">
        <v>111</v>
      </c>
      <c r="E2289" s="4" t="s">
        <v>63</v>
      </c>
      <c r="F2289" s="4" t="s">
        <v>63</v>
      </c>
      <c r="G2289" s="4" t="s">
        <v>1821</v>
      </c>
      <c r="H2289" s="4"/>
      <c r="I2289" s="4" t="n">
        <v>0.2707</v>
      </c>
      <c r="J2289" s="4" t="str">
        <f aca="false">TRIM(E2289) &amp; TRIM(C2289) &amp; TRIM(D2289)</f>
        <v>First ReviewSearch Ads KeywordUS</v>
      </c>
      <c r="K2289" s="4" t="n">
        <f aca="false">IFERROR(I2289*60,"")</f>
        <v>16.242</v>
      </c>
    </row>
    <row r="2290" customFormat="false" ht="15" hidden="false" customHeight="false" outlineLevel="0" collapsed="false">
      <c r="A2290" s="4" t="s">
        <v>15</v>
      </c>
      <c r="B2290" s="4" t="s">
        <v>1818</v>
      </c>
      <c r="C2290" s="4" t="s">
        <v>1819</v>
      </c>
      <c r="D2290" s="4" t="s">
        <v>190</v>
      </c>
      <c r="E2290" s="4" t="s">
        <v>63</v>
      </c>
      <c r="F2290" s="4" t="s">
        <v>63</v>
      </c>
      <c r="G2290" s="4" t="s">
        <v>1822</v>
      </c>
      <c r="H2290" s="4"/>
      <c r="I2290" s="4" t="n">
        <v>0.0703</v>
      </c>
      <c r="J2290" s="4" t="str">
        <f aca="false">TRIM(E2290) &amp; TRIM(C2290) &amp; TRIM(D2290)</f>
        <v>First ReviewSearch Ads KeywordPH</v>
      </c>
      <c r="K2290" s="4" t="n">
        <f aca="false">IFERROR(I2290*60,"")</f>
        <v>4.218</v>
      </c>
    </row>
    <row r="2291" customFormat="false" ht="15" hidden="false" customHeight="false" outlineLevel="0" collapsed="false">
      <c r="A2291" s="4" t="s">
        <v>15</v>
      </c>
      <c r="B2291" s="4" t="s">
        <v>1818</v>
      </c>
      <c r="C2291" s="4" t="s">
        <v>1819</v>
      </c>
      <c r="D2291" s="4" t="s">
        <v>203</v>
      </c>
      <c r="E2291" s="4" t="s">
        <v>63</v>
      </c>
      <c r="F2291" s="4" t="s">
        <v>63</v>
      </c>
      <c r="G2291" s="4" t="s">
        <v>1823</v>
      </c>
      <c r="H2291" s="4"/>
      <c r="I2291" s="4" t="n">
        <v>0.2577</v>
      </c>
      <c r="J2291" s="4" t="str">
        <f aca="false">TRIM(E2291) &amp; TRIM(C2291) &amp; TRIM(D2291)</f>
        <v>First ReviewSearch Ads KeywordCA</v>
      </c>
      <c r="K2291" s="4" t="n">
        <f aca="false">IFERROR(I2291*60,"")</f>
        <v>15.462</v>
      </c>
    </row>
    <row r="2292" customFormat="false" ht="15" hidden="false" customHeight="false" outlineLevel="0" collapsed="false">
      <c r="A2292" s="4" t="s">
        <v>15</v>
      </c>
      <c r="B2292" s="4" t="s">
        <v>1818</v>
      </c>
      <c r="C2292" s="4" t="s">
        <v>1819</v>
      </c>
      <c r="D2292" s="4" t="s">
        <v>306</v>
      </c>
      <c r="E2292" s="4" t="s">
        <v>63</v>
      </c>
      <c r="F2292" s="4" t="s">
        <v>63</v>
      </c>
      <c r="G2292" s="4" t="s">
        <v>1824</v>
      </c>
      <c r="H2292" s="4"/>
      <c r="I2292" s="4" t="n">
        <v>0.1118</v>
      </c>
      <c r="J2292" s="4" t="str">
        <f aca="false">TRIM(E2292) &amp; TRIM(C2292) &amp; TRIM(D2292)</f>
        <v>First ReviewSearch Ads KeywordTH</v>
      </c>
      <c r="K2292" s="4" t="n">
        <f aca="false">IFERROR(I2292*60,"")</f>
        <v>6.708</v>
      </c>
    </row>
    <row r="2293" customFormat="false" ht="15" hidden="false" customHeight="false" outlineLevel="0" collapsed="false">
      <c r="A2293" s="4" t="s">
        <v>15</v>
      </c>
      <c r="B2293" s="4" t="s">
        <v>1818</v>
      </c>
      <c r="C2293" s="4" t="s">
        <v>1819</v>
      </c>
      <c r="D2293" s="4" t="s">
        <v>267</v>
      </c>
      <c r="E2293" s="4" t="s">
        <v>63</v>
      </c>
      <c r="F2293" s="4" t="s">
        <v>63</v>
      </c>
      <c r="G2293" s="4" t="s">
        <v>1825</v>
      </c>
      <c r="H2293" s="4"/>
      <c r="I2293" s="4" t="n">
        <v>0.3394</v>
      </c>
      <c r="J2293" s="4" t="str">
        <f aca="false">TRIM(E2293) &amp; TRIM(C2293) &amp; TRIM(D2293)</f>
        <v>First ReviewSearch Ads KeywordID</v>
      </c>
      <c r="K2293" s="4" t="n">
        <f aca="false">IFERROR(I2293*60,"")</f>
        <v>20.364</v>
      </c>
    </row>
    <row r="2294" customFormat="false" ht="15" hidden="false" customHeight="false" outlineLevel="0" collapsed="false">
      <c r="A2294" s="4" t="s">
        <v>15</v>
      </c>
      <c r="B2294" s="4" t="s">
        <v>1818</v>
      </c>
      <c r="C2294" s="4" t="s">
        <v>1819</v>
      </c>
      <c r="D2294" s="4" t="s">
        <v>106</v>
      </c>
      <c r="E2294" s="4" t="s">
        <v>63</v>
      </c>
      <c r="F2294" s="4" t="s">
        <v>63</v>
      </c>
      <c r="G2294" s="4" t="s">
        <v>1826</v>
      </c>
      <c r="H2294" s="4"/>
      <c r="I2294" s="4" t="n">
        <v>0.2651</v>
      </c>
      <c r="J2294" s="4" t="str">
        <f aca="false">TRIM(E2294) &amp; TRIM(C2294) &amp; TRIM(D2294)</f>
        <v>First ReviewSearch Ads KeywordMY</v>
      </c>
      <c r="K2294" s="4" t="n">
        <f aca="false">IFERROR(I2294*60,"")</f>
        <v>15.906</v>
      </c>
    </row>
    <row r="2295" customFormat="false" ht="15" hidden="false" customHeight="false" outlineLevel="0" collapsed="false">
      <c r="A2295" s="4" t="s">
        <v>15</v>
      </c>
      <c r="B2295" s="4" t="s">
        <v>1818</v>
      </c>
      <c r="C2295" s="4" t="s">
        <v>1819</v>
      </c>
      <c r="D2295" s="4" t="s">
        <v>111</v>
      </c>
      <c r="E2295" s="4" t="s">
        <v>59</v>
      </c>
      <c r="F2295" s="4" t="s">
        <v>59</v>
      </c>
      <c r="G2295" s="4" t="s">
        <v>1821</v>
      </c>
      <c r="H2295" s="4"/>
      <c r="I2295" s="4" t="n">
        <v>2.2991</v>
      </c>
      <c r="J2295" s="4" t="str">
        <f aca="false">TRIM(E2295) &amp; TRIM(C2295) &amp; TRIM(D2295)</f>
        <v>Re-reviewSearch Ads KeywordUS</v>
      </c>
      <c r="K2295" s="4" t="n">
        <f aca="false">IFERROR(I2295*60,"")</f>
        <v>137.946</v>
      </c>
    </row>
    <row r="2296" customFormat="false" ht="15" hidden="false" customHeight="false" outlineLevel="0" collapsed="false">
      <c r="A2296" s="4" t="s">
        <v>15</v>
      </c>
      <c r="B2296" s="4" t="s">
        <v>1818</v>
      </c>
      <c r="C2296" s="4" t="s">
        <v>1819</v>
      </c>
      <c r="D2296" s="4" t="s">
        <v>95</v>
      </c>
      <c r="E2296" s="4" t="s">
        <v>63</v>
      </c>
      <c r="F2296" s="4" t="s">
        <v>63</v>
      </c>
      <c r="G2296" s="4" t="s">
        <v>1827</v>
      </c>
      <c r="H2296" s="4"/>
      <c r="I2296" s="4" t="n">
        <v>0.3186</v>
      </c>
      <c r="J2296" s="4" t="str">
        <f aca="false">TRIM(E2296) &amp; TRIM(C2296) &amp; TRIM(D2296)</f>
        <v>First ReviewSearch Ads KeywordVN</v>
      </c>
      <c r="K2296" s="4" t="n">
        <f aca="false">IFERROR(I2296*60,"")</f>
        <v>19.116</v>
      </c>
    </row>
    <row r="2297" customFormat="false" ht="15" hidden="false" customHeight="false" outlineLevel="0" collapsed="false">
      <c r="A2297" s="4" t="s">
        <v>15</v>
      </c>
      <c r="B2297" s="4" t="s">
        <v>1828</v>
      </c>
      <c r="C2297" s="4" t="s">
        <v>1829</v>
      </c>
      <c r="D2297" s="4" t="s">
        <v>157</v>
      </c>
      <c r="E2297" s="4" t="s">
        <v>63</v>
      </c>
      <c r="F2297" s="4" t="s">
        <v>63</v>
      </c>
      <c r="G2297" s="4" t="s">
        <v>1830</v>
      </c>
      <c r="H2297" s="4"/>
      <c r="I2297" s="4" t="n">
        <v>0.8197</v>
      </c>
      <c r="J2297" s="4" t="str">
        <f aca="false">TRIM(E2297) &amp; TRIM(C2297) &amp; TRIM(D2297)</f>
        <v>First ReviewDynamic Catalog WholeProdSA</v>
      </c>
      <c r="K2297" s="4" t="n">
        <f aca="false">IFERROR(I2297*60,"")</f>
        <v>49.182</v>
      </c>
    </row>
    <row r="2298" customFormat="false" ht="15" hidden="false" customHeight="false" outlineLevel="0" collapsed="false">
      <c r="A2298" s="4" t="s">
        <v>15</v>
      </c>
      <c r="B2298" s="4" t="s">
        <v>1828</v>
      </c>
      <c r="C2298" s="4" t="s">
        <v>1831</v>
      </c>
      <c r="D2298" s="4" t="s">
        <v>267</v>
      </c>
      <c r="E2298" s="4" t="s">
        <v>63</v>
      </c>
      <c r="F2298" s="4" t="s">
        <v>63</v>
      </c>
      <c r="G2298" s="4" t="s">
        <v>1832</v>
      </c>
      <c r="H2298" s="4"/>
      <c r="I2298" s="4" t="n">
        <v>1.4495</v>
      </c>
      <c r="J2298" s="4" t="str">
        <f aca="false">TRIM(E2298) &amp; TRIM(C2298) &amp; TRIM(D2298)</f>
        <v>First ReviewCatalog Ads LivestreamID</v>
      </c>
      <c r="K2298" s="4" t="n">
        <f aca="false">IFERROR(I2298*60,"")</f>
        <v>86.97</v>
      </c>
    </row>
    <row r="2299" customFormat="false" ht="15" hidden="false" customHeight="false" outlineLevel="0" collapsed="false">
      <c r="A2299" s="4" t="s">
        <v>15</v>
      </c>
      <c r="B2299" s="4" t="s">
        <v>1828</v>
      </c>
      <c r="C2299" s="4" t="s">
        <v>1831</v>
      </c>
      <c r="D2299" s="4" t="s">
        <v>306</v>
      </c>
      <c r="E2299" s="4" t="s">
        <v>66</v>
      </c>
      <c r="F2299" s="4" t="s">
        <v>67</v>
      </c>
      <c r="G2299" s="4" t="s">
        <v>1833</v>
      </c>
      <c r="H2299" s="4"/>
      <c r="I2299" s="4" t="n">
        <v>0.824</v>
      </c>
      <c r="J2299" s="4" t="str">
        <f aca="false">TRIM(E2299) &amp; TRIM(C2299) &amp; TRIM(D2299)</f>
        <v>Posted RecallCatalog Ads LivestreamTH</v>
      </c>
      <c r="K2299" s="4" t="n">
        <f aca="false">IFERROR(I2299*60,"")</f>
        <v>49.44</v>
      </c>
    </row>
    <row r="2300" customFormat="false" ht="15" hidden="false" customHeight="false" outlineLevel="0" collapsed="false">
      <c r="A2300" s="4" t="s">
        <v>15</v>
      </c>
      <c r="B2300" s="4" t="s">
        <v>1828</v>
      </c>
      <c r="C2300" s="4" t="s">
        <v>1834</v>
      </c>
      <c r="D2300" s="4" t="s">
        <v>95</v>
      </c>
      <c r="E2300" s="4" t="s">
        <v>63</v>
      </c>
      <c r="F2300" s="4" t="s">
        <v>63</v>
      </c>
      <c r="G2300" s="4" t="s">
        <v>1835</v>
      </c>
      <c r="H2300" s="4"/>
      <c r="I2300" s="4" t="n">
        <v>0.9541</v>
      </c>
      <c r="J2300" s="4" t="str">
        <f aca="false">TRIM(E2300) &amp; TRIM(C2300) &amp; TRIM(D2300)</f>
        <v>First ReviewDynamic Catalog Video PackageVN</v>
      </c>
      <c r="K2300" s="4" t="n">
        <f aca="false">IFERROR(I2300*60,"")</f>
        <v>57.246</v>
      </c>
    </row>
    <row r="2301" customFormat="false" ht="15" hidden="false" customHeight="false" outlineLevel="0" collapsed="false">
      <c r="A2301" s="4" t="s">
        <v>15</v>
      </c>
      <c r="B2301" s="4" t="s">
        <v>1828</v>
      </c>
      <c r="C2301" s="4" t="s">
        <v>1834</v>
      </c>
      <c r="D2301" s="4" t="s">
        <v>113</v>
      </c>
      <c r="E2301" s="4" t="s">
        <v>63</v>
      </c>
      <c r="F2301" s="4" t="s">
        <v>63</v>
      </c>
      <c r="G2301" s="4" t="s">
        <v>1836</v>
      </c>
      <c r="H2301" s="4"/>
      <c r="I2301" s="4" t="n">
        <v>0.3678</v>
      </c>
      <c r="J2301" s="4" t="str">
        <f aca="false">TRIM(E2301) &amp; TRIM(C2301) &amp; TRIM(D2301)</f>
        <v>First ReviewDynamic Catalog Video PackageNL</v>
      </c>
      <c r="K2301" s="4" t="n">
        <f aca="false">IFERROR(I2301*60,"")</f>
        <v>22.068</v>
      </c>
    </row>
    <row r="2302" customFormat="false" ht="15" hidden="false" customHeight="false" outlineLevel="0" collapsed="false">
      <c r="A2302" s="4" t="s">
        <v>15</v>
      </c>
      <c r="B2302" s="4" t="s">
        <v>1828</v>
      </c>
      <c r="C2302" s="4" t="s">
        <v>1834</v>
      </c>
      <c r="D2302" s="4" t="s">
        <v>168</v>
      </c>
      <c r="E2302" s="4" t="s">
        <v>63</v>
      </c>
      <c r="F2302" s="4" t="s">
        <v>63</v>
      </c>
      <c r="G2302" s="4" t="s">
        <v>1837</v>
      </c>
      <c r="H2302" s="4"/>
      <c r="I2302" s="4" t="n">
        <v>0.2062</v>
      </c>
      <c r="J2302" s="4" t="str">
        <f aca="false">TRIM(E2302) &amp; TRIM(C2302) &amp; TRIM(D2302)</f>
        <v>First ReviewDynamic Catalog Video PackageKZ</v>
      </c>
      <c r="K2302" s="4" t="n">
        <f aca="false">IFERROR(I2302*60,"")</f>
        <v>12.372</v>
      </c>
    </row>
    <row r="2303" customFormat="false" ht="15" hidden="false" customHeight="false" outlineLevel="0" collapsed="false">
      <c r="A2303" s="4" t="s">
        <v>15</v>
      </c>
      <c r="B2303" s="4" t="s">
        <v>1828</v>
      </c>
      <c r="C2303" s="4" t="s">
        <v>1838</v>
      </c>
      <c r="D2303" s="4" t="s">
        <v>306</v>
      </c>
      <c r="E2303" s="4" t="s">
        <v>63</v>
      </c>
      <c r="F2303" s="4" t="s">
        <v>63</v>
      </c>
      <c r="G2303" s="4" t="s">
        <v>1839</v>
      </c>
      <c r="H2303" s="4"/>
      <c r="I2303" s="4" t="n">
        <v>0.4699</v>
      </c>
      <c r="J2303" s="4" t="str">
        <f aca="false">TRIM(E2303) &amp; TRIM(C2303) &amp; TRIM(D2303)</f>
        <v>First ReviewClosed Loop ProductTH</v>
      </c>
      <c r="K2303" s="4" t="n">
        <f aca="false">IFERROR(I2303*60,"")</f>
        <v>28.194</v>
      </c>
    </row>
    <row r="2304" customFormat="false" ht="15" hidden="false" customHeight="false" outlineLevel="0" collapsed="false">
      <c r="A2304" s="4" t="s">
        <v>15</v>
      </c>
      <c r="B2304" s="4" t="s">
        <v>1828</v>
      </c>
      <c r="C2304" s="4" t="s">
        <v>1829</v>
      </c>
      <c r="D2304" s="4" t="s">
        <v>62</v>
      </c>
      <c r="E2304" s="4" t="s">
        <v>63</v>
      </c>
      <c r="F2304" s="4" t="s">
        <v>63</v>
      </c>
      <c r="G2304" s="4" t="s">
        <v>1840</v>
      </c>
      <c r="H2304" s="4"/>
      <c r="I2304" s="4" t="n">
        <v>1.2443</v>
      </c>
      <c r="J2304" s="4" t="str">
        <f aca="false">TRIM(E2304) &amp; TRIM(C2304) &amp; TRIM(D2304)</f>
        <v>First ReviewDynamic Catalog WholeProdCL</v>
      </c>
      <c r="K2304" s="4" t="n">
        <f aca="false">IFERROR(I2304*60,"")</f>
        <v>74.658</v>
      </c>
    </row>
    <row r="2305" customFormat="false" ht="15" hidden="false" customHeight="false" outlineLevel="0" collapsed="false">
      <c r="A2305" s="4" t="s">
        <v>15</v>
      </c>
      <c r="B2305" s="4" t="s">
        <v>1828</v>
      </c>
      <c r="C2305" s="4" t="s">
        <v>1834</v>
      </c>
      <c r="D2305" s="4" t="s">
        <v>275</v>
      </c>
      <c r="E2305" s="4" t="s">
        <v>63</v>
      </c>
      <c r="F2305" s="4" t="s">
        <v>63</v>
      </c>
      <c r="G2305" s="4" t="s">
        <v>1841</v>
      </c>
      <c r="H2305" s="4"/>
      <c r="I2305" s="4" t="n">
        <v>0.6654</v>
      </c>
      <c r="J2305" s="4" t="str">
        <f aca="false">TRIM(E2305) &amp; TRIM(C2305) &amp; TRIM(D2305)</f>
        <v>First ReviewDynamic Catalog Video PackageGB</v>
      </c>
      <c r="K2305" s="4" t="n">
        <f aca="false">IFERROR(I2305*60,"")</f>
        <v>39.924</v>
      </c>
    </row>
    <row r="2306" customFormat="false" ht="15" hidden="false" customHeight="false" outlineLevel="0" collapsed="false">
      <c r="A2306" s="4" t="s">
        <v>15</v>
      </c>
      <c r="B2306" s="4" t="s">
        <v>1828</v>
      </c>
      <c r="C2306" s="4" t="s">
        <v>1829</v>
      </c>
      <c r="D2306" s="4" t="s">
        <v>126</v>
      </c>
      <c r="E2306" s="4" t="s">
        <v>66</v>
      </c>
      <c r="F2306" s="4" t="s">
        <v>67</v>
      </c>
      <c r="G2306" s="4" t="s">
        <v>1842</v>
      </c>
      <c r="H2306" s="4"/>
      <c r="I2306" s="4" t="n">
        <v>0.6812</v>
      </c>
      <c r="J2306" s="4" t="str">
        <f aca="false">TRIM(E2306) &amp; TRIM(C2306) &amp; TRIM(D2306)</f>
        <v>Posted RecallDynamic Catalog WholeProdMX</v>
      </c>
      <c r="K2306" s="4" t="n">
        <f aca="false">IFERROR(I2306*60,"")</f>
        <v>40.872</v>
      </c>
    </row>
    <row r="2307" customFormat="false" ht="15" hidden="false" customHeight="false" outlineLevel="0" collapsed="false">
      <c r="A2307" s="4" t="s">
        <v>15</v>
      </c>
      <c r="B2307" s="4" t="s">
        <v>1828</v>
      </c>
      <c r="C2307" s="4" t="s">
        <v>1831</v>
      </c>
      <c r="D2307" s="4" t="s">
        <v>235</v>
      </c>
      <c r="E2307" s="4" t="s">
        <v>63</v>
      </c>
      <c r="F2307" s="4" t="s">
        <v>63</v>
      </c>
      <c r="G2307" s="4" t="s">
        <v>1843</v>
      </c>
      <c r="H2307" s="4"/>
      <c r="I2307" s="4" t="n">
        <v>2.1699</v>
      </c>
      <c r="J2307" s="4" t="str">
        <f aca="false">TRIM(E2307) &amp; TRIM(C2307) &amp; TRIM(D2307)</f>
        <v>First ReviewCatalog Ads LivestreamJP</v>
      </c>
      <c r="K2307" s="4" t="n">
        <f aca="false">IFERROR(I2307*60,"")</f>
        <v>130.194</v>
      </c>
    </row>
    <row r="2308" customFormat="false" ht="15" hidden="false" customHeight="false" outlineLevel="0" collapsed="false">
      <c r="A2308" s="4" t="s">
        <v>15</v>
      </c>
      <c r="B2308" s="4" t="s">
        <v>1828</v>
      </c>
      <c r="C2308" s="4" t="s">
        <v>1829</v>
      </c>
      <c r="D2308" s="4" t="s">
        <v>185</v>
      </c>
      <c r="E2308" s="4" t="s">
        <v>63</v>
      </c>
      <c r="F2308" s="4" t="s">
        <v>63</v>
      </c>
      <c r="G2308" s="4" t="s">
        <v>1844</v>
      </c>
      <c r="H2308" s="4"/>
      <c r="I2308" s="4" t="n">
        <v>1.1293</v>
      </c>
      <c r="J2308" s="4" t="str">
        <f aca="false">TRIM(E2308) &amp; TRIM(C2308) &amp; TRIM(D2308)</f>
        <v>First ReviewDynamic Catalog WholeProdDK</v>
      </c>
      <c r="K2308" s="4" t="n">
        <f aca="false">IFERROR(I2308*60,"")</f>
        <v>67.758</v>
      </c>
    </row>
    <row r="2309" customFormat="false" ht="15" hidden="false" customHeight="false" outlineLevel="0" collapsed="false">
      <c r="A2309" s="4" t="s">
        <v>15</v>
      </c>
      <c r="B2309" s="4" t="s">
        <v>1828</v>
      </c>
      <c r="C2309" s="4" t="s">
        <v>1831</v>
      </c>
      <c r="D2309" s="4" t="s">
        <v>111</v>
      </c>
      <c r="E2309" s="4" t="s">
        <v>63</v>
      </c>
      <c r="F2309" s="4" t="s">
        <v>63</v>
      </c>
      <c r="G2309" s="4" t="s">
        <v>1845</v>
      </c>
      <c r="H2309" s="4"/>
      <c r="I2309" s="4" t="n">
        <v>1.6729</v>
      </c>
      <c r="J2309" s="4" t="str">
        <f aca="false">TRIM(E2309) &amp; TRIM(C2309) &amp; TRIM(D2309)</f>
        <v>First ReviewCatalog Ads LivestreamUS</v>
      </c>
      <c r="K2309" s="4" t="n">
        <f aca="false">IFERROR(I2309*60,"")</f>
        <v>100.374</v>
      </c>
    </row>
    <row r="2310" customFormat="false" ht="15" hidden="false" customHeight="false" outlineLevel="0" collapsed="false">
      <c r="A2310" s="4" t="s">
        <v>15</v>
      </c>
      <c r="B2310" s="4" t="s">
        <v>1828</v>
      </c>
      <c r="C2310" s="4" t="s">
        <v>1829</v>
      </c>
      <c r="D2310" s="4" t="s">
        <v>79</v>
      </c>
      <c r="E2310" s="4" t="s">
        <v>63</v>
      </c>
      <c r="F2310" s="4" t="s">
        <v>63</v>
      </c>
      <c r="G2310" s="4" t="s">
        <v>1846</v>
      </c>
      <c r="H2310" s="4"/>
      <c r="I2310" s="4" t="n">
        <v>1.0535</v>
      </c>
      <c r="J2310" s="4" t="str">
        <f aca="false">TRIM(E2310) &amp; TRIM(C2310) &amp; TRIM(D2310)</f>
        <v>First ReviewDynamic Catalog WholeProdZA</v>
      </c>
      <c r="K2310" s="4" t="n">
        <f aca="false">IFERROR(I2310*60,"")</f>
        <v>63.21</v>
      </c>
    </row>
    <row r="2311" customFormat="false" ht="15" hidden="false" customHeight="false" outlineLevel="0" collapsed="false">
      <c r="A2311" s="4" t="s">
        <v>15</v>
      </c>
      <c r="B2311" s="4" t="s">
        <v>1828</v>
      </c>
      <c r="C2311" s="4" t="s">
        <v>1829</v>
      </c>
      <c r="D2311" s="4" t="s">
        <v>213</v>
      </c>
      <c r="E2311" s="4" t="s">
        <v>66</v>
      </c>
      <c r="F2311" s="4" t="s">
        <v>67</v>
      </c>
      <c r="G2311" s="4" t="s">
        <v>1847</v>
      </c>
      <c r="H2311" s="4"/>
      <c r="I2311" s="4" t="n">
        <v>1.4007</v>
      </c>
      <c r="J2311" s="4" t="str">
        <f aca="false">TRIM(E2311) &amp; TRIM(C2311) &amp; TRIM(D2311)</f>
        <v>Posted RecallDynamic Catalog WholeProdFR</v>
      </c>
      <c r="K2311" s="4" t="n">
        <f aca="false">IFERROR(I2311*60,"")</f>
        <v>84.042</v>
      </c>
    </row>
    <row r="2312" customFormat="false" ht="15" hidden="false" customHeight="false" outlineLevel="0" collapsed="false">
      <c r="A2312" s="4" t="s">
        <v>15</v>
      </c>
      <c r="B2312" s="4" t="s">
        <v>1828</v>
      </c>
      <c r="C2312" s="4" t="s">
        <v>1829</v>
      </c>
      <c r="D2312" s="4" t="s">
        <v>231</v>
      </c>
      <c r="E2312" s="4" t="s">
        <v>63</v>
      </c>
      <c r="F2312" s="4" t="s">
        <v>63</v>
      </c>
      <c r="G2312" s="4" t="s">
        <v>1848</v>
      </c>
      <c r="H2312" s="4"/>
      <c r="I2312" s="4" t="n">
        <v>2.771</v>
      </c>
      <c r="J2312" s="4" t="str">
        <f aca="false">TRIM(E2312) &amp; TRIM(C2312) &amp; TRIM(D2312)</f>
        <v>First ReviewDynamic Catalog WholeProdIL</v>
      </c>
      <c r="K2312" s="4" t="n">
        <f aca="false">IFERROR(I2312*60,"")</f>
        <v>166.26</v>
      </c>
    </row>
    <row r="2313" customFormat="false" ht="15" hidden="false" customHeight="false" outlineLevel="0" collapsed="false">
      <c r="A2313" s="4" t="s">
        <v>15</v>
      </c>
      <c r="B2313" s="4" t="s">
        <v>1828</v>
      </c>
      <c r="C2313" s="4" t="s">
        <v>1829</v>
      </c>
      <c r="D2313" s="4" t="s">
        <v>100</v>
      </c>
      <c r="E2313" s="4" t="s">
        <v>66</v>
      </c>
      <c r="F2313" s="4" t="s">
        <v>67</v>
      </c>
      <c r="G2313" s="4" t="s">
        <v>1849</v>
      </c>
      <c r="H2313" s="4"/>
      <c r="I2313" s="4" t="n">
        <v>0.8872</v>
      </c>
      <c r="J2313" s="4" t="str">
        <f aca="false">TRIM(E2313) &amp; TRIM(C2313) &amp; TRIM(D2313)</f>
        <v>Posted RecallDynamic Catalog WholeProdAU</v>
      </c>
      <c r="K2313" s="4" t="n">
        <f aca="false">IFERROR(I2313*60,"")</f>
        <v>53.232</v>
      </c>
    </row>
    <row r="2314" customFormat="false" ht="15" hidden="false" customHeight="false" outlineLevel="0" collapsed="false">
      <c r="A2314" s="4" t="s">
        <v>15</v>
      </c>
      <c r="B2314" s="4" t="s">
        <v>1828</v>
      </c>
      <c r="C2314" s="4" t="s">
        <v>1829</v>
      </c>
      <c r="D2314" s="4" t="s">
        <v>124</v>
      </c>
      <c r="E2314" s="4" t="s">
        <v>63</v>
      </c>
      <c r="F2314" s="4" t="s">
        <v>63</v>
      </c>
      <c r="G2314" s="4" t="s">
        <v>1850</v>
      </c>
      <c r="H2314" s="4"/>
      <c r="I2314" s="4" t="n">
        <v>1.3884</v>
      </c>
      <c r="J2314" s="4" t="str">
        <f aca="false">TRIM(E2314) &amp; TRIM(C2314) &amp; TRIM(D2314)</f>
        <v>First ReviewDynamic Catalog WholeProdPT</v>
      </c>
      <c r="K2314" s="4" t="n">
        <f aca="false">IFERROR(I2314*60,"")</f>
        <v>83.304</v>
      </c>
    </row>
    <row r="2315" customFormat="false" ht="15" hidden="false" customHeight="false" outlineLevel="0" collapsed="false">
      <c r="A2315" s="4" t="s">
        <v>15</v>
      </c>
      <c r="B2315" s="4" t="s">
        <v>1828</v>
      </c>
      <c r="C2315" s="4" t="s">
        <v>1829</v>
      </c>
      <c r="D2315" s="4" t="s">
        <v>111</v>
      </c>
      <c r="E2315" s="4" t="s">
        <v>63</v>
      </c>
      <c r="F2315" s="4" t="s">
        <v>63</v>
      </c>
      <c r="G2315" s="4" t="s">
        <v>1851</v>
      </c>
      <c r="H2315" s="4"/>
      <c r="I2315" s="4" t="n">
        <v>1.3398</v>
      </c>
      <c r="J2315" s="4" t="str">
        <f aca="false">TRIM(E2315) &amp; TRIM(C2315) &amp; TRIM(D2315)</f>
        <v>First ReviewDynamic Catalog WholeProdUS</v>
      </c>
      <c r="K2315" s="4" t="n">
        <f aca="false">IFERROR(I2315*60,"")</f>
        <v>80.388</v>
      </c>
    </row>
    <row r="2316" customFormat="false" ht="15" hidden="false" customHeight="false" outlineLevel="0" collapsed="false">
      <c r="A2316" s="4" t="s">
        <v>15</v>
      </c>
      <c r="B2316" s="4" t="s">
        <v>1828</v>
      </c>
      <c r="C2316" s="4" t="s">
        <v>1829</v>
      </c>
      <c r="D2316" s="4" t="s">
        <v>275</v>
      </c>
      <c r="E2316" s="4" t="s">
        <v>63</v>
      </c>
      <c r="F2316" s="4" t="s">
        <v>63</v>
      </c>
      <c r="G2316" s="4" t="s">
        <v>1852</v>
      </c>
      <c r="H2316" s="4"/>
      <c r="I2316" s="4" t="n">
        <v>1.0358</v>
      </c>
      <c r="J2316" s="4" t="str">
        <f aca="false">TRIM(E2316) &amp; TRIM(C2316) &amp; TRIM(D2316)</f>
        <v>First ReviewDynamic Catalog WholeProdGB</v>
      </c>
      <c r="K2316" s="4" t="n">
        <f aca="false">IFERROR(I2316*60,"")</f>
        <v>62.148</v>
      </c>
    </row>
    <row r="2317" customFormat="false" ht="15" hidden="false" customHeight="false" outlineLevel="0" collapsed="false">
      <c r="A2317" s="4" t="s">
        <v>15</v>
      </c>
      <c r="B2317" s="4" t="s">
        <v>1828</v>
      </c>
      <c r="C2317" s="4" t="s">
        <v>1834</v>
      </c>
      <c r="D2317" s="4" t="s">
        <v>284</v>
      </c>
      <c r="E2317" s="4" t="s">
        <v>63</v>
      </c>
      <c r="F2317" s="4" t="s">
        <v>63</v>
      </c>
      <c r="G2317" s="4" t="s">
        <v>1853</v>
      </c>
      <c r="H2317" s="4"/>
      <c r="I2317" s="4" t="n">
        <v>0.6002</v>
      </c>
      <c r="J2317" s="4" t="str">
        <f aca="false">TRIM(E2317) &amp; TRIM(C2317) &amp; TRIM(D2317)</f>
        <v>First ReviewDynamic Catalog Video PackageTR</v>
      </c>
      <c r="K2317" s="4" t="n">
        <f aca="false">IFERROR(I2317*60,"")</f>
        <v>36.012</v>
      </c>
    </row>
    <row r="2318" customFormat="false" ht="15" hidden="false" customHeight="false" outlineLevel="0" collapsed="false">
      <c r="A2318" s="4" t="s">
        <v>15</v>
      </c>
      <c r="B2318" s="4" t="s">
        <v>1828</v>
      </c>
      <c r="C2318" s="4" t="s">
        <v>1834</v>
      </c>
      <c r="D2318" s="4" t="s">
        <v>306</v>
      </c>
      <c r="E2318" s="4" t="s">
        <v>63</v>
      </c>
      <c r="F2318" s="4" t="s">
        <v>63</v>
      </c>
      <c r="G2318" s="4" t="s">
        <v>1854</v>
      </c>
      <c r="H2318" s="4"/>
      <c r="I2318" s="4" t="n">
        <v>0.9627</v>
      </c>
      <c r="J2318" s="4" t="str">
        <f aca="false">TRIM(E2318) &amp; TRIM(C2318) &amp; TRIM(D2318)</f>
        <v>First ReviewDynamic Catalog Video PackageTH</v>
      </c>
      <c r="K2318" s="4" t="n">
        <f aca="false">IFERROR(I2318*60,"")</f>
        <v>57.762</v>
      </c>
    </row>
    <row r="2319" customFormat="false" ht="15" hidden="false" customHeight="false" outlineLevel="0" collapsed="false">
      <c r="A2319" s="4" t="s">
        <v>15</v>
      </c>
      <c r="B2319" s="4" t="s">
        <v>1828</v>
      </c>
      <c r="C2319" s="4" t="s">
        <v>1829</v>
      </c>
      <c r="D2319" s="4" t="s">
        <v>121</v>
      </c>
      <c r="E2319" s="4" t="s">
        <v>63</v>
      </c>
      <c r="F2319" s="4" t="s">
        <v>63</v>
      </c>
      <c r="G2319" s="4" t="s">
        <v>1855</v>
      </c>
      <c r="H2319" s="4"/>
      <c r="I2319" s="4" t="n">
        <v>2.1733</v>
      </c>
      <c r="J2319" s="4" t="str">
        <f aca="false">TRIM(E2319) &amp; TRIM(C2319) &amp; TRIM(D2319)</f>
        <v>First ReviewDynamic Catalog WholeProdKR</v>
      </c>
      <c r="K2319" s="4" t="n">
        <f aca="false">IFERROR(I2319*60,"")</f>
        <v>130.398</v>
      </c>
    </row>
    <row r="2320" customFormat="false" ht="15" hidden="false" customHeight="false" outlineLevel="0" collapsed="false">
      <c r="A2320" s="4" t="s">
        <v>15</v>
      </c>
      <c r="B2320" s="4" t="s">
        <v>1828</v>
      </c>
      <c r="C2320" s="4" t="s">
        <v>1834</v>
      </c>
      <c r="D2320" s="4" t="s">
        <v>58</v>
      </c>
      <c r="E2320" s="4" t="s">
        <v>63</v>
      </c>
      <c r="F2320" s="4" t="s">
        <v>63</v>
      </c>
      <c r="G2320" s="4" t="s">
        <v>1856</v>
      </c>
      <c r="H2320" s="4"/>
      <c r="I2320" s="4" t="n">
        <v>0.1867</v>
      </c>
      <c r="J2320" s="4" t="str">
        <f aca="false">TRIM(E2320) &amp; TRIM(C2320) &amp; TRIM(D2320)</f>
        <v>First ReviewDynamic Catalog Video PackageSG</v>
      </c>
      <c r="K2320" s="4" t="n">
        <f aca="false">IFERROR(I2320*60,"")</f>
        <v>11.202</v>
      </c>
    </row>
    <row r="2321" customFormat="false" ht="15" hidden="false" customHeight="false" outlineLevel="0" collapsed="false">
      <c r="A2321" s="4" t="s">
        <v>15</v>
      </c>
      <c r="B2321" s="4" t="s">
        <v>1828</v>
      </c>
      <c r="C2321" s="4" t="s">
        <v>1831</v>
      </c>
      <c r="D2321" s="4" t="s">
        <v>58</v>
      </c>
      <c r="E2321" s="4" t="s">
        <v>66</v>
      </c>
      <c r="F2321" s="4" t="s">
        <v>67</v>
      </c>
      <c r="G2321" s="4" t="s">
        <v>1857</v>
      </c>
      <c r="H2321" s="4"/>
      <c r="I2321" s="4" t="n">
        <v>0.9292</v>
      </c>
      <c r="J2321" s="4" t="str">
        <f aca="false">TRIM(E2321) &amp; TRIM(C2321) &amp; TRIM(D2321)</f>
        <v>Posted RecallCatalog Ads LivestreamSG</v>
      </c>
      <c r="K2321" s="4" t="n">
        <f aca="false">IFERROR(I2321*60,"")</f>
        <v>55.752</v>
      </c>
    </row>
    <row r="2322" customFormat="false" ht="15" hidden="false" customHeight="false" outlineLevel="0" collapsed="false">
      <c r="A2322" s="4" t="s">
        <v>15</v>
      </c>
      <c r="B2322" s="4" t="s">
        <v>1828</v>
      </c>
      <c r="C2322" s="4" t="s">
        <v>1829</v>
      </c>
      <c r="D2322" s="4" t="s">
        <v>95</v>
      </c>
      <c r="E2322" s="4" t="s">
        <v>63</v>
      </c>
      <c r="F2322" s="4" t="s">
        <v>63</v>
      </c>
      <c r="G2322" s="4" t="s">
        <v>1858</v>
      </c>
      <c r="H2322" s="4"/>
      <c r="I2322" s="4" t="n">
        <v>2.6134</v>
      </c>
      <c r="J2322" s="4" t="str">
        <f aca="false">TRIM(E2322) &amp; TRIM(C2322) &amp; TRIM(D2322)</f>
        <v>First ReviewDynamic Catalog WholeProdVN</v>
      </c>
      <c r="K2322" s="4" t="n">
        <f aca="false">IFERROR(I2322*60,"")</f>
        <v>156.804</v>
      </c>
    </row>
    <row r="2323" customFormat="false" ht="15" hidden="false" customHeight="false" outlineLevel="0" collapsed="false">
      <c r="A2323" s="4" t="s">
        <v>15</v>
      </c>
      <c r="B2323" s="4" t="s">
        <v>1828</v>
      </c>
      <c r="C2323" s="4" t="s">
        <v>1838</v>
      </c>
      <c r="D2323" s="4" t="s">
        <v>58</v>
      </c>
      <c r="E2323" s="4" t="s">
        <v>63</v>
      </c>
      <c r="F2323" s="4" t="s">
        <v>63</v>
      </c>
      <c r="G2323" s="4" t="s">
        <v>1859</v>
      </c>
      <c r="H2323" s="4"/>
      <c r="I2323" s="4" t="n">
        <v>0.478</v>
      </c>
      <c r="J2323" s="4" t="str">
        <f aca="false">TRIM(E2323) &amp; TRIM(C2323) &amp; TRIM(D2323)</f>
        <v>First ReviewClosed Loop ProductSG</v>
      </c>
      <c r="K2323" s="4" t="n">
        <f aca="false">IFERROR(I2323*60,"")</f>
        <v>28.68</v>
      </c>
    </row>
    <row r="2324" customFormat="false" ht="15" hidden="false" customHeight="false" outlineLevel="0" collapsed="false">
      <c r="A2324" s="4" t="s">
        <v>15</v>
      </c>
      <c r="B2324" s="4" t="s">
        <v>1828</v>
      </c>
      <c r="C2324" s="4" t="s">
        <v>1838</v>
      </c>
      <c r="D2324" s="4" t="s">
        <v>106</v>
      </c>
      <c r="E2324" s="4" t="s">
        <v>63</v>
      </c>
      <c r="F2324" s="4" t="s">
        <v>63</v>
      </c>
      <c r="G2324" s="4" t="s">
        <v>1860</v>
      </c>
      <c r="H2324" s="4"/>
      <c r="I2324" s="4" t="n">
        <v>0.3256</v>
      </c>
      <c r="J2324" s="4" t="str">
        <f aca="false">TRIM(E2324) &amp; TRIM(C2324) &amp; TRIM(D2324)</f>
        <v>First ReviewClosed Loop ProductMY</v>
      </c>
      <c r="K2324" s="4" t="n">
        <f aca="false">IFERROR(I2324*60,"")</f>
        <v>19.536</v>
      </c>
    </row>
    <row r="2325" customFormat="false" ht="15" hidden="false" customHeight="false" outlineLevel="0" collapsed="false">
      <c r="A2325" s="4" t="s">
        <v>15</v>
      </c>
      <c r="B2325" s="4" t="s">
        <v>1828</v>
      </c>
      <c r="C2325" s="4" t="s">
        <v>1829</v>
      </c>
      <c r="D2325" s="4" t="s">
        <v>87</v>
      </c>
      <c r="E2325" s="4" t="s">
        <v>63</v>
      </c>
      <c r="F2325" s="4" t="s">
        <v>63</v>
      </c>
      <c r="G2325" s="4" t="s">
        <v>1861</v>
      </c>
      <c r="H2325" s="4"/>
      <c r="I2325" s="4" t="n">
        <v>1.3133</v>
      </c>
      <c r="J2325" s="4" t="str">
        <f aca="false">TRIM(E2325) &amp; TRIM(C2325) &amp; TRIM(D2325)</f>
        <v>First ReviewDynamic Catalog WholeProdAE</v>
      </c>
      <c r="K2325" s="4" t="n">
        <f aca="false">IFERROR(I2325*60,"")</f>
        <v>78.798</v>
      </c>
    </row>
    <row r="2326" customFormat="false" ht="15" hidden="false" customHeight="false" outlineLevel="0" collapsed="false">
      <c r="A2326" s="4" t="s">
        <v>15</v>
      </c>
      <c r="B2326" s="4" t="s">
        <v>1828</v>
      </c>
      <c r="C2326" s="4" t="s">
        <v>1838</v>
      </c>
      <c r="D2326" s="4" t="s">
        <v>95</v>
      </c>
      <c r="E2326" s="4" t="s">
        <v>59</v>
      </c>
      <c r="F2326" s="4" t="s">
        <v>59</v>
      </c>
      <c r="G2326" s="4" t="s">
        <v>1862</v>
      </c>
      <c r="H2326" s="4"/>
      <c r="I2326" s="4" t="n">
        <v>12.1445</v>
      </c>
      <c r="J2326" s="4" t="str">
        <f aca="false">TRIM(E2326) &amp; TRIM(C2326) &amp; TRIM(D2326)</f>
        <v>Re-reviewClosed Loop ProductVN</v>
      </c>
      <c r="K2326" s="4" t="n">
        <f aca="false">IFERROR(I2326*60,"")</f>
        <v>728.67</v>
      </c>
    </row>
    <row r="2327" customFormat="false" ht="15" hidden="false" customHeight="false" outlineLevel="0" collapsed="false">
      <c r="A2327" s="4" t="s">
        <v>15</v>
      </c>
      <c r="B2327" s="4" t="s">
        <v>1828</v>
      </c>
      <c r="C2327" s="4" t="s">
        <v>1834</v>
      </c>
      <c r="D2327" s="4" t="s">
        <v>87</v>
      </c>
      <c r="E2327" s="4" t="s">
        <v>63</v>
      </c>
      <c r="F2327" s="4" t="s">
        <v>63</v>
      </c>
      <c r="G2327" s="4" t="s">
        <v>1863</v>
      </c>
      <c r="H2327" s="4"/>
      <c r="I2327" s="4" t="n">
        <v>0.638</v>
      </c>
      <c r="J2327" s="4" t="str">
        <f aca="false">TRIM(E2327) &amp; TRIM(C2327) &amp; TRIM(D2327)</f>
        <v>First ReviewDynamic Catalog Video PackageAE</v>
      </c>
      <c r="K2327" s="4" t="n">
        <f aca="false">IFERROR(I2327*60,"")</f>
        <v>38.28</v>
      </c>
    </row>
    <row r="2328" customFormat="false" ht="15" hidden="false" customHeight="false" outlineLevel="0" collapsed="false">
      <c r="A2328" s="4" t="s">
        <v>15</v>
      </c>
      <c r="B2328" s="4" t="s">
        <v>1828</v>
      </c>
      <c r="C2328" s="4" t="s">
        <v>1829</v>
      </c>
      <c r="D2328" s="4" t="s">
        <v>89</v>
      </c>
      <c r="E2328" s="4" t="s">
        <v>63</v>
      </c>
      <c r="F2328" s="4" t="s">
        <v>63</v>
      </c>
      <c r="G2328" s="4" t="s">
        <v>1864</v>
      </c>
      <c r="H2328" s="4"/>
      <c r="I2328" s="4" t="n">
        <v>1.0881</v>
      </c>
      <c r="J2328" s="4" t="str">
        <f aca="false">TRIM(E2328) &amp; TRIM(C2328) &amp; TRIM(D2328)</f>
        <v>First ReviewDynamic Catalog WholeProdFI</v>
      </c>
      <c r="K2328" s="4" t="n">
        <f aca="false">IFERROR(I2328*60,"")</f>
        <v>65.286</v>
      </c>
    </row>
    <row r="2329" customFormat="false" ht="15" hidden="false" customHeight="false" outlineLevel="0" collapsed="false">
      <c r="A2329" s="4" t="s">
        <v>15</v>
      </c>
      <c r="B2329" s="4" t="s">
        <v>1828</v>
      </c>
      <c r="C2329" s="4" t="s">
        <v>1829</v>
      </c>
      <c r="D2329" s="4" t="s">
        <v>208</v>
      </c>
      <c r="E2329" s="4" t="s">
        <v>63</v>
      </c>
      <c r="F2329" s="4" t="s">
        <v>63</v>
      </c>
      <c r="G2329" s="4" t="s">
        <v>1865</v>
      </c>
      <c r="H2329" s="4"/>
      <c r="I2329" s="4" t="n">
        <v>1.861</v>
      </c>
      <c r="J2329" s="4" t="str">
        <f aca="false">TRIM(E2329) &amp; TRIM(C2329) &amp; TRIM(D2329)</f>
        <v>First ReviewDynamic Catalog WholeProdCO</v>
      </c>
      <c r="K2329" s="4" t="n">
        <f aca="false">IFERROR(I2329*60,"")</f>
        <v>111.66</v>
      </c>
    </row>
    <row r="2330" customFormat="false" ht="15" hidden="false" customHeight="false" outlineLevel="0" collapsed="false">
      <c r="A2330" s="4" t="s">
        <v>15</v>
      </c>
      <c r="B2330" s="4" t="s">
        <v>1828</v>
      </c>
      <c r="C2330" s="4" t="s">
        <v>1831</v>
      </c>
      <c r="D2330" s="4" t="s">
        <v>106</v>
      </c>
      <c r="E2330" s="4" t="s">
        <v>63</v>
      </c>
      <c r="F2330" s="4" t="s">
        <v>63</v>
      </c>
      <c r="G2330" s="4" t="s">
        <v>1866</v>
      </c>
      <c r="H2330" s="4"/>
      <c r="I2330" s="4" t="n">
        <v>1.8318</v>
      </c>
      <c r="J2330" s="4" t="str">
        <f aca="false">TRIM(E2330) &amp; TRIM(C2330) &amp; TRIM(D2330)</f>
        <v>First ReviewCatalog Ads LivestreamMY</v>
      </c>
      <c r="K2330" s="4" t="n">
        <f aca="false">IFERROR(I2330*60,"")</f>
        <v>109.908</v>
      </c>
    </row>
    <row r="2331" customFormat="false" ht="15" hidden="false" customHeight="false" outlineLevel="0" collapsed="false">
      <c r="A2331" s="4" t="s">
        <v>15</v>
      </c>
      <c r="B2331" s="4" t="s">
        <v>1828</v>
      </c>
      <c r="C2331" s="4" t="s">
        <v>1834</v>
      </c>
      <c r="D2331" s="4" t="s">
        <v>97</v>
      </c>
      <c r="E2331" s="4" t="s">
        <v>63</v>
      </c>
      <c r="F2331" s="4" t="s">
        <v>63</v>
      </c>
      <c r="G2331" s="4" t="s">
        <v>1867</v>
      </c>
      <c r="H2331" s="4"/>
      <c r="I2331" s="4" t="n">
        <v>0.7363</v>
      </c>
      <c r="J2331" s="4" t="str">
        <f aca="false">TRIM(E2331) &amp; TRIM(C2331) &amp; TRIM(D2331)</f>
        <v>First ReviewDynamic Catalog Video PackageBR</v>
      </c>
      <c r="K2331" s="4" t="n">
        <f aca="false">IFERROR(I2331*60,"")</f>
        <v>44.178</v>
      </c>
    </row>
    <row r="2332" customFormat="false" ht="15" hidden="false" customHeight="false" outlineLevel="0" collapsed="false">
      <c r="A2332" s="4" t="s">
        <v>15</v>
      </c>
      <c r="B2332" s="4" t="s">
        <v>1828</v>
      </c>
      <c r="C2332" s="4" t="s">
        <v>1829</v>
      </c>
      <c r="D2332" s="4" t="s">
        <v>308</v>
      </c>
      <c r="E2332" s="4" t="s">
        <v>66</v>
      </c>
      <c r="F2332" s="4" t="s">
        <v>67</v>
      </c>
      <c r="G2332" s="4" t="s">
        <v>1868</v>
      </c>
      <c r="H2332" s="4"/>
      <c r="I2332" s="4" t="n">
        <v>2.5784</v>
      </c>
      <c r="J2332" s="4" t="str">
        <f aca="false">TRIM(E2332) &amp; TRIM(C2332) &amp; TRIM(D2332)</f>
        <v>Posted RecallDynamic Catalog WholeProdPL</v>
      </c>
      <c r="K2332" s="4" t="n">
        <f aca="false">IFERROR(I2332*60,"")</f>
        <v>154.704</v>
      </c>
    </row>
    <row r="2333" customFormat="false" ht="15" hidden="false" customHeight="false" outlineLevel="0" collapsed="false">
      <c r="A2333" s="4" t="s">
        <v>15</v>
      </c>
      <c r="B2333" s="4" t="s">
        <v>1828</v>
      </c>
      <c r="C2333" s="4" t="s">
        <v>1829</v>
      </c>
      <c r="D2333" s="4" t="s">
        <v>306</v>
      </c>
      <c r="E2333" s="4" t="s">
        <v>66</v>
      </c>
      <c r="F2333" s="4" t="s">
        <v>67</v>
      </c>
      <c r="G2333" s="4" t="s">
        <v>1869</v>
      </c>
      <c r="H2333" s="4"/>
      <c r="I2333" s="4" t="n">
        <v>1.6825</v>
      </c>
      <c r="J2333" s="4" t="str">
        <f aca="false">TRIM(E2333) &amp; TRIM(C2333) &amp; TRIM(D2333)</f>
        <v>Posted RecallDynamic Catalog WholeProdTH</v>
      </c>
      <c r="K2333" s="4" t="n">
        <f aca="false">IFERROR(I2333*60,"")</f>
        <v>100.95</v>
      </c>
    </row>
    <row r="2334" customFormat="false" ht="15" hidden="false" customHeight="false" outlineLevel="0" collapsed="false">
      <c r="A2334" s="4" t="s">
        <v>15</v>
      </c>
      <c r="B2334" s="4" t="s">
        <v>1828</v>
      </c>
      <c r="C2334" s="4" t="s">
        <v>1834</v>
      </c>
      <c r="D2334" s="4" t="s">
        <v>106</v>
      </c>
      <c r="E2334" s="4" t="s">
        <v>63</v>
      </c>
      <c r="F2334" s="4" t="s">
        <v>63</v>
      </c>
      <c r="G2334" s="4" t="s">
        <v>1870</v>
      </c>
      <c r="H2334" s="4"/>
      <c r="I2334" s="4" t="n">
        <v>0.6506</v>
      </c>
      <c r="J2334" s="4" t="str">
        <f aca="false">TRIM(E2334) &amp; TRIM(C2334) &amp; TRIM(D2334)</f>
        <v>First ReviewDynamic Catalog Video PackageMY</v>
      </c>
      <c r="K2334" s="4" t="n">
        <f aca="false">IFERROR(I2334*60,"")</f>
        <v>39.036</v>
      </c>
    </row>
    <row r="2335" customFormat="false" ht="15" hidden="false" customHeight="false" outlineLevel="0" collapsed="false">
      <c r="A2335" s="4" t="s">
        <v>15</v>
      </c>
      <c r="B2335" s="4" t="s">
        <v>1828</v>
      </c>
      <c r="C2335" s="4" t="s">
        <v>1829</v>
      </c>
      <c r="D2335" s="4" t="s">
        <v>235</v>
      </c>
      <c r="E2335" s="4" t="s">
        <v>63</v>
      </c>
      <c r="F2335" s="4" t="s">
        <v>63</v>
      </c>
      <c r="G2335" s="4" t="s">
        <v>1871</v>
      </c>
      <c r="H2335" s="4"/>
      <c r="I2335" s="4" t="n">
        <v>1.714</v>
      </c>
      <c r="J2335" s="4" t="str">
        <f aca="false">TRIM(E2335) &amp; TRIM(C2335) &amp; TRIM(D2335)</f>
        <v>First ReviewDynamic Catalog WholeProdJP</v>
      </c>
      <c r="K2335" s="4" t="n">
        <f aca="false">IFERROR(I2335*60,"")</f>
        <v>102.84</v>
      </c>
    </row>
    <row r="2336" customFormat="false" ht="15" hidden="false" customHeight="false" outlineLevel="0" collapsed="false">
      <c r="A2336" s="4" t="s">
        <v>15</v>
      </c>
      <c r="B2336" s="4" t="s">
        <v>1828</v>
      </c>
      <c r="C2336" s="4" t="s">
        <v>1829</v>
      </c>
      <c r="D2336" s="4" t="s">
        <v>284</v>
      </c>
      <c r="E2336" s="4" t="s">
        <v>63</v>
      </c>
      <c r="F2336" s="4" t="s">
        <v>63</v>
      </c>
      <c r="G2336" s="4" t="s">
        <v>1872</v>
      </c>
      <c r="H2336" s="4"/>
      <c r="I2336" s="4" t="n">
        <v>0.3516</v>
      </c>
      <c r="J2336" s="4" t="str">
        <f aca="false">TRIM(E2336) &amp; TRIM(C2336) &amp; TRIM(D2336)</f>
        <v>First ReviewDynamic Catalog WholeProdTR</v>
      </c>
      <c r="K2336" s="4" t="n">
        <f aca="false">IFERROR(I2336*60,"")</f>
        <v>21.096</v>
      </c>
    </row>
    <row r="2337" customFormat="false" ht="15" hidden="false" customHeight="false" outlineLevel="0" collapsed="false">
      <c r="A2337" s="4" t="s">
        <v>15</v>
      </c>
      <c r="B2337" s="4" t="s">
        <v>1828</v>
      </c>
      <c r="C2337" s="4" t="s">
        <v>1829</v>
      </c>
      <c r="D2337" s="4" t="s">
        <v>210</v>
      </c>
      <c r="E2337" s="4" t="s">
        <v>63</v>
      </c>
      <c r="F2337" s="4" t="s">
        <v>63</v>
      </c>
      <c r="G2337" s="4" t="s">
        <v>1873</v>
      </c>
      <c r="H2337" s="4"/>
      <c r="I2337" s="4" t="n">
        <v>1.3222</v>
      </c>
      <c r="J2337" s="4" t="str">
        <f aca="false">TRIM(E2337) &amp; TRIM(C2337) &amp; TRIM(D2337)</f>
        <v>First ReviewDynamic Catalog WholeProdPK</v>
      </c>
      <c r="K2337" s="4" t="n">
        <f aca="false">IFERROR(I2337*60,"")</f>
        <v>79.332</v>
      </c>
    </row>
    <row r="2338" customFormat="false" ht="15" hidden="false" customHeight="false" outlineLevel="0" collapsed="false">
      <c r="A2338" s="4" t="s">
        <v>15</v>
      </c>
      <c r="B2338" s="4" t="s">
        <v>1828</v>
      </c>
      <c r="C2338" s="4" t="s">
        <v>1829</v>
      </c>
      <c r="D2338" s="4" t="s">
        <v>265</v>
      </c>
      <c r="E2338" s="4" t="s">
        <v>63</v>
      </c>
      <c r="F2338" s="4" t="s">
        <v>63</v>
      </c>
      <c r="G2338" s="4" t="s">
        <v>1874</v>
      </c>
      <c r="H2338" s="4"/>
      <c r="I2338" s="4" t="n">
        <v>2.7598</v>
      </c>
      <c r="J2338" s="4" t="str">
        <f aca="false">TRIM(E2338) &amp; TRIM(C2338) &amp; TRIM(D2338)</f>
        <v>First ReviewDynamic Catalog WholeProdNO</v>
      </c>
      <c r="K2338" s="4" t="n">
        <f aca="false">IFERROR(I2338*60,"")</f>
        <v>165.588</v>
      </c>
    </row>
    <row r="2339" customFormat="false" ht="15" hidden="false" customHeight="false" outlineLevel="0" collapsed="false">
      <c r="A2339" s="4" t="s">
        <v>15</v>
      </c>
      <c r="B2339" s="4" t="s">
        <v>1828</v>
      </c>
      <c r="C2339" s="4" t="s">
        <v>1838</v>
      </c>
      <c r="D2339" s="4" t="s">
        <v>111</v>
      </c>
      <c r="E2339" s="4" t="s">
        <v>63</v>
      </c>
      <c r="F2339" s="4" t="s">
        <v>63</v>
      </c>
      <c r="G2339" s="4" t="s">
        <v>1875</v>
      </c>
      <c r="H2339" s="4"/>
      <c r="I2339" s="4" t="n">
        <v>1.0746</v>
      </c>
      <c r="J2339" s="4" t="str">
        <f aca="false">TRIM(E2339) &amp; TRIM(C2339) &amp; TRIM(D2339)</f>
        <v>First ReviewClosed Loop ProductUS</v>
      </c>
      <c r="K2339" s="4" t="n">
        <f aca="false">IFERROR(I2339*60,"")</f>
        <v>64.476</v>
      </c>
    </row>
    <row r="2340" customFormat="false" ht="15" hidden="false" customHeight="false" outlineLevel="0" collapsed="false">
      <c r="A2340" s="4" t="s">
        <v>15</v>
      </c>
      <c r="B2340" s="4" t="s">
        <v>1828</v>
      </c>
      <c r="C2340" s="4" t="s">
        <v>1829</v>
      </c>
      <c r="D2340" s="4" t="s">
        <v>97</v>
      </c>
      <c r="E2340" s="4" t="s">
        <v>63</v>
      </c>
      <c r="F2340" s="4" t="s">
        <v>63</v>
      </c>
      <c r="G2340" s="4" t="s">
        <v>1876</v>
      </c>
      <c r="H2340" s="4"/>
      <c r="I2340" s="4" t="n">
        <v>1.4156</v>
      </c>
      <c r="J2340" s="4" t="str">
        <f aca="false">TRIM(E2340) &amp; TRIM(C2340) &amp; TRIM(D2340)</f>
        <v>First ReviewDynamic Catalog WholeProdBR</v>
      </c>
      <c r="K2340" s="4" t="n">
        <f aca="false">IFERROR(I2340*60,"")</f>
        <v>84.936</v>
      </c>
    </row>
    <row r="2341" customFormat="false" ht="15" hidden="false" customHeight="false" outlineLevel="0" collapsed="false">
      <c r="A2341" s="4" t="s">
        <v>15</v>
      </c>
      <c r="B2341" s="4" t="s">
        <v>1828</v>
      </c>
      <c r="C2341" s="4" t="s">
        <v>1829</v>
      </c>
      <c r="D2341" s="4" t="s">
        <v>251</v>
      </c>
      <c r="E2341" s="4" t="s">
        <v>63</v>
      </c>
      <c r="F2341" s="4" t="s">
        <v>63</v>
      </c>
      <c r="G2341" s="4" t="s">
        <v>1877</v>
      </c>
      <c r="H2341" s="4"/>
      <c r="I2341" s="4" t="n">
        <v>0.9574</v>
      </c>
      <c r="J2341" s="4" t="str">
        <f aca="false">TRIM(E2341) &amp; TRIM(C2341) &amp; TRIM(D2341)</f>
        <v>First ReviewDynamic Catalog WholeProdRO</v>
      </c>
      <c r="K2341" s="4" t="n">
        <f aca="false">IFERROR(I2341*60,"")</f>
        <v>57.444</v>
      </c>
    </row>
    <row r="2342" customFormat="false" ht="15" hidden="false" customHeight="false" outlineLevel="0" collapsed="false">
      <c r="A2342" s="4" t="s">
        <v>15</v>
      </c>
      <c r="B2342" s="4" t="s">
        <v>1828</v>
      </c>
      <c r="C2342" s="4" t="s">
        <v>1834</v>
      </c>
      <c r="D2342" s="4" t="s">
        <v>357</v>
      </c>
      <c r="E2342" s="4" t="s">
        <v>63</v>
      </c>
      <c r="F2342" s="4" t="s">
        <v>63</v>
      </c>
      <c r="G2342" s="4" t="s">
        <v>1878</v>
      </c>
      <c r="H2342" s="4"/>
      <c r="I2342" s="4" t="n">
        <v>0.2953</v>
      </c>
      <c r="J2342" s="4" t="str">
        <f aca="false">TRIM(E2342) &amp; TRIM(C2342) &amp; TRIM(D2342)</f>
        <v>First ReviewDynamic Catalog Video PackageHU</v>
      </c>
      <c r="K2342" s="4" t="n">
        <f aca="false">IFERROR(I2342*60,"")</f>
        <v>17.718</v>
      </c>
    </row>
    <row r="2343" customFormat="false" ht="15" hidden="false" customHeight="false" outlineLevel="0" collapsed="false">
      <c r="A2343" s="4" t="s">
        <v>15</v>
      </c>
      <c r="B2343" s="4" t="s">
        <v>1828</v>
      </c>
      <c r="C2343" s="4" t="s">
        <v>1829</v>
      </c>
      <c r="D2343" s="4" t="s">
        <v>267</v>
      </c>
      <c r="E2343" s="4" t="s">
        <v>63</v>
      </c>
      <c r="F2343" s="4" t="s">
        <v>63</v>
      </c>
      <c r="G2343" s="4" t="s">
        <v>1879</v>
      </c>
      <c r="H2343" s="4"/>
      <c r="I2343" s="4" t="n">
        <v>0.8339</v>
      </c>
      <c r="J2343" s="4" t="str">
        <f aca="false">TRIM(E2343) &amp; TRIM(C2343) &amp; TRIM(D2343)</f>
        <v>First ReviewDynamic Catalog WholeProdID</v>
      </c>
      <c r="K2343" s="4" t="n">
        <f aca="false">IFERROR(I2343*60,"")</f>
        <v>50.034</v>
      </c>
    </row>
    <row r="2344" customFormat="false" ht="15" hidden="false" customHeight="false" outlineLevel="0" collapsed="false">
      <c r="A2344" s="4" t="s">
        <v>15</v>
      </c>
      <c r="B2344" s="4" t="s">
        <v>1828</v>
      </c>
      <c r="C2344" s="4" t="s">
        <v>1834</v>
      </c>
      <c r="D2344" s="4" t="s">
        <v>197</v>
      </c>
      <c r="E2344" s="4" t="s">
        <v>63</v>
      </c>
      <c r="F2344" s="4" t="s">
        <v>63</v>
      </c>
      <c r="G2344" s="4" t="s">
        <v>1880</v>
      </c>
      <c r="H2344" s="4"/>
      <c r="I2344" s="4" t="n">
        <v>0.8339</v>
      </c>
      <c r="J2344" s="4" t="str">
        <f aca="false">TRIM(E2344) &amp; TRIM(C2344) &amp; TRIM(D2344)</f>
        <v>First ReviewDynamic Catalog Video PackageGR</v>
      </c>
      <c r="K2344" s="4" t="n">
        <f aca="false">IFERROR(I2344*60,"")</f>
        <v>50.034</v>
      </c>
    </row>
    <row r="2345" customFormat="false" ht="15" hidden="false" customHeight="false" outlineLevel="0" collapsed="false">
      <c r="A2345" s="4" t="s">
        <v>15</v>
      </c>
      <c r="B2345" s="4" t="s">
        <v>1828</v>
      </c>
      <c r="C2345" s="4" t="s">
        <v>1831</v>
      </c>
      <c r="D2345" s="4" t="s">
        <v>106</v>
      </c>
      <c r="E2345" s="4" t="s">
        <v>59</v>
      </c>
      <c r="F2345" s="4" t="s">
        <v>59</v>
      </c>
      <c r="G2345" s="4" t="s">
        <v>1866</v>
      </c>
      <c r="H2345" s="4"/>
      <c r="I2345" s="4" t="n">
        <v>1.111</v>
      </c>
      <c r="J2345" s="4" t="str">
        <f aca="false">TRIM(E2345) &amp; TRIM(C2345) &amp; TRIM(D2345)</f>
        <v>Re-reviewCatalog Ads LivestreamMY</v>
      </c>
      <c r="K2345" s="4" t="n">
        <f aca="false">IFERROR(I2345*60,"")</f>
        <v>66.66</v>
      </c>
    </row>
    <row r="2346" customFormat="false" ht="15" hidden="false" customHeight="false" outlineLevel="0" collapsed="false">
      <c r="A2346" s="4" t="s">
        <v>15</v>
      </c>
      <c r="B2346" s="4" t="s">
        <v>1828</v>
      </c>
      <c r="C2346" s="4" t="s">
        <v>1831</v>
      </c>
      <c r="D2346" s="4" t="s">
        <v>306</v>
      </c>
      <c r="E2346" s="4" t="s">
        <v>63</v>
      </c>
      <c r="F2346" s="4" t="s">
        <v>63</v>
      </c>
      <c r="G2346" s="4" t="s">
        <v>1833</v>
      </c>
      <c r="H2346" s="4"/>
      <c r="I2346" s="4" t="n">
        <v>0.92</v>
      </c>
      <c r="J2346" s="4" t="str">
        <f aca="false">TRIM(E2346) &amp; TRIM(C2346) &amp; TRIM(D2346)</f>
        <v>First ReviewCatalog Ads LivestreamTH</v>
      </c>
      <c r="K2346" s="4" t="n">
        <f aca="false">IFERROR(I2346*60,"")</f>
        <v>55.2</v>
      </c>
    </row>
    <row r="2347" customFormat="false" ht="15" hidden="false" customHeight="false" outlineLevel="0" collapsed="false">
      <c r="A2347" s="4" t="s">
        <v>15</v>
      </c>
      <c r="B2347" s="4" t="s">
        <v>1828</v>
      </c>
      <c r="C2347" s="4" t="s">
        <v>1829</v>
      </c>
      <c r="D2347" s="4" t="s">
        <v>157</v>
      </c>
      <c r="E2347" s="4" t="s">
        <v>66</v>
      </c>
      <c r="F2347" s="4" t="s">
        <v>67</v>
      </c>
      <c r="G2347" s="4" t="s">
        <v>1830</v>
      </c>
      <c r="H2347" s="4"/>
      <c r="I2347" s="4" t="n">
        <v>0.8717</v>
      </c>
      <c r="J2347" s="4" t="str">
        <f aca="false">TRIM(E2347) &amp; TRIM(C2347) &amp; TRIM(D2347)</f>
        <v>Posted RecallDynamic Catalog WholeProdSA</v>
      </c>
      <c r="K2347" s="4" t="n">
        <f aca="false">IFERROR(I2347*60,"")</f>
        <v>52.302</v>
      </c>
    </row>
    <row r="2348" customFormat="false" ht="15" hidden="false" customHeight="false" outlineLevel="0" collapsed="false">
      <c r="A2348" s="4" t="s">
        <v>15</v>
      </c>
      <c r="B2348" s="4" t="s">
        <v>1828</v>
      </c>
      <c r="C2348" s="4" t="s">
        <v>1834</v>
      </c>
      <c r="D2348" s="4" t="s">
        <v>121</v>
      </c>
      <c r="E2348" s="4" t="s">
        <v>63</v>
      </c>
      <c r="F2348" s="4" t="s">
        <v>63</v>
      </c>
      <c r="G2348" s="4" t="s">
        <v>1881</v>
      </c>
      <c r="H2348" s="4"/>
      <c r="I2348" s="4" t="n">
        <v>1.0738</v>
      </c>
      <c r="J2348" s="4" t="str">
        <f aca="false">TRIM(E2348) &amp; TRIM(C2348) &amp; TRIM(D2348)</f>
        <v>First ReviewDynamic Catalog Video PackageKR</v>
      </c>
      <c r="K2348" s="4" t="n">
        <f aca="false">IFERROR(I2348*60,"")</f>
        <v>64.428</v>
      </c>
    </row>
    <row r="2349" customFormat="false" ht="15" hidden="false" customHeight="false" outlineLevel="0" collapsed="false">
      <c r="A2349" s="4" t="s">
        <v>15</v>
      </c>
      <c r="B2349" s="4" t="s">
        <v>1828</v>
      </c>
      <c r="C2349" s="4" t="s">
        <v>1829</v>
      </c>
      <c r="D2349" s="4" t="s">
        <v>284</v>
      </c>
      <c r="E2349" s="4" t="s">
        <v>66</v>
      </c>
      <c r="F2349" s="4" t="s">
        <v>67</v>
      </c>
      <c r="G2349" s="4" t="s">
        <v>1872</v>
      </c>
      <c r="H2349" s="4"/>
      <c r="I2349" s="4" t="n">
        <v>0.3138</v>
      </c>
      <c r="J2349" s="4" t="str">
        <f aca="false">TRIM(E2349) &amp; TRIM(C2349) &amp; TRIM(D2349)</f>
        <v>Posted RecallDynamic Catalog WholeProdTR</v>
      </c>
      <c r="K2349" s="4" t="n">
        <f aca="false">IFERROR(I2349*60,"")</f>
        <v>18.828</v>
      </c>
    </row>
    <row r="2350" customFormat="false" ht="15" hidden="false" customHeight="false" outlineLevel="0" collapsed="false">
      <c r="A2350" s="4" t="s">
        <v>15</v>
      </c>
      <c r="B2350" s="4" t="s">
        <v>1828</v>
      </c>
      <c r="C2350" s="4" t="s">
        <v>1829</v>
      </c>
      <c r="D2350" s="4" t="s">
        <v>111</v>
      </c>
      <c r="E2350" s="4" t="s">
        <v>66</v>
      </c>
      <c r="F2350" s="4" t="s">
        <v>67</v>
      </c>
      <c r="G2350" s="4" t="s">
        <v>1851</v>
      </c>
      <c r="H2350" s="4"/>
      <c r="I2350" s="4" t="n">
        <v>0.9246</v>
      </c>
      <c r="J2350" s="4" t="str">
        <f aca="false">TRIM(E2350) &amp; TRIM(C2350) &amp; TRIM(D2350)</f>
        <v>Posted RecallDynamic Catalog WholeProdUS</v>
      </c>
      <c r="K2350" s="4" t="n">
        <f aca="false">IFERROR(I2350*60,"")</f>
        <v>55.476</v>
      </c>
    </row>
    <row r="2351" customFormat="false" ht="15" hidden="false" customHeight="false" outlineLevel="0" collapsed="false">
      <c r="A2351" s="4" t="s">
        <v>15</v>
      </c>
      <c r="B2351" s="4" t="s">
        <v>1828</v>
      </c>
      <c r="C2351" s="4" t="s">
        <v>1829</v>
      </c>
      <c r="D2351" s="4" t="s">
        <v>154</v>
      </c>
      <c r="E2351" s="4" t="s">
        <v>63</v>
      </c>
      <c r="F2351" s="4" t="s">
        <v>63</v>
      </c>
      <c r="G2351" s="4" t="s">
        <v>1882</v>
      </c>
      <c r="H2351" s="4"/>
      <c r="I2351" s="4" t="n">
        <v>1.2843</v>
      </c>
      <c r="J2351" s="4" t="str">
        <f aca="false">TRIM(E2351) &amp; TRIM(C2351) &amp; TRIM(D2351)</f>
        <v>First ReviewDynamic Catalog WholeProdES</v>
      </c>
      <c r="K2351" s="4" t="n">
        <f aca="false">IFERROR(I2351*60,"")</f>
        <v>77.058</v>
      </c>
    </row>
    <row r="2352" customFormat="false" ht="15" hidden="false" customHeight="false" outlineLevel="0" collapsed="false">
      <c r="A2352" s="4" t="s">
        <v>15</v>
      </c>
      <c r="B2352" s="4" t="s">
        <v>1828</v>
      </c>
      <c r="C2352" s="4" t="s">
        <v>1838</v>
      </c>
      <c r="D2352" s="4" t="s">
        <v>275</v>
      </c>
      <c r="E2352" s="4" t="s">
        <v>63</v>
      </c>
      <c r="F2352" s="4" t="s">
        <v>63</v>
      </c>
      <c r="G2352" s="4" t="s">
        <v>1883</v>
      </c>
      <c r="H2352" s="4"/>
      <c r="I2352" s="4" t="n">
        <v>1.4228</v>
      </c>
      <c r="J2352" s="4" t="str">
        <f aca="false">TRIM(E2352) &amp; TRIM(C2352) &amp; TRIM(D2352)</f>
        <v>First ReviewClosed Loop ProductGB</v>
      </c>
      <c r="K2352" s="4" t="n">
        <f aca="false">IFERROR(I2352*60,"")</f>
        <v>85.368</v>
      </c>
    </row>
    <row r="2353" customFormat="false" ht="15" hidden="false" customHeight="false" outlineLevel="0" collapsed="false">
      <c r="A2353" s="4" t="s">
        <v>15</v>
      </c>
      <c r="B2353" s="4" t="s">
        <v>1828</v>
      </c>
      <c r="C2353" s="4" t="s">
        <v>1829</v>
      </c>
      <c r="D2353" s="4" t="s">
        <v>62</v>
      </c>
      <c r="E2353" s="4" t="s">
        <v>66</v>
      </c>
      <c r="F2353" s="4" t="s">
        <v>67</v>
      </c>
      <c r="G2353" s="4" t="s">
        <v>1840</v>
      </c>
      <c r="H2353" s="4"/>
      <c r="I2353" s="4" t="n">
        <v>0.9158</v>
      </c>
      <c r="J2353" s="4" t="str">
        <f aca="false">TRIM(E2353) &amp; TRIM(C2353) &amp; TRIM(D2353)</f>
        <v>Posted RecallDynamic Catalog WholeProdCL</v>
      </c>
      <c r="K2353" s="4" t="n">
        <f aca="false">IFERROR(I2353*60,"")</f>
        <v>54.948</v>
      </c>
    </row>
    <row r="2354" customFormat="false" ht="15" hidden="false" customHeight="false" outlineLevel="0" collapsed="false">
      <c r="A2354" s="4" t="s">
        <v>15</v>
      </c>
      <c r="B2354" s="4" t="s">
        <v>1828</v>
      </c>
      <c r="C2354" s="4" t="s">
        <v>1831</v>
      </c>
      <c r="D2354" s="4" t="s">
        <v>235</v>
      </c>
      <c r="E2354" s="4" t="s">
        <v>66</v>
      </c>
      <c r="F2354" s="4" t="s">
        <v>67</v>
      </c>
      <c r="G2354" s="4" t="s">
        <v>1843</v>
      </c>
      <c r="H2354" s="4"/>
      <c r="I2354" s="4" t="n">
        <v>2.0881</v>
      </c>
      <c r="J2354" s="4" t="str">
        <f aca="false">TRIM(E2354) &amp; TRIM(C2354) &amp; TRIM(D2354)</f>
        <v>Posted RecallCatalog Ads LivestreamJP</v>
      </c>
      <c r="K2354" s="4" t="n">
        <f aca="false">IFERROR(I2354*60,"")</f>
        <v>125.286</v>
      </c>
    </row>
    <row r="2355" customFormat="false" ht="15" hidden="false" customHeight="false" outlineLevel="0" collapsed="false">
      <c r="A2355" s="4" t="s">
        <v>15</v>
      </c>
      <c r="B2355" s="4" t="s">
        <v>1828</v>
      </c>
      <c r="C2355" s="4" t="s">
        <v>1829</v>
      </c>
      <c r="D2355" s="4" t="s">
        <v>126</v>
      </c>
      <c r="E2355" s="4" t="s">
        <v>63</v>
      </c>
      <c r="F2355" s="4" t="s">
        <v>63</v>
      </c>
      <c r="G2355" s="4" t="s">
        <v>1842</v>
      </c>
      <c r="H2355" s="4"/>
      <c r="I2355" s="4" t="n">
        <v>1.1462</v>
      </c>
      <c r="J2355" s="4" t="str">
        <f aca="false">TRIM(E2355) &amp; TRIM(C2355) &amp; TRIM(D2355)</f>
        <v>First ReviewDynamic Catalog WholeProdMX</v>
      </c>
      <c r="K2355" s="4" t="n">
        <f aca="false">IFERROR(I2355*60,"")</f>
        <v>68.772</v>
      </c>
    </row>
    <row r="2356" customFormat="false" ht="15" hidden="false" customHeight="false" outlineLevel="0" collapsed="false">
      <c r="A2356" s="4" t="s">
        <v>15</v>
      </c>
      <c r="B2356" s="4" t="s">
        <v>1828</v>
      </c>
      <c r="C2356" s="4" t="s">
        <v>1829</v>
      </c>
      <c r="D2356" s="4" t="s">
        <v>208</v>
      </c>
      <c r="E2356" s="4" t="s">
        <v>66</v>
      </c>
      <c r="F2356" s="4" t="s">
        <v>67</v>
      </c>
      <c r="G2356" s="4" t="s">
        <v>1865</v>
      </c>
      <c r="H2356" s="4"/>
      <c r="I2356" s="4" t="n">
        <v>0.7114</v>
      </c>
      <c r="J2356" s="4" t="str">
        <f aca="false">TRIM(E2356) &amp; TRIM(C2356) &amp; TRIM(D2356)</f>
        <v>Posted RecallDynamic Catalog WholeProdCO</v>
      </c>
      <c r="K2356" s="4" t="n">
        <f aca="false">IFERROR(I2356*60,"")</f>
        <v>42.684</v>
      </c>
    </row>
    <row r="2357" customFormat="false" ht="15" hidden="false" customHeight="false" outlineLevel="0" collapsed="false">
      <c r="A2357" s="4" t="s">
        <v>15</v>
      </c>
      <c r="B2357" s="4" t="s">
        <v>1828</v>
      </c>
      <c r="C2357" s="4" t="s">
        <v>1831</v>
      </c>
      <c r="D2357" s="4" t="s">
        <v>111</v>
      </c>
      <c r="E2357" s="4" t="s">
        <v>66</v>
      </c>
      <c r="F2357" s="4" t="s">
        <v>67</v>
      </c>
      <c r="G2357" s="4" t="s">
        <v>1845</v>
      </c>
      <c r="H2357" s="4"/>
      <c r="I2357" s="4" t="n">
        <v>1.4287</v>
      </c>
      <c r="J2357" s="4" t="str">
        <f aca="false">TRIM(E2357) &amp; TRIM(C2357) &amp; TRIM(D2357)</f>
        <v>Posted RecallCatalog Ads LivestreamUS</v>
      </c>
      <c r="K2357" s="4" t="n">
        <f aca="false">IFERROR(I2357*60,"")</f>
        <v>85.722</v>
      </c>
    </row>
    <row r="2358" customFormat="false" ht="15" hidden="false" customHeight="false" outlineLevel="0" collapsed="false">
      <c r="A2358" s="4" t="s">
        <v>15</v>
      </c>
      <c r="B2358" s="4" t="s">
        <v>1828</v>
      </c>
      <c r="C2358" s="4" t="s">
        <v>1829</v>
      </c>
      <c r="D2358" s="4" t="s">
        <v>308</v>
      </c>
      <c r="E2358" s="4" t="s">
        <v>63</v>
      </c>
      <c r="F2358" s="4" t="s">
        <v>63</v>
      </c>
      <c r="G2358" s="4" t="s">
        <v>1868</v>
      </c>
      <c r="H2358" s="4"/>
      <c r="I2358" s="4" t="n">
        <v>1.8266</v>
      </c>
      <c r="J2358" s="4" t="str">
        <f aca="false">TRIM(E2358) &amp; TRIM(C2358) &amp; TRIM(D2358)</f>
        <v>First ReviewDynamic Catalog WholeProdPL</v>
      </c>
      <c r="K2358" s="4" t="n">
        <f aca="false">IFERROR(I2358*60,"")</f>
        <v>109.596</v>
      </c>
    </row>
    <row r="2359" customFormat="false" ht="15" hidden="false" customHeight="false" outlineLevel="0" collapsed="false">
      <c r="A2359" s="4" t="s">
        <v>15</v>
      </c>
      <c r="B2359" s="4" t="s">
        <v>1828</v>
      </c>
      <c r="C2359" s="4" t="s">
        <v>1838</v>
      </c>
      <c r="D2359" s="4" t="s">
        <v>157</v>
      </c>
      <c r="E2359" s="4" t="s">
        <v>63</v>
      </c>
      <c r="F2359" s="4" t="s">
        <v>63</v>
      </c>
      <c r="G2359" s="4" t="s">
        <v>1884</v>
      </c>
      <c r="H2359" s="4"/>
      <c r="I2359" s="4" t="n">
        <v>0.6254</v>
      </c>
      <c r="J2359" s="4" t="str">
        <f aca="false">TRIM(E2359) &amp; TRIM(C2359) &amp; TRIM(D2359)</f>
        <v>First ReviewClosed Loop ProductSA</v>
      </c>
      <c r="K2359" s="4" t="n">
        <f aca="false">IFERROR(I2359*60,"")</f>
        <v>37.524</v>
      </c>
    </row>
    <row r="2360" customFormat="false" ht="15" hidden="false" customHeight="false" outlineLevel="0" collapsed="false">
      <c r="A2360" s="4" t="s">
        <v>15</v>
      </c>
      <c r="B2360" s="4" t="s">
        <v>1828</v>
      </c>
      <c r="C2360" s="4" t="s">
        <v>1834</v>
      </c>
      <c r="D2360" s="4" t="s">
        <v>308</v>
      </c>
      <c r="E2360" s="4" t="s">
        <v>63</v>
      </c>
      <c r="F2360" s="4" t="s">
        <v>63</v>
      </c>
      <c r="G2360" s="4" t="s">
        <v>1885</v>
      </c>
      <c r="H2360" s="4"/>
      <c r="I2360" s="4" t="n">
        <v>0.5535</v>
      </c>
      <c r="J2360" s="4" t="str">
        <f aca="false">TRIM(E2360) &amp; TRIM(C2360) &amp; TRIM(D2360)</f>
        <v>First ReviewDynamic Catalog Video PackagePL</v>
      </c>
      <c r="K2360" s="4" t="n">
        <f aca="false">IFERROR(I2360*60,"")</f>
        <v>33.21</v>
      </c>
    </row>
    <row r="2361" customFormat="false" ht="15" hidden="false" customHeight="false" outlineLevel="0" collapsed="false">
      <c r="A2361" s="4" t="s">
        <v>15</v>
      </c>
      <c r="B2361" s="4" t="s">
        <v>1828</v>
      </c>
      <c r="C2361" s="4" t="s">
        <v>1834</v>
      </c>
      <c r="D2361" s="4" t="s">
        <v>79</v>
      </c>
      <c r="E2361" s="4" t="s">
        <v>63</v>
      </c>
      <c r="F2361" s="4" t="s">
        <v>63</v>
      </c>
      <c r="G2361" s="4" t="s">
        <v>1886</v>
      </c>
      <c r="H2361" s="4"/>
      <c r="I2361" s="4" t="n">
        <v>0.4226</v>
      </c>
      <c r="J2361" s="4" t="str">
        <f aca="false">TRIM(E2361) &amp; TRIM(C2361) &amp; TRIM(D2361)</f>
        <v>First ReviewDynamic Catalog Video PackageZA</v>
      </c>
      <c r="K2361" s="4" t="n">
        <f aca="false">IFERROR(I2361*60,"")</f>
        <v>25.356</v>
      </c>
    </row>
    <row r="2362" customFormat="false" ht="15" hidden="false" customHeight="false" outlineLevel="0" collapsed="false">
      <c r="A2362" s="4" t="s">
        <v>15</v>
      </c>
      <c r="B2362" s="4" t="s">
        <v>1828</v>
      </c>
      <c r="C2362" s="4" t="s">
        <v>1829</v>
      </c>
      <c r="D2362" s="4" t="s">
        <v>195</v>
      </c>
      <c r="E2362" s="4" t="s">
        <v>63</v>
      </c>
      <c r="F2362" s="4" t="s">
        <v>63</v>
      </c>
      <c r="G2362" s="4" t="s">
        <v>1887</v>
      </c>
      <c r="H2362" s="4"/>
      <c r="I2362" s="4" t="n">
        <v>1.2011</v>
      </c>
      <c r="J2362" s="4" t="str">
        <f aca="false">TRIM(E2362) &amp; TRIM(C2362) &amp; TRIM(D2362)</f>
        <v>First ReviewDynamic Catalog WholeProdIT</v>
      </c>
      <c r="K2362" s="4" t="n">
        <f aca="false">IFERROR(I2362*60,"")</f>
        <v>72.066</v>
      </c>
    </row>
    <row r="2363" customFormat="false" ht="15" hidden="false" customHeight="false" outlineLevel="0" collapsed="false">
      <c r="A2363" s="4" t="s">
        <v>15</v>
      </c>
      <c r="B2363" s="4" t="s">
        <v>1828</v>
      </c>
      <c r="C2363" s="4" t="s">
        <v>1834</v>
      </c>
      <c r="D2363" s="4" t="s">
        <v>154</v>
      </c>
      <c r="E2363" s="4" t="s">
        <v>63</v>
      </c>
      <c r="F2363" s="4" t="s">
        <v>63</v>
      </c>
      <c r="G2363" s="4" t="s">
        <v>1888</v>
      </c>
      <c r="H2363" s="4"/>
      <c r="I2363" s="4" t="n">
        <v>0.3933</v>
      </c>
      <c r="J2363" s="4" t="str">
        <f aca="false">TRIM(E2363) &amp; TRIM(C2363) &amp; TRIM(D2363)</f>
        <v>First ReviewDynamic Catalog Video PackageES</v>
      </c>
      <c r="K2363" s="4" t="n">
        <f aca="false">IFERROR(I2363*60,"")</f>
        <v>23.598</v>
      </c>
    </row>
    <row r="2364" customFormat="false" ht="15" hidden="false" customHeight="false" outlineLevel="0" collapsed="false">
      <c r="A2364" s="4" t="s">
        <v>15</v>
      </c>
      <c r="B2364" s="4" t="s">
        <v>1828</v>
      </c>
      <c r="C2364" s="4" t="s">
        <v>1834</v>
      </c>
      <c r="D2364" s="4" t="s">
        <v>271</v>
      </c>
      <c r="E2364" s="4" t="s">
        <v>63</v>
      </c>
      <c r="F2364" s="4" t="s">
        <v>63</v>
      </c>
      <c r="G2364" s="4" t="s">
        <v>1889</v>
      </c>
      <c r="H2364" s="4"/>
      <c r="I2364" s="4" t="n">
        <v>0.9957</v>
      </c>
      <c r="J2364" s="4" t="str">
        <f aca="false">TRIM(E2364) &amp; TRIM(C2364) &amp; TRIM(D2364)</f>
        <v>First ReviewDynamic Catalog Video PackageKW</v>
      </c>
      <c r="K2364" s="4" t="n">
        <f aca="false">IFERROR(I2364*60,"")</f>
        <v>59.742</v>
      </c>
    </row>
    <row r="2365" customFormat="false" ht="15" hidden="false" customHeight="false" outlineLevel="0" collapsed="false">
      <c r="A2365" s="4" t="s">
        <v>15</v>
      </c>
      <c r="B2365" s="4" t="s">
        <v>1828</v>
      </c>
      <c r="C2365" s="4" t="s">
        <v>1834</v>
      </c>
      <c r="D2365" s="4" t="s">
        <v>102</v>
      </c>
      <c r="E2365" s="4" t="s">
        <v>63</v>
      </c>
      <c r="F2365" s="4" t="s">
        <v>63</v>
      </c>
      <c r="G2365" s="4" t="s">
        <v>1890</v>
      </c>
      <c r="H2365" s="4"/>
      <c r="I2365" s="4" t="n">
        <v>0.6648</v>
      </c>
      <c r="J2365" s="4" t="str">
        <f aca="false">TRIM(E2365) &amp; TRIM(C2365) &amp; TRIM(D2365)</f>
        <v>First ReviewDynamic Catalog Video PackageSE</v>
      </c>
      <c r="K2365" s="4" t="n">
        <f aca="false">IFERROR(I2365*60,"")</f>
        <v>39.888</v>
      </c>
    </row>
    <row r="2366" customFormat="false" ht="15" hidden="false" customHeight="false" outlineLevel="0" collapsed="false">
      <c r="A2366" s="4" t="s">
        <v>15</v>
      </c>
      <c r="B2366" s="4" t="s">
        <v>1828</v>
      </c>
      <c r="C2366" s="4" t="s">
        <v>1829</v>
      </c>
      <c r="D2366" s="4" t="s">
        <v>150</v>
      </c>
      <c r="E2366" s="4" t="s">
        <v>63</v>
      </c>
      <c r="F2366" s="4" t="s">
        <v>63</v>
      </c>
      <c r="G2366" s="4" t="s">
        <v>1891</v>
      </c>
      <c r="H2366" s="4"/>
      <c r="I2366" s="4" t="n">
        <v>0.6987</v>
      </c>
      <c r="J2366" s="4" t="str">
        <f aca="false">TRIM(E2366) &amp; TRIM(C2366) &amp; TRIM(D2366)</f>
        <v>First ReviewDynamic Catalog WholeProdDE</v>
      </c>
      <c r="K2366" s="4" t="n">
        <f aca="false">IFERROR(I2366*60,"")</f>
        <v>41.922</v>
      </c>
    </row>
    <row r="2367" customFormat="false" ht="15" hidden="false" customHeight="false" outlineLevel="0" collapsed="false">
      <c r="A2367" s="4" t="s">
        <v>15</v>
      </c>
      <c r="B2367" s="4" t="s">
        <v>1828</v>
      </c>
      <c r="C2367" s="4" t="s">
        <v>1834</v>
      </c>
      <c r="D2367" s="4" t="s">
        <v>251</v>
      </c>
      <c r="E2367" s="4" t="s">
        <v>63</v>
      </c>
      <c r="F2367" s="4" t="s">
        <v>63</v>
      </c>
      <c r="G2367" s="4" t="s">
        <v>1892</v>
      </c>
      <c r="H2367" s="4"/>
      <c r="I2367" s="4" t="n">
        <v>0.2241</v>
      </c>
      <c r="J2367" s="4" t="str">
        <f aca="false">TRIM(E2367) &amp; TRIM(C2367) &amp; TRIM(D2367)</f>
        <v>First ReviewDynamic Catalog Video PackageRO</v>
      </c>
      <c r="K2367" s="4" t="n">
        <f aca="false">IFERROR(I2367*60,"")</f>
        <v>13.446</v>
      </c>
    </row>
    <row r="2368" customFormat="false" ht="15" hidden="false" customHeight="false" outlineLevel="0" collapsed="false">
      <c r="A2368" s="4" t="s">
        <v>15</v>
      </c>
      <c r="B2368" s="4" t="s">
        <v>1828</v>
      </c>
      <c r="C2368" s="4" t="s">
        <v>1834</v>
      </c>
      <c r="D2368" s="4" t="s">
        <v>126</v>
      </c>
      <c r="E2368" s="4" t="s">
        <v>63</v>
      </c>
      <c r="F2368" s="4" t="s">
        <v>63</v>
      </c>
      <c r="G2368" s="4" t="s">
        <v>1893</v>
      </c>
      <c r="H2368" s="4"/>
      <c r="I2368" s="4" t="n">
        <v>0.764</v>
      </c>
      <c r="J2368" s="4" t="str">
        <f aca="false">TRIM(E2368) &amp; TRIM(C2368) &amp; TRIM(D2368)</f>
        <v>First ReviewDynamic Catalog Video PackageMX</v>
      </c>
      <c r="K2368" s="4" t="n">
        <f aca="false">IFERROR(I2368*60,"")</f>
        <v>45.84</v>
      </c>
    </row>
    <row r="2369" customFormat="false" ht="15" hidden="false" customHeight="false" outlineLevel="0" collapsed="false">
      <c r="A2369" s="4" t="s">
        <v>15</v>
      </c>
      <c r="B2369" s="4" t="s">
        <v>1828</v>
      </c>
      <c r="C2369" s="4" t="s">
        <v>1829</v>
      </c>
      <c r="D2369" s="4" t="s">
        <v>97</v>
      </c>
      <c r="E2369" s="4" t="s">
        <v>66</v>
      </c>
      <c r="F2369" s="4" t="s">
        <v>67</v>
      </c>
      <c r="G2369" s="4" t="s">
        <v>1876</v>
      </c>
      <c r="H2369" s="4"/>
      <c r="I2369" s="4" t="n">
        <v>0.7816</v>
      </c>
      <c r="J2369" s="4" t="str">
        <f aca="false">TRIM(E2369) &amp; TRIM(C2369) &amp; TRIM(D2369)</f>
        <v>Posted RecallDynamic Catalog WholeProdBR</v>
      </c>
      <c r="K2369" s="4" t="n">
        <f aca="false">IFERROR(I2369*60,"")</f>
        <v>46.896</v>
      </c>
    </row>
    <row r="2370" customFormat="false" ht="15" hidden="false" customHeight="false" outlineLevel="0" collapsed="false">
      <c r="A2370" s="4" t="s">
        <v>15</v>
      </c>
      <c r="B2370" s="4" t="s">
        <v>1828</v>
      </c>
      <c r="C2370" s="4" t="s">
        <v>1831</v>
      </c>
      <c r="D2370" s="4" t="s">
        <v>306</v>
      </c>
      <c r="E2370" s="4" t="s">
        <v>59</v>
      </c>
      <c r="F2370" s="4" t="s">
        <v>59</v>
      </c>
      <c r="G2370" s="4" t="s">
        <v>1833</v>
      </c>
      <c r="H2370" s="4"/>
      <c r="I2370" s="4" t="n">
        <v>0.9103</v>
      </c>
      <c r="J2370" s="4" t="str">
        <f aca="false">TRIM(E2370) &amp; TRIM(C2370) &amp; TRIM(D2370)</f>
        <v>Re-reviewCatalog Ads LivestreamTH</v>
      </c>
      <c r="K2370" s="4" t="n">
        <f aca="false">IFERROR(I2370*60,"")</f>
        <v>54.618</v>
      </c>
    </row>
    <row r="2371" customFormat="false" ht="15" hidden="false" customHeight="false" outlineLevel="0" collapsed="false">
      <c r="A2371" s="4" t="s">
        <v>15</v>
      </c>
      <c r="B2371" s="4" t="s">
        <v>1828</v>
      </c>
      <c r="C2371" s="4" t="s">
        <v>1831</v>
      </c>
      <c r="D2371" s="4" t="s">
        <v>95</v>
      </c>
      <c r="E2371" s="4" t="s">
        <v>63</v>
      </c>
      <c r="F2371" s="4" t="s">
        <v>63</v>
      </c>
      <c r="G2371" s="4" t="s">
        <v>1894</v>
      </c>
      <c r="H2371" s="4"/>
      <c r="I2371" s="4" t="n">
        <v>1.5403</v>
      </c>
      <c r="J2371" s="4" t="str">
        <f aca="false">TRIM(E2371) &amp; TRIM(C2371) &amp; TRIM(D2371)</f>
        <v>First ReviewCatalog Ads LivestreamVN</v>
      </c>
      <c r="K2371" s="4" t="n">
        <f aca="false">IFERROR(I2371*60,"")</f>
        <v>92.418</v>
      </c>
    </row>
    <row r="2372" customFormat="false" ht="15" hidden="false" customHeight="false" outlineLevel="0" collapsed="false">
      <c r="A2372" s="4" t="s">
        <v>15</v>
      </c>
      <c r="B2372" s="4" t="s">
        <v>1828</v>
      </c>
      <c r="C2372" s="4" t="s">
        <v>1829</v>
      </c>
      <c r="D2372" s="4" t="s">
        <v>113</v>
      </c>
      <c r="E2372" s="4" t="s">
        <v>63</v>
      </c>
      <c r="F2372" s="4" t="s">
        <v>63</v>
      </c>
      <c r="G2372" s="4" t="s">
        <v>1895</v>
      </c>
      <c r="H2372" s="4"/>
      <c r="I2372" s="4" t="n">
        <v>1.9779</v>
      </c>
      <c r="J2372" s="4" t="str">
        <f aca="false">TRIM(E2372) &amp; TRIM(C2372) &amp; TRIM(D2372)</f>
        <v>First ReviewDynamic Catalog WholeProdNL</v>
      </c>
      <c r="K2372" s="4" t="n">
        <f aca="false">IFERROR(I2372*60,"")</f>
        <v>118.674</v>
      </c>
    </row>
    <row r="2373" customFormat="false" ht="15" hidden="false" customHeight="false" outlineLevel="0" collapsed="false">
      <c r="A2373" s="4" t="s">
        <v>15</v>
      </c>
      <c r="B2373" s="4" t="s">
        <v>1828</v>
      </c>
      <c r="C2373" s="4" t="s">
        <v>1829</v>
      </c>
      <c r="D2373" s="4" t="s">
        <v>117</v>
      </c>
      <c r="E2373" s="4" t="s">
        <v>66</v>
      </c>
      <c r="F2373" s="4" t="s">
        <v>67</v>
      </c>
      <c r="G2373" s="4" t="s">
        <v>1896</v>
      </c>
      <c r="H2373" s="4"/>
      <c r="I2373" s="4" t="n">
        <v>1.0733</v>
      </c>
      <c r="J2373" s="4" t="str">
        <f aca="false">TRIM(E2373) &amp; TRIM(C2373) &amp; TRIM(D2373)</f>
        <v>Posted RecallDynamic Catalog WholeProdAR</v>
      </c>
      <c r="K2373" s="4" t="n">
        <f aca="false">IFERROR(I2373*60,"")</f>
        <v>64.398</v>
      </c>
    </row>
    <row r="2374" customFormat="false" ht="15" hidden="false" customHeight="false" outlineLevel="0" collapsed="false">
      <c r="A2374" s="4" t="s">
        <v>15</v>
      </c>
      <c r="B2374" s="4" t="s">
        <v>1828</v>
      </c>
      <c r="C2374" s="4" t="s">
        <v>1829</v>
      </c>
      <c r="D2374" s="4" t="s">
        <v>275</v>
      </c>
      <c r="E2374" s="4" t="s">
        <v>66</v>
      </c>
      <c r="F2374" s="4" t="s">
        <v>67</v>
      </c>
      <c r="G2374" s="4" t="s">
        <v>1852</v>
      </c>
      <c r="H2374" s="4"/>
      <c r="I2374" s="4" t="n">
        <v>1.7822</v>
      </c>
      <c r="J2374" s="4" t="str">
        <f aca="false">TRIM(E2374) &amp; TRIM(C2374) &amp; TRIM(D2374)</f>
        <v>Posted RecallDynamic Catalog WholeProdGB</v>
      </c>
      <c r="K2374" s="4" t="n">
        <f aca="false">IFERROR(I2374*60,"")</f>
        <v>106.932</v>
      </c>
    </row>
    <row r="2375" customFormat="false" ht="15" hidden="false" customHeight="false" outlineLevel="0" collapsed="false">
      <c r="A2375" s="4" t="s">
        <v>15</v>
      </c>
      <c r="B2375" s="4" t="s">
        <v>1828</v>
      </c>
      <c r="C2375" s="4" t="s">
        <v>1831</v>
      </c>
      <c r="D2375" s="4" t="s">
        <v>58</v>
      </c>
      <c r="E2375" s="4" t="s">
        <v>63</v>
      </c>
      <c r="F2375" s="4" t="s">
        <v>63</v>
      </c>
      <c r="G2375" s="4" t="s">
        <v>1857</v>
      </c>
      <c r="H2375" s="4"/>
      <c r="I2375" s="4" t="n">
        <v>1.0192</v>
      </c>
      <c r="J2375" s="4" t="str">
        <f aca="false">TRIM(E2375) &amp; TRIM(C2375) &amp; TRIM(D2375)</f>
        <v>First ReviewCatalog Ads LivestreamSG</v>
      </c>
      <c r="K2375" s="4" t="n">
        <f aca="false">IFERROR(I2375*60,"")</f>
        <v>61.152</v>
      </c>
    </row>
    <row r="2376" customFormat="false" ht="15" hidden="false" customHeight="false" outlineLevel="0" collapsed="false">
      <c r="A2376" s="4" t="s">
        <v>15</v>
      </c>
      <c r="B2376" s="4" t="s">
        <v>1828</v>
      </c>
      <c r="C2376" s="4" t="s">
        <v>1834</v>
      </c>
      <c r="D2376" s="4" t="s">
        <v>100</v>
      </c>
      <c r="E2376" s="4" t="s">
        <v>63</v>
      </c>
      <c r="F2376" s="4" t="s">
        <v>63</v>
      </c>
      <c r="G2376" s="4" t="s">
        <v>1897</v>
      </c>
      <c r="H2376" s="4"/>
      <c r="I2376" s="4" t="n">
        <v>0.4675</v>
      </c>
      <c r="J2376" s="4" t="str">
        <f aca="false">TRIM(E2376) &amp; TRIM(C2376) &amp; TRIM(D2376)</f>
        <v>First ReviewDynamic Catalog Video PackageAU</v>
      </c>
      <c r="K2376" s="4" t="n">
        <f aca="false">IFERROR(I2376*60,"")</f>
        <v>28.05</v>
      </c>
    </row>
    <row r="2377" customFormat="false" ht="15" hidden="false" customHeight="false" outlineLevel="0" collapsed="false">
      <c r="A2377" s="4" t="s">
        <v>15</v>
      </c>
      <c r="B2377" s="4" t="s">
        <v>1828</v>
      </c>
      <c r="C2377" s="4" t="s">
        <v>1829</v>
      </c>
      <c r="D2377" s="4" t="s">
        <v>255</v>
      </c>
      <c r="E2377" s="4" t="s">
        <v>63</v>
      </c>
      <c r="F2377" s="4" t="s">
        <v>63</v>
      </c>
      <c r="G2377" s="4" t="s">
        <v>1898</v>
      </c>
      <c r="H2377" s="4"/>
      <c r="I2377" s="4" t="n">
        <v>1.133</v>
      </c>
      <c r="J2377" s="4" t="str">
        <f aca="false">TRIM(E2377) &amp; TRIM(C2377) &amp; TRIM(D2377)</f>
        <v>First ReviewDynamic Catalog WholeProdNZ</v>
      </c>
      <c r="K2377" s="4" t="n">
        <f aca="false">IFERROR(I2377*60,"")</f>
        <v>67.98</v>
      </c>
    </row>
    <row r="2378" customFormat="false" ht="15" hidden="false" customHeight="false" outlineLevel="0" collapsed="false">
      <c r="A2378" s="4" t="s">
        <v>15</v>
      </c>
      <c r="B2378" s="4" t="s">
        <v>1828</v>
      </c>
      <c r="C2378" s="4" t="s">
        <v>1831</v>
      </c>
      <c r="D2378" s="4" t="s">
        <v>267</v>
      </c>
      <c r="E2378" s="4" t="s">
        <v>66</v>
      </c>
      <c r="F2378" s="4" t="s">
        <v>67</v>
      </c>
      <c r="G2378" s="4" t="s">
        <v>1832</v>
      </c>
      <c r="H2378" s="4"/>
      <c r="I2378" s="4" t="n">
        <v>0.9661</v>
      </c>
      <c r="J2378" s="4" t="str">
        <f aca="false">TRIM(E2378) &amp; TRIM(C2378) &amp; TRIM(D2378)</f>
        <v>Posted RecallCatalog Ads LivestreamID</v>
      </c>
      <c r="K2378" s="4" t="n">
        <f aca="false">IFERROR(I2378*60,"")</f>
        <v>57.966</v>
      </c>
    </row>
    <row r="2379" customFormat="false" ht="15" hidden="false" customHeight="false" outlineLevel="0" collapsed="false">
      <c r="A2379" s="4" t="s">
        <v>15</v>
      </c>
      <c r="B2379" s="4" t="s">
        <v>1828</v>
      </c>
      <c r="C2379" s="4" t="s">
        <v>1829</v>
      </c>
      <c r="D2379" s="4" t="s">
        <v>203</v>
      </c>
      <c r="E2379" s="4" t="s">
        <v>63</v>
      </c>
      <c r="F2379" s="4" t="s">
        <v>63</v>
      </c>
      <c r="G2379" s="4" t="s">
        <v>1899</v>
      </c>
      <c r="H2379" s="4"/>
      <c r="I2379" s="4" t="n">
        <v>1.3932</v>
      </c>
      <c r="J2379" s="4" t="str">
        <f aca="false">TRIM(E2379) &amp; TRIM(C2379) &amp; TRIM(D2379)</f>
        <v>First ReviewDynamic Catalog WholeProdCA</v>
      </c>
      <c r="K2379" s="4" t="n">
        <f aca="false">IFERROR(I2379*60,"")</f>
        <v>83.592</v>
      </c>
    </row>
    <row r="2380" customFormat="false" ht="15" hidden="false" customHeight="false" outlineLevel="0" collapsed="false">
      <c r="A2380" s="4" t="s">
        <v>15</v>
      </c>
      <c r="B2380" s="4" t="s">
        <v>1828</v>
      </c>
      <c r="C2380" s="4" t="s">
        <v>1829</v>
      </c>
      <c r="D2380" s="4" t="s">
        <v>231</v>
      </c>
      <c r="E2380" s="4" t="s">
        <v>66</v>
      </c>
      <c r="F2380" s="4" t="s">
        <v>67</v>
      </c>
      <c r="G2380" s="4" t="s">
        <v>1848</v>
      </c>
      <c r="H2380" s="4"/>
      <c r="I2380" s="4" t="n">
        <v>1.2169</v>
      </c>
      <c r="J2380" s="4" t="str">
        <f aca="false">TRIM(E2380) &amp; TRIM(C2380) &amp; TRIM(D2380)</f>
        <v>Posted RecallDynamic Catalog WholeProdIL</v>
      </c>
      <c r="K2380" s="4" t="n">
        <f aca="false">IFERROR(I2380*60,"")</f>
        <v>73.014</v>
      </c>
    </row>
    <row r="2381" customFormat="false" ht="15" hidden="false" customHeight="false" outlineLevel="0" collapsed="false">
      <c r="A2381" s="4" t="s">
        <v>15</v>
      </c>
      <c r="B2381" s="4" t="s">
        <v>1828</v>
      </c>
      <c r="C2381" s="4" t="s">
        <v>1829</v>
      </c>
      <c r="D2381" s="4" t="s">
        <v>100</v>
      </c>
      <c r="E2381" s="4" t="s">
        <v>63</v>
      </c>
      <c r="F2381" s="4" t="s">
        <v>63</v>
      </c>
      <c r="G2381" s="4" t="s">
        <v>1849</v>
      </c>
      <c r="H2381" s="4"/>
      <c r="I2381" s="4" t="n">
        <v>0.8555</v>
      </c>
      <c r="J2381" s="4" t="str">
        <f aca="false">TRIM(E2381) &amp; TRIM(C2381) &amp; TRIM(D2381)</f>
        <v>First ReviewDynamic Catalog WholeProdAU</v>
      </c>
      <c r="K2381" s="4" t="n">
        <f aca="false">IFERROR(I2381*60,"")</f>
        <v>51.33</v>
      </c>
    </row>
    <row r="2382" customFormat="false" ht="15" hidden="false" customHeight="false" outlineLevel="0" collapsed="false">
      <c r="A2382" s="4" t="s">
        <v>15</v>
      </c>
      <c r="B2382" s="4" t="s">
        <v>1828</v>
      </c>
      <c r="C2382" s="4" t="s">
        <v>1834</v>
      </c>
      <c r="D2382" s="4" t="s">
        <v>267</v>
      </c>
      <c r="E2382" s="4" t="s">
        <v>63</v>
      </c>
      <c r="F2382" s="4" t="s">
        <v>63</v>
      </c>
      <c r="G2382" s="4" t="s">
        <v>1900</v>
      </c>
      <c r="H2382" s="4"/>
      <c r="I2382" s="4" t="n">
        <v>0.7566</v>
      </c>
      <c r="J2382" s="4" t="str">
        <f aca="false">TRIM(E2382) &amp; TRIM(C2382) &amp; TRIM(D2382)</f>
        <v>First ReviewDynamic Catalog Video PackageID</v>
      </c>
      <c r="K2382" s="4" t="n">
        <f aca="false">IFERROR(I2382*60,"")</f>
        <v>45.396</v>
      </c>
    </row>
    <row r="2383" customFormat="false" ht="15" hidden="false" customHeight="false" outlineLevel="0" collapsed="false">
      <c r="A2383" s="4" t="s">
        <v>15</v>
      </c>
      <c r="B2383" s="4" t="s">
        <v>1828</v>
      </c>
      <c r="C2383" s="4" t="s">
        <v>1831</v>
      </c>
      <c r="D2383" s="4" t="s">
        <v>106</v>
      </c>
      <c r="E2383" s="4" t="s">
        <v>66</v>
      </c>
      <c r="F2383" s="4" t="s">
        <v>67</v>
      </c>
      <c r="G2383" s="4" t="s">
        <v>1866</v>
      </c>
      <c r="H2383" s="4"/>
      <c r="I2383" s="4" t="n">
        <v>0.9283</v>
      </c>
      <c r="J2383" s="4" t="str">
        <f aca="false">TRIM(E2383) &amp; TRIM(C2383) &amp; TRIM(D2383)</f>
        <v>Posted RecallCatalog Ads LivestreamMY</v>
      </c>
      <c r="K2383" s="4" t="n">
        <f aca="false">IFERROR(I2383*60,"")</f>
        <v>55.698</v>
      </c>
    </row>
    <row r="2384" customFormat="false" ht="15" hidden="false" customHeight="false" outlineLevel="0" collapsed="false">
      <c r="A2384" s="4" t="s">
        <v>15</v>
      </c>
      <c r="B2384" s="4" t="s">
        <v>1828</v>
      </c>
      <c r="C2384" s="4" t="s">
        <v>1829</v>
      </c>
      <c r="D2384" s="4" t="s">
        <v>121</v>
      </c>
      <c r="E2384" s="4" t="s">
        <v>66</v>
      </c>
      <c r="F2384" s="4" t="s">
        <v>67</v>
      </c>
      <c r="G2384" s="4" t="s">
        <v>1855</v>
      </c>
      <c r="H2384" s="4"/>
      <c r="I2384" s="4" t="n">
        <v>1.841</v>
      </c>
      <c r="J2384" s="4" t="str">
        <f aca="false">TRIM(E2384) &amp; TRIM(C2384) &amp; TRIM(D2384)</f>
        <v>Posted RecallDynamic Catalog WholeProdKR</v>
      </c>
      <c r="K2384" s="4" t="n">
        <f aca="false">IFERROR(I2384*60,"")</f>
        <v>110.46</v>
      </c>
    </row>
    <row r="2385" customFormat="false" ht="15" hidden="false" customHeight="false" outlineLevel="0" collapsed="false">
      <c r="A2385" s="4" t="s">
        <v>15</v>
      </c>
      <c r="B2385" s="4" t="s">
        <v>1828</v>
      </c>
      <c r="C2385" s="4" t="s">
        <v>1829</v>
      </c>
      <c r="D2385" s="4" t="s">
        <v>95</v>
      </c>
      <c r="E2385" s="4" t="s">
        <v>66</v>
      </c>
      <c r="F2385" s="4" t="s">
        <v>67</v>
      </c>
      <c r="G2385" s="4" t="s">
        <v>1858</v>
      </c>
      <c r="H2385" s="4"/>
      <c r="I2385" s="4" t="n">
        <v>2.1934</v>
      </c>
      <c r="J2385" s="4" t="str">
        <f aca="false">TRIM(E2385) &amp; TRIM(C2385) &amp; TRIM(D2385)</f>
        <v>Posted RecallDynamic Catalog WholeProdVN</v>
      </c>
      <c r="K2385" s="4" t="n">
        <f aca="false">IFERROR(I2385*60,"")</f>
        <v>131.604</v>
      </c>
    </row>
    <row r="2386" customFormat="false" ht="15" hidden="false" customHeight="false" outlineLevel="0" collapsed="false">
      <c r="A2386" s="4" t="s">
        <v>15</v>
      </c>
      <c r="B2386" s="4" t="s">
        <v>1828</v>
      </c>
      <c r="C2386" s="4" t="s">
        <v>1829</v>
      </c>
      <c r="D2386" s="4" t="s">
        <v>115</v>
      </c>
      <c r="E2386" s="4" t="s">
        <v>63</v>
      </c>
      <c r="F2386" s="4" t="s">
        <v>63</v>
      </c>
      <c r="G2386" s="4" t="s">
        <v>1901</v>
      </c>
      <c r="H2386" s="4"/>
      <c r="I2386" s="4" t="n">
        <v>1.0192</v>
      </c>
      <c r="J2386" s="4" t="str">
        <f aca="false">TRIM(E2386) &amp; TRIM(C2386) &amp; TRIM(D2386)</f>
        <v>First ReviewDynamic Catalog WholeProdAT</v>
      </c>
      <c r="K2386" s="4" t="n">
        <f aca="false">IFERROR(I2386*60,"")</f>
        <v>61.152</v>
      </c>
    </row>
    <row r="2387" customFormat="false" ht="15" hidden="false" customHeight="false" outlineLevel="0" collapsed="false">
      <c r="A2387" s="4" t="s">
        <v>15</v>
      </c>
      <c r="B2387" s="4" t="s">
        <v>1828</v>
      </c>
      <c r="C2387" s="4" t="s">
        <v>1834</v>
      </c>
      <c r="D2387" s="4" t="s">
        <v>62</v>
      </c>
      <c r="E2387" s="4" t="s">
        <v>63</v>
      </c>
      <c r="F2387" s="4" t="s">
        <v>63</v>
      </c>
      <c r="G2387" s="4" t="s">
        <v>1902</v>
      </c>
      <c r="H2387" s="4"/>
      <c r="I2387" s="4" t="n">
        <v>0.4623</v>
      </c>
      <c r="J2387" s="4" t="str">
        <f aca="false">TRIM(E2387) &amp; TRIM(C2387) &amp; TRIM(D2387)</f>
        <v>First ReviewDynamic Catalog Video PackageCL</v>
      </c>
      <c r="K2387" s="4" t="n">
        <f aca="false">IFERROR(I2387*60,"")</f>
        <v>27.738</v>
      </c>
    </row>
    <row r="2388" customFormat="false" ht="15" hidden="false" customHeight="false" outlineLevel="0" collapsed="false">
      <c r="A2388" s="4" t="s">
        <v>15</v>
      </c>
      <c r="B2388" s="4" t="s">
        <v>1828</v>
      </c>
      <c r="C2388" s="4" t="s">
        <v>1834</v>
      </c>
      <c r="D2388" s="4" t="s">
        <v>111</v>
      </c>
      <c r="E2388" s="4" t="s">
        <v>63</v>
      </c>
      <c r="F2388" s="4" t="s">
        <v>63</v>
      </c>
      <c r="G2388" s="4" t="s">
        <v>1903</v>
      </c>
      <c r="H2388" s="4"/>
      <c r="I2388" s="4" t="n">
        <v>0.4536</v>
      </c>
      <c r="J2388" s="4" t="str">
        <f aca="false">TRIM(E2388) &amp; TRIM(C2388) &amp; TRIM(D2388)</f>
        <v>First ReviewDynamic Catalog Video PackageUS</v>
      </c>
      <c r="K2388" s="4" t="n">
        <f aca="false">IFERROR(I2388*60,"")</f>
        <v>27.216</v>
      </c>
    </row>
    <row r="2389" customFormat="false" ht="15" hidden="false" customHeight="false" outlineLevel="0" collapsed="false">
      <c r="A2389" s="4" t="s">
        <v>15</v>
      </c>
      <c r="B2389" s="4" t="s">
        <v>1828</v>
      </c>
      <c r="C2389" s="4" t="s">
        <v>1831</v>
      </c>
      <c r="D2389" s="4" t="s">
        <v>95</v>
      </c>
      <c r="E2389" s="4" t="s">
        <v>59</v>
      </c>
      <c r="F2389" s="4" t="s">
        <v>59</v>
      </c>
      <c r="G2389" s="4" t="s">
        <v>1894</v>
      </c>
      <c r="H2389" s="4"/>
      <c r="I2389" s="4" t="n">
        <v>1.5754</v>
      </c>
      <c r="J2389" s="4" t="str">
        <f aca="false">TRIM(E2389) &amp; TRIM(C2389) &amp; TRIM(D2389)</f>
        <v>Re-reviewCatalog Ads LivestreamVN</v>
      </c>
      <c r="K2389" s="4" t="n">
        <f aca="false">IFERROR(I2389*60,"")</f>
        <v>94.524</v>
      </c>
    </row>
    <row r="2390" customFormat="false" ht="15" hidden="false" customHeight="false" outlineLevel="0" collapsed="false">
      <c r="A2390" s="4" t="s">
        <v>15</v>
      </c>
      <c r="B2390" s="4" t="s">
        <v>1828</v>
      </c>
      <c r="C2390" s="4" t="s">
        <v>1831</v>
      </c>
      <c r="D2390" s="4" t="s">
        <v>190</v>
      </c>
      <c r="E2390" s="4" t="s">
        <v>66</v>
      </c>
      <c r="F2390" s="4" t="s">
        <v>67</v>
      </c>
      <c r="G2390" s="4" t="s">
        <v>1904</v>
      </c>
      <c r="H2390" s="4"/>
      <c r="I2390" s="4" t="n">
        <v>1.1942</v>
      </c>
      <c r="J2390" s="4" t="str">
        <f aca="false">TRIM(E2390) &amp; TRIM(C2390) &amp; TRIM(D2390)</f>
        <v>Posted RecallCatalog Ads LivestreamPH</v>
      </c>
      <c r="K2390" s="4" t="n">
        <f aca="false">IFERROR(I2390*60,"")</f>
        <v>71.652</v>
      </c>
    </row>
    <row r="2391" customFormat="false" ht="15" hidden="false" customHeight="false" outlineLevel="0" collapsed="false">
      <c r="A2391" s="4" t="s">
        <v>15</v>
      </c>
      <c r="B2391" s="4" t="s">
        <v>1828</v>
      </c>
      <c r="C2391" s="4" t="s">
        <v>1834</v>
      </c>
      <c r="D2391" s="4" t="s">
        <v>117</v>
      </c>
      <c r="E2391" s="4" t="s">
        <v>63</v>
      </c>
      <c r="F2391" s="4" t="s">
        <v>63</v>
      </c>
      <c r="G2391" s="4" t="s">
        <v>1905</v>
      </c>
      <c r="H2391" s="4"/>
      <c r="I2391" s="4" t="n">
        <v>0.6445</v>
      </c>
      <c r="J2391" s="4" t="str">
        <f aca="false">TRIM(E2391) &amp; TRIM(C2391) &amp; TRIM(D2391)</f>
        <v>First ReviewDynamic Catalog Video PackageAR</v>
      </c>
      <c r="K2391" s="4" t="n">
        <f aca="false">IFERROR(I2391*60,"")</f>
        <v>38.67</v>
      </c>
    </row>
    <row r="2392" customFormat="false" ht="15" hidden="false" customHeight="false" outlineLevel="0" collapsed="false">
      <c r="A2392" s="4" t="s">
        <v>15</v>
      </c>
      <c r="B2392" s="4" t="s">
        <v>1828</v>
      </c>
      <c r="C2392" s="4" t="s">
        <v>1829</v>
      </c>
      <c r="D2392" s="4" t="s">
        <v>106</v>
      </c>
      <c r="E2392" s="4" t="s">
        <v>66</v>
      </c>
      <c r="F2392" s="4" t="s">
        <v>67</v>
      </c>
      <c r="G2392" s="4" t="s">
        <v>1906</v>
      </c>
      <c r="H2392" s="4"/>
      <c r="I2392" s="4" t="n">
        <v>2.412</v>
      </c>
      <c r="J2392" s="4" t="str">
        <f aca="false">TRIM(E2392) &amp; TRIM(C2392) &amp; TRIM(D2392)</f>
        <v>Posted RecallDynamic Catalog WholeProdMY</v>
      </c>
      <c r="K2392" s="4" t="n">
        <f aca="false">IFERROR(I2392*60,"")</f>
        <v>144.72</v>
      </c>
    </row>
    <row r="2393" customFormat="false" ht="15" hidden="false" customHeight="false" outlineLevel="0" collapsed="false">
      <c r="A2393" s="4" t="s">
        <v>15</v>
      </c>
      <c r="B2393" s="4" t="s">
        <v>1828</v>
      </c>
      <c r="C2393" s="4" t="s">
        <v>1831</v>
      </c>
      <c r="D2393" s="4" t="s">
        <v>458</v>
      </c>
      <c r="E2393" s="4" t="s">
        <v>59</v>
      </c>
      <c r="F2393" s="4" t="s">
        <v>59</v>
      </c>
      <c r="G2393" s="4" t="s">
        <v>1907</v>
      </c>
      <c r="H2393" s="4"/>
      <c r="I2393" s="4" t="n">
        <v>2.6756</v>
      </c>
      <c r="J2393" s="4" t="str">
        <f aca="false">TRIM(E2393) &amp; TRIM(C2393) &amp; TRIM(D2393)</f>
        <v>Re-reviewCatalog Ads LivestreamTW</v>
      </c>
      <c r="K2393" s="4" t="n">
        <f aca="false">IFERROR(I2393*60,"")</f>
        <v>160.536</v>
      </c>
    </row>
    <row r="2394" customFormat="false" ht="15" hidden="false" customHeight="false" outlineLevel="0" collapsed="false">
      <c r="A2394" s="4" t="s">
        <v>15</v>
      </c>
      <c r="B2394" s="4" t="s">
        <v>1828</v>
      </c>
      <c r="C2394" s="4" t="s">
        <v>1834</v>
      </c>
      <c r="D2394" s="4" t="s">
        <v>157</v>
      </c>
      <c r="E2394" s="4" t="s">
        <v>63</v>
      </c>
      <c r="F2394" s="4" t="s">
        <v>63</v>
      </c>
      <c r="G2394" s="4" t="s">
        <v>1908</v>
      </c>
      <c r="H2394" s="4"/>
      <c r="I2394" s="4" t="n">
        <v>0.4331</v>
      </c>
      <c r="J2394" s="4" t="str">
        <f aca="false">TRIM(E2394) &amp; TRIM(C2394) &amp; TRIM(D2394)</f>
        <v>First ReviewDynamic Catalog Video PackageSA</v>
      </c>
      <c r="K2394" s="4" t="n">
        <f aca="false">IFERROR(I2394*60,"")</f>
        <v>25.986</v>
      </c>
    </row>
    <row r="2395" customFormat="false" ht="15" hidden="false" customHeight="false" outlineLevel="0" collapsed="false">
      <c r="A2395" s="4" t="s">
        <v>15</v>
      </c>
      <c r="B2395" s="4" t="s">
        <v>1828</v>
      </c>
      <c r="C2395" s="4" t="s">
        <v>1831</v>
      </c>
      <c r="D2395" s="4" t="s">
        <v>190</v>
      </c>
      <c r="E2395" s="4" t="s">
        <v>63</v>
      </c>
      <c r="F2395" s="4" t="s">
        <v>63</v>
      </c>
      <c r="G2395" s="4" t="s">
        <v>1904</v>
      </c>
      <c r="H2395" s="4"/>
      <c r="I2395" s="4" t="n">
        <v>1.074</v>
      </c>
      <c r="J2395" s="4" t="str">
        <f aca="false">TRIM(E2395) &amp; TRIM(C2395) &amp; TRIM(D2395)</f>
        <v>First ReviewCatalog Ads LivestreamPH</v>
      </c>
      <c r="K2395" s="4" t="n">
        <f aca="false">IFERROR(I2395*60,"")</f>
        <v>64.44</v>
      </c>
    </row>
    <row r="2396" customFormat="false" ht="15" hidden="false" customHeight="false" outlineLevel="0" collapsed="false">
      <c r="A2396" s="4" t="s">
        <v>15</v>
      </c>
      <c r="B2396" s="4" t="s">
        <v>1828</v>
      </c>
      <c r="C2396" s="4" t="s">
        <v>1831</v>
      </c>
      <c r="D2396" s="4" t="s">
        <v>458</v>
      </c>
      <c r="E2396" s="4" t="s">
        <v>66</v>
      </c>
      <c r="F2396" s="4" t="s">
        <v>67</v>
      </c>
      <c r="G2396" s="4" t="s">
        <v>1907</v>
      </c>
      <c r="H2396" s="4"/>
      <c r="I2396" s="4" t="n">
        <v>2.16</v>
      </c>
      <c r="J2396" s="4" t="str">
        <f aca="false">TRIM(E2396) &amp; TRIM(C2396) &amp; TRIM(D2396)</f>
        <v>Posted RecallCatalog Ads LivestreamTW</v>
      </c>
      <c r="K2396" s="4" t="n">
        <f aca="false">IFERROR(I2396*60,"")</f>
        <v>129.6</v>
      </c>
    </row>
    <row r="2397" customFormat="false" ht="15" hidden="false" customHeight="false" outlineLevel="0" collapsed="false">
      <c r="A2397" s="4" t="s">
        <v>15</v>
      </c>
      <c r="B2397" s="4" t="s">
        <v>1828</v>
      </c>
      <c r="C2397" s="4" t="s">
        <v>1834</v>
      </c>
      <c r="D2397" s="4" t="s">
        <v>139</v>
      </c>
      <c r="E2397" s="4" t="s">
        <v>63</v>
      </c>
      <c r="F2397" s="4" t="s">
        <v>63</v>
      </c>
      <c r="G2397" s="4" t="s">
        <v>1909</v>
      </c>
      <c r="H2397" s="4"/>
      <c r="I2397" s="4" t="n">
        <v>0.3008</v>
      </c>
      <c r="J2397" s="4" t="str">
        <f aca="false">TRIM(E2397) &amp; TRIM(C2397) &amp; TRIM(D2397)</f>
        <v>First ReviewDynamic Catalog Video PackageEG</v>
      </c>
      <c r="K2397" s="4" t="n">
        <f aca="false">IFERROR(I2397*60,"")</f>
        <v>18.048</v>
      </c>
    </row>
    <row r="2398" customFormat="false" ht="15" hidden="false" customHeight="false" outlineLevel="0" collapsed="false">
      <c r="A2398" s="4" t="s">
        <v>15</v>
      </c>
      <c r="B2398" s="4" t="s">
        <v>1828</v>
      </c>
      <c r="C2398" s="4" t="s">
        <v>1829</v>
      </c>
      <c r="D2398" s="4" t="s">
        <v>70</v>
      </c>
      <c r="E2398" s="4" t="s">
        <v>63</v>
      </c>
      <c r="F2398" s="4" t="s">
        <v>63</v>
      </c>
      <c r="G2398" s="4" t="s">
        <v>1910</v>
      </c>
      <c r="H2398" s="4"/>
      <c r="I2398" s="4" t="n">
        <v>0.7644</v>
      </c>
      <c r="J2398" s="4" t="str">
        <f aca="false">TRIM(E2398) &amp; TRIM(C2398) &amp; TRIM(D2398)</f>
        <v>First ReviewDynamic Catalog WholeProdBE</v>
      </c>
      <c r="K2398" s="4" t="n">
        <f aca="false">IFERROR(I2398*60,"")</f>
        <v>45.864</v>
      </c>
    </row>
    <row r="2399" customFormat="false" ht="15" hidden="false" customHeight="false" outlineLevel="0" collapsed="false">
      <c r="A2399" s="4" t="s">
        <v>15</v>
      </c>
      <c r="B2399" s="4" t="s">
        <v>1828</v>
      </c>
      <c r="C2399" s="4" t="s">
        <v>1829</v>
      </c>
      <c r="D2399" s="4" t="s">
        <v>85</v>
      </c>
      <c r="E2399" s="4" t="s">
        <v>63</v>
      </c>
      <c r="F2399" s="4" t="s">
        <v>63</v>
      </c>
      <c r="G2399" s="4" t="s">
        <v>1911</v>
      </c>
      <c r="H2399" s="4"/>
      <c r="I2399" s="4" t="n">
        <v>0.5152</v>
      </c>
      <c r="J2399" s="4" t="str">
        <f aca="false">TRIM(E2399) &amp; TRIM(C2399) &amp; TRIM(D2399)</f>
        <v>First ReviewDynamic Catalog WholeProdEC</v>
      </c>
      <c r="K2399" s="4" t="n">
        <f aca="false">IFERROR(I2399*60,"")</f>
        <v>30.912</v>
      </c>
    </row>
    <row r="2400" customFormat="false" ht="15" hidden="false" customHeight="false" outlineLevel="0" collapsed="false">
      <c r="A2400" s="4" t="s">
        <v>15</v>
      </c>
      <c r="B2400" s="4" t="s">
        <v>1828</v>
      </c>
      <c r="C2400" s="4" t="s">
        <v>1838</v>
      </c>
      <c r="D2400" s="4" t="s">
        <v>154</v>
      </c>
      <c r="E2400" s="4" t="s">
        <v>63</v>
      </c>
      <c r="F2400" s="4" t="s">
        <v>63</v>
      </c>
      <c r="G2400" s="4" t="s">
        <v>1912</v>
      </c>
      <c r="H2400" s="4"/>
      <c r="I2400" s="4" t="n">
        <v>0.9376</v>
      </c>
      <c r="J2400" s="4" t="str">
        <f aca="false">TRIM(E2400) &amp; TRIM(C2400) &amp; TRIM(D2400)</f>
        <v>First ReviewClosed Loop ProductES</v>
      </c>
      <c r="K2400" s="4" t="n">
        <f aca="false">IFERROR(I2400*60,"")</f>
        <v>56.256</v>
      </c>
    </row>
    <row r="2401" customFormat="false" ht="15" hidden="false" customHeight="false" outlineLevel="0" collapsed="false">
      <c r="A2401" s="4" t="s">
        <v>15</v>
      </c>
      <c r="B2401" s="4" t="s">
        <v>1828</v>
      </c>
      <c r="C2401" s="4" t="s">
        <v>1831</v>
      </c>
      <c r="D2401" s="4" t="s">
        <v>95</v>
      </c>
      <c r="E2401" s="4" t="s">
        <v>66</v>
      </c>
      <c r="F2401" s="4" t="s">
        <v>67</v>
      </c>
      <c r="G2401" s="4" t="s">
        <v>1894</v>
      </c>
      <c r="H2401" s="4"/>
      <c r="I2401" s="4" t="n">
        <v>1.6034</v>
      </c>
      <c r="J2401" s="4" t="str">
        <f aca="false">TRIM(E2401) &amp; TRIM(C2401) &amp; TRIM(D2401)</f>
        <v>Posted RecallCatalog Ads LivestreamVN</v>
      </c>
      <c r="K2401" s="4" t="n">
        <f aca="false">IFERROR(I2401*60,"")</f>
        <v>96.204</v>
      </c>
    </row>
    <row r="2402" customFormat="false" ht="15" hidden="false" customHeight="false" outlineLevel="0" collapsed="false">
      <c r="A2402" s="4" t="s">
        <v>15</v>
      </c>
      <c r="B2402" s="4" t="s">
        <v>1828</v>
      </c>
      <c r="C2402" s="4" t="s">
        <v>1834</v>
      </c>
      <c r="D2402" s="4" t="s">
        <v>213</v>
      </c>
      <c r="E2402" s="4" t="s">
        <v>63</v>
      </c>
      <c r="F2402" s="4" t="s">
        <v>63</v>
      </c>
      <c r="G2402" s="4" t="s">
        <v>1913</v>
      </c>
      <c r="H2402" s="4"/>
      <c r="I2402" s="4" t="n">
        <v>0.4343</v>
      </c>
      <c r="J2402" s="4" t="str">
        <f aca="false">TRIM(E2402) &amp; TRIM(C2402) &amp; TRIM(D2402)</f>
        <v>First ReviewDynamic Catalog Video PackageFR</v>
      </c>
      <c r="K2402" s="4" t="n">
        <f aca="false">IFERROR(I2402*60,"")</f>
        <v>26.058</v>
      </c>
    </row>
    <row r="2403" customFormat="false" ht="15" hidden="false" customHeight="false" outlineLevel="0" collapsed="false">
      <c r="A2403" s="4" t="s">
        <v>15</v>
      </c>
      <c r="B2403" s="4" t="s">
        <v>1828</v>
      </c>
      <c r="C2403" s="4" t="s">
        <v>1834</v>
      </c>
      <c r="D2403" s="4" t="s">
        <v>203</v>
      </c>
      <c r="E2403" s="4" t="s">
        <v>63</v>
      </c>
      <c r="F2403" s="4" t="s">
        <v>63</v>
      </c>
      <c r="G2403" s="4" t="s">
        <v>1914</v>
      </c>
      <c r="H2403" s="4"/>
      <c r="I2403" s="4" t="n">
        <v>0.4262</v>
      </c>
      <c r="J2403" s="4" t="str">
        <f aca="false">TRIM(E2403) &amp; TRIM(C2403) &amp; TRIM(D2403)</f>
        <v>First ReviewDynamic Catalog Video PackageCA</v>
      </c>
      <c r="K2403" s="4" t="n">
        <f aca="false">IFERROR(I2403*60,"")</f>
        <v>25.572</v>
      </c>
    </row>
    <row r="2404" customFormat="false" ht="15" hidden="false" customHeight="false" outlineLevel="0" collapsed="false">
      <c r="A2404" s="4" t="s">
        <v>15</v>
      </c>
      <c r="B2404" s="4" t="s">
        <v>1828</v>
      </c>
      <c r="C2404" s="4" t="s">
        <v>1831</v>
      </c>
      <c r="D2404" s="4" t="s">
        <v>275</v>
      </c>
      <c r="E2404" s="4" t="s">
        <v>63</v>
      </c>
      <c r="F2404" s="4" t="s">
        <v>63</v>
      </c>
      <c r="G2404" s="4" t="s">
        <v>1915</v>
      </c>
      <c r="H2404" s="4"/>
      <c r="I2404" s="4" t="n">
        <v>2.545</v>
      </c>
      <c r="J2404" s="4" t="str">
        <f aca="false">TRIM(E2404) &amp; TRIM(C2404) &amp; TRIM(D2404)</f>
        <v>First ReviewCatalog Ads LivestreamGB</v>
      </c>
      <c r="K2404" s="4" t="n">
        <f aca="false">IFERROR(I2404*60,"")</f>
        <v>152.7</v>
      </c>
    </row>
    <row r="2405" customFormat="false" ht="15" hidden="false" customHeight="false" outlineLevel="0" collapsed="false">
      <c r="A2405" s="4" t="s">
        <v>15</v>
      </c>
      <c r="B2405" s="4" t="s">
        <v>1828</v>
      </c>
      <c r="C2405" s="4" t="s">
        <v>1834</v>
      </c>
      <c r="D2405" s="4" t="s">
        <v>166</v>
      </c>
      <c r="E2405" s="4" t="s">
        <v>63</v>
      </c>
      <c r="F2405" s="4" t="s">
        <v>63</v>
      </c>
      <c r="G2405" s="4" t="s">
        <v>1916</v>
      </c>
      <c r="H2405" s="4"/>
      <c r="I2405" s="4" t="n">
        <v>0.6975</v>
      </c>
      <c r="J2405" s="4" t="str">
        <f aca="false">TRIM(E2405) &amp; TRIM(C2405) &amp; TRIM(D2405)</f>
        <v>First ReviewDynamic Catalog Video PackageCZ</v>
      </c>
      <c r="K2405" s="4" t="n">
        <f aca="false">IFERROR(I2405*60,"")</f>
        <v>41.85</v>
      </c>
    </row>
    <row r="2406" customFormat="false" ht="15" hidden="false" customHeight="false" outlineLevel="0" collapsed="false">
      <c r="A2406" s="4" t="s">
        <v>15</v>
      </c>
      <c r="B2406" s="4" t="s">
        <v>1828</v>
      </c>
      <c r="C2406" s="4" t="s">
        <v>1838</v>
      </c>
      <c r="D2406" s="4" t="s">
        <v>267</v>
      </c>
      <c r="E2406" s="4" t="s">
        <v>63</v>
      </c>
      <c r="F2406" s="4" t="s">
        <v>63</v>
      </c>
      <c r="G2406" s="4" t="s">
        <v>1917</v>
      </c>
      <c r="H2406" s="4"/>
      <c r="I2406" s="4" t="n">
        <v>0.7432</v>
      </c>
      <c r="J2406" s="4" t="str">
        <f aca="false">TRIM(E2406) &amp; TRIM(C2406) &amp; TRIM(D2406)</f>
        <v>First ReviewClosed Loop ProductID</v>
      </c>
      <c r="K2406" s="4" t="n">
        <f aca="false">IFERROR(I2406*60,"")</f>
        <v>44.592</v>
      </c>
    </row>
    <row r="2407" customFormat="false" ht="15" hidden="false" customHeight="false" outlineLevel="0" collapsed="false">
      <c r="A2407" s="4" t="s">
        <v>15</v>
      </c>
      <c r="B2407" s="4" t="s">
        <v>1828</v>
      </c>
      <c r="C2407" s="4" t="s">
        <v>1834</v>
      </c>
      <c r="D2407" s="4" t="s">
        <v>195</v>
      </c>
      <c r="E2407" s="4" t="s">
        <v>63</v>
      </c>
      <c r="F2407" s="4" t="s">
        <v>63</v>
      </c>
      <c r="G2407" s="4" t="s">
        <v>1918</v>
      </c>
      <c r="H2407" s="4"/>
      <c r="I2407" s="4" t="n">
        <v>1.0145</v>
      </c>
      <c r="J2407" s="4" t="str">
        <f aca="false">TRIM(E2407) &amp; TRIM(C2407) &amp; TRIM(D2407)</f>
        <v>First ReviewDynamic Catalog Video PackageIT</v>
      </c>
      <c r="K2407" s="4" t="n">
        <f aca="false">IFERROR(I2407*60,"")</f>
        <v>60.87</v>
      </c>
    </row>
    <row r="2408" customFormat="false" ht="15" hidden="false" customHeight="false" outlineLevel="0" collapsed="false">
      <c r="A2408" s="4" t="s">
        <v>15</v>
      </c>
      <c r="B2408" s="4" t="s">
        <v>1828</v>
      </c>
      <c r="C2408" s="4" t="s">
        <v>1829</v>
      </c>
      <c r="D2408" s="4" t="s">
        <v>79</v>
      </c>
      <c r="E2408" s="4" t="s">
        <v>66</v>
      </c>
      <c r="F2408" s="4" t="s">
        <v>67</v>
      </c>
      <c r="G2408" s="4" t="s">
        <v>1846</v>
      </c>
      <c r="H2408" s="4"/>
      <c r="I2408" s="4" t="n">
        <v>1.261</v>
      </c>
      <c r="J2408" s="4" t="str">
        <f aca="false">TRIM(E2408) &amp; TRIM(C2408) &amp; TRIM(D2408)</f>
        <v>Posted RecallDynamic Catalog WholeProdZA</v>
      </c>
      <c r="K2408" s="4" t="n">
        <f aca="false">IFERROR(I2408*60,"")</f>
        <v>75.66</v>
      </c>
    </row>
    <row r="2409" customFormat="false" ht="15" hidden="false" customHeight="false" outlineLevel="0" collapsed="false">
      <c r="A2409" s="4" t="s">
        <v>15</v>
      </c>
      <c r="B2409" s="4" t="s">
        <v>1828</v>
      </c>
      <c r="C2409" s="4" t="s">
        <v>1829</v>
      </c>
      <c r="D2409" s="4" t="s">
        <v>306</v>
      </c>
      <c r="E2409" s="4" t="s">
        <v>63</v>
      </c>
      <c r="F2409" s="4" t="s">
        <v>63</v>
      </c>
      <c r="G2409" s="4" t="s">
        <v>1869</v>
      </c>
      <c r="H2409" s="4"/>
      <c r="I2409" s="4" t="n">
        <v>1.6086</v>
      </c>
      <c r="J2409" s="4" t="str">
        <f aca="false">TRIM(E2409) &amp; TRIM(C2409) &amp; TRIM(D2409)</f>
        <v>First ReviewDynamic Catalog WholeProdTH</v>
      </c>
      <c r="K2409" s="4" t="n">
        <f aca="false">IFERROR(I2409*60,"")</f>
        <v>96.516</v>
      </c>
    </row>
    <row r="2410" customFormat="false" ht="15" hidden="false" customHeight="false" outlineLevel="0" collapsed="false">
      <c r="A2410" s="4" t="s">
        <v>15</v>
      </c>
      <c r="B2410" s="4" t="s">
        <v>1828</v>
      </c>
      <c r="C2410" s="4" t="s">
        <v>1831</v>
      </c>
      <c r="D2410" s="4" t="s">
        <v>275</v>
      </c>
      <c r="E2410" s="4" t="s">
        <v>66</v>
      </c>
      <c r="F2410" s="4" t="s">
        <v>67</v>
      </c>
      <c r="G2410" s="4" t="s">
        <v>1915</v>
      </c>
      <c r="H2410" s="4"/>
      <c r="I2410" s="4" t="n">
        <v>1.2328</v>
      </c>
      <c r="J2410" s="4" t="str">
        <f aca="false">TRIM(E2410) &amp; TRIM(C2410) &amp; TRIM(D2410)</f>
        <v>Posted RecallCatalog Ads LivestreamGB</v>
      </c>
      <c r="K2410" s="4" t="n">
        <f aca="false">IFERROR(I2410*60,"")</f>
        <v>73.968</v>
      </c>
    </row>
    <row r="2411" customFormat="false" ht="15" hidden="false" customHeight="false" outlineLevel="0" collapsed="false">
      <c r="A2411" s="4" t="s">
        <v>15</v>
      </c>
      <c r="B2411" s="4" t="s">
        <v>1828</v>
      </c>
      <c r="C2411" s="4" t="s">
        <v>1829</v>
      </c>
      <c r="D2411" s="4" t="s">
        <v>267</v>
      </c>
      <c r="E2411" s="4" t="s">
        <v>66</v>
      </c>
      <c r="F2411" s="4" t="s">
        <v>67</v>
      </c>
      <c r="G2411" s="4" t="s">
        <v>1879</v>
      </c>
      <c r="H2411" s="4"/>
      <c r="I2411" s="4" t="n">
        <v>0.7755</v>
      </c>
      <c r="J2411" s="4" t="str">
        <f aca="false">TRIM(E2411) &amp; TRIM(C2411) &amp; TRIM(D2411)</f>
        <v>Posted RecallDynamic Catalog WholeProdID</v>
      </c>
      <c r="K2411" s="4" t="n">
        <f aca="false">IFERROR(I2411*60,"")</f>
        <v>46.53</v>
      </c>
    </row>
    <row r="2412" customFormat="false" ht="15" hidden="false" customHeight="false" outlineLevel="0" collapsed="false">
      <c r="A2412" s="4" t="s">
        <v>15</v>
      </c>
      <c r="B2412" s="4" t="s">
        <v>1828</v>
      </c>
      <c r="C2412" s="4" t="s">
        <v>1838</v>
      </c>
      <c r="D2412" s="4" t="s">
        <v>190</v>
      </c>
      <c r="E2412" s="4" t="s">
        <v>63</v>
      </c>
      <c r="F2412" s="4" t="s">
        <v>63</v>
      </c>
      <c r="G2412" s="4" t="s">
        <v>1919</v>
      </c>
      <c r="H2412" s="4"/>
      <c r="I2412" s="4" t="n">
        <v>0.3059</v>
      </c>
      <c r="J2412" s="4" t="str">
        <f aca="false">TRIM(E2412) &amp; TRIM(C2412) &amp; TRIM(D2412)</f>
        <v>First ReviewClosed Loop ProductPH</v>
      </c>
      <c r="K2412" s="4" t="n">
        <f aca="false">IFERROR(I2412*60,"")</f>
        <v>18.354</v>
      </c>
    </row>
    <row r="2413" customFormat="false" ht="15" hidden="false" customHeight="false" outlineLevel="0" collapsed="false">
      <c r="A2413" s="4" t="s">
        <v>15</v>
      </c>
      <c r="B2413" s="4" t="s">
        <v>1828</v>
      </c>
      <c r="C2413" s="4" t="s">
        <v>1829</v>
      </c>
      <c r="D2413" s="4" t="s">
        <v>102</v>
      </c>
      <c r="E2413" s="4" t="s">
        <v>63</v>
      </c>
      <c r="F2413" s="4" t="s">
        <v>63</v>
      </c>
      <c r="G2413" s="4" t="s">
        <v>1920</v>
      </c>
      <c r="H2413" s="4"/>
      <c r="I2413" s="4" t="n">
        <v>1.1244</v>
      </c>
      <c r="J2413" s="4" t="str">
        <f aca="false">TRIM(E2413) &amp; TRIM(C2413) &amp; TRIM(D2413)</f>
        <v>First ReviewDynamic Catalog WholeProdSE</v>
      </c>
      <c r="K2413" s="4" t="n">
        <f aca="false">IFERROR(I2413*60,"")</f>
        <v>67.464</v>
      </c>
    </row>
    <row r="2414" customFormat="false" ht="15" hidden="false" customHeight="false" outlineLevel="0" collapsed="false">
      <c r="A2414" s="4" t="s">
        <v>15</v>
      </c>
      <c r="B2414" s="4" t="s">
        <v>1828</v>
      </c>
      <c r="C2414" s="4" t="s">
        <v>1834</v>
      </c>
      <c r="D2414" s="4" t="s">
        <v>150</v>
      </c>
      <c r="E2414" s="4" t="s">
        <v>63</v>
      </c>
      <c r="F2414" s="4" t="s">
        <v>63</v>
      </c>
      <c r="G2414" s="4" t="s">
        <v>1921</v>
      </c>
      <c r="H2414" s="4"/>
      <c r="I2414" s="4" t="n">
        <v>0.5123</v>
      </c>
      <c r="J2414" s="4" t="str">
        <f aca="false">TRIM(E2414) &amp; TRIM(C2414) &amp; TRIM(D2414)</f>
        <v>First ReviewDynamic Catalog Video PackageDE</v>
      </c>
      <c r="K2414" s="4" t="n">
        <f aca="false">IFERROR(I2414*60,"")</f>
        <v>30.738</v>
      </c>
    </row>
    <row r="2415" customFormat="false" ht="15" hidden="false" customHeight="false" outlineLevel="0" collapsed="false">
      <c r="A2415" s="4" t="s">
        <v>15</v>
      </c>
      <c r="B2415" s="4" t="s">
        <v>1828</v>
      </c>
      <c r="C2415" s="4" t="s">
        <v>1829</v>
      </c>
      <c r="D2415" s="4" t="s">
        <v>136</v>
      </c>
      <c r="E2415" s="4" t="s">
        <v>63</v>
      </c>
      <c r="F2415" s="4" t="s">
        <v>63</v>
      </c>
      <c r="G2415" s="4" t="s">
        <v>1922</v>
      </c>
      <c r="H2415" s="4"/>
      <c r="I2415" s="4" t="n">
        <v>0.7303</v>
      </c>
      <c r="J2415" s="4" t="str">
        <f aca="false">TRIM(E2415) &amp; TRIM(C2415) &amp; TRIM(D2415)</f>
        <v>First ReviewDynamic Catalog WholeProdPE</v>
      </c>
      <c r="K2415" s="4" t="n">
        <f aca="false">IFERROR(I2415*60,"")</f>
        <v>43.818</v>
      </c>
    </row>
    <row r="2416" customFormat="false" ht="15" hidden="false" customHeight="false" outlineLevel="0" collapsed="false">
      <c r="A2416" s="4" t="s">
        <v>15</v>
      </c>
      <c r="B2416" s="4" t="s">
        <v>1828</v>
      </c>
      <c r="C2416" s="4" t="s">
        <v>1829</v>
      </c>
      <c r="D2416" s="4" t="s">
        <v>213</v>
      </c>
      <c r="E2416" s="4" t="s">
        <v>63</v>
      </c>
      <c r="F2416" s="4" t="s">
        <v>63</v>
      </c>
      <c r="G2416" s="4" t="s">
        <v>1847</v>
      </c>
      <c r="H2416" s="4"/>
      <c r="I2416" s="4" t="n">
        <v>0.6108</v>
      </c>
      <c r="J2416" s="4" t="str">
        <f aca="false">TRIM(E2416) &amp; TRIM(C2416) &amp; TRIM(D2416)</f>
        <v>First ReviewDynamic Catalog WholeProdFR</v>
      </c>
      <c r="K2416" s="4" t="n">
        <f aca="false">IFERROR(I2416*60,"")</f>
        <v>36.648</v>
      </c>
    </row>
    <row r="2417" customFormat="false" ht="15" hidden="false" customHeight="false" outlineLevel="0" collapsed="false">
      <c r="A2417" s="4" t="s">
        <v>15</v>
      </c>
      <c r="B2417" s="4" t="s">
        <v>1828</v>
      </c>
      <c r="C2417" s="4" t="s">
        <v>1829</v>
      </c>
      <c r="D2417" s="4" t="s">
        <v>87</v>
      </c>
      <c r="E2417" s="4" t="s">
        <v>66</v>
      </c>
      <c r="F2417" s="4" t="s">
        <v>67</v>
      </c>
      <c r="G2417" s="4" t="s">
        <v>1861</v>
      </c>
      <c r="H2417" s="4"/>
      <c r="I2417" s="4" t="n">
        <v>0.5427</v>
      </c>
      <c r="J2417" s="4" t="str">
        <f aca="false">TRIM(E2417) &amp; TRIM(C2417) &amp; TRIM(D2417)</f>
        <v>Posted RecallDynamic Catalog WholeProdAE</v>
      </c>
      <c r="K2417" s="4" t="n">
        <f aca="false">IFERROR(I2417*60,"")</f>
        <v>32.562</v>
      </c>
    </row>
    <row r="2418" customFormat="false" ht="15" hidden="false" customHeight="false" outlineLevel="0" collapsed="false">
      <c r="A2418" s="4" t="s">
        <v>15</v>
      </c>
      <c r="B2418" s="4" t="s">
        <v>1828</v>
      </c>
      <c r="C2418" s="4" t="s">
        <v>1831</v>
      </c>
      <c r="D2418" s="4" t="s">
        <v>458</v>
      </c>
      <c r="E2418" s="4" t="s">
        <v>63</v>
      </c>
      <c r="F2418" s="4" t="s">
        <v>63</v>
      </c>
      <c r="G2418" s="4" t="s">
        <v>1907</v>
      </c>
      <c r="H2418" s="4"/>
      <c r="I2418" s="4" t="n">
        <v>3.1531</v>
      </c>
      <c r="J2418" s="4" t="str">
        <f aca="false">TRIM(E2418) &amp; TRIM(C2418) &amp; TRIM(D2418)</f>
        <v>First ReviewCatalog Ads LivestreamTW</v>
      </c>
      <c r="K2418" s="4" t="n">
        <f aca="false">IFERROR(I2418*60,"")</f>
        <v>189.186</v>
      </c>
    </row>
    <row r="2419" customFormat="false" ht="15" hidden="false" customHeight="false" outlineLevel="0" collapsed="false">
      <c r="A2419" s="4" t="s">
        <v>15</v>
      </c>
      <c r="B2419" s="4" t="s">
        <v>1828</v>
      </c>
      <c r="C2419" s="4" t="s">
        <v>1831</v>
      </c>
      <c r="D2419" s="4" t="s">
        <v>154</v>
      </c>
      <c r="E2419" s="4" t="s">
        <v>63</v>
      </c>
      <c r="F2419" s="4" t="s">
        <v>63</v>
      </c>
      <c r="G2419" s="4" t="s">
        <v>1923</v>
      </c>
      <c r="H2419" s="4"/>
      <c r="I2419" s="4" t="n">
        <v>2.5118</v>
      </c>
      <c r="J2419" s="4" t="str">
        <f aca="false">TRIM(E2419) &amp; TRIM(C2419) &amp; TRIM(D2419)</f>
        <v>First ReviewCatalog Ads LivestreamES</v>
      </c>
      <c r="K2419" s="4" t="n">
        <f aca="false">IFERROR(I2419*60,"")</f>
        <v>150.708</v>
      </c>
    </row>
    <row r="2420" customFormat="false" ht="15" hidden="false" customHeight="false" outlineLevel="0" collapsed="false">
      <c r="A2420" s="4" t="s">
        <v>15</v>
      </c>
      <c r="B2420" s="4" t="s">
        <v>1828</v>
      </c>
      <c r="C2420" s="4" t="s">
        <v>1829</v>
      </c>
      <c r="D2420" s="4" t="s">
        <v>190</v>
      </c>
      <c r="E2420" s="4" t="s">
        <v>66</v>
      </c>
      <c r="F2420" s="4" t="s">
        <v>67</v>
      </c>
      <c r="G2420" s="4" t="s">
        <v>1924</v>
      </c>
      <c r="H2420" s="4"/>
      <c r="I2420" s="4" t="n">
        <v>0.517</v>
      </c>
      <c r="J2420" s="4" t="str">
        <f aca="false">TRIM(E2420) &amp; TRIM(C2420) &amp; TRIM(D2420)</f>
        <v>Posted RecallDynamic Catalog WholeProdPH</v>
      </c>
      <c r="K2420" s="4" t="n">
        <f aca="false">IFERROR(I2420*60,"")</f>
        <v>31.02</v>
      </c>
    </row>
    <row r="2421" customFormat="false" ht="15" hidden="false" customHeight="false" outlineLevel="0" collapsed="false">
      <c r="A2421" s="4" t="s">
        <v>15</v>
      </c>
      <c r="B2421" s="4" t="s">
        <v>1828</v>
      </c>
      <c r="C2421" s="4" t="s">
        <v>1829</v>
      </c>
      <c r="D2421" s="4" t="s">
        <v>197</v>
      </c>
      <c r="E2421" s="4" t="s">
        <v>63</v>
      </c>
      <c r="F2421" s="4" t="s">
        <v>63</v>
      </c>
      <c r="G2421" s="4" t="s">
        <v>1925</v>
      </c>
      <c r="H2421" s="4"/>
      <c r="I2421" s="4" t="n">
        <v>0.4362</v>
      </c>
      <c r="J2421" s="4" t="str">
        <f aca="false">TRIM(E2421) &amp; TRIM(C2421) &amp; TRIM(D2421)</f>
        <v>First ReviewDynamic Catalog WholeProdGR</v>
      </c>
      <c r="K2421" s="4" t="n">
        <f aca="false">IFERROR(I2421*60,"")</f>
        <v>26.172</v>
      </c>
    </row>
    <row r="2422" customFormat="false" ht="15" hidden="false" customHeight="false" outlineLevel="0" collapsed="false">
      <c r="A2422" s="4" t="s">
        <v>15</v>
      </c>
      <c r="B2422" s="4" t="s">
        <v>1926</v>
      </c>
      <c r="C2422" s="4" t="s">
        <v>1927</v>
      </c>
      <c r="D2422" s="4" t="s">
        <v>306</v>
      </c>
      <c r="E2422" s="4" t="s">
        <v>63</v>
      </c>
      <c r="F2422" s="4" t="s">
        <v>63</v>
      </c>
      <c r="G2422" s="4" t="s">
        <v>1928</v>
      </c>
      <c r="H2422" s="4"/>
      <c r="I2422" s="4" t="n">
        <v>0.9597</v>
      </c>
      <c r="J2422" s="4" t="str">
        <f aca="false">TRIM(E2422) &amp; TRIM(C2422) &amp; TRIM(D2422)</f>
        <v>First ReviewTCM Community VideoTH</v>
      </c>
      <c r="K2422" s="4" t="n">
        <f aca="false">IFERROR(I2422*60,"")</f>
        <v>57.582</v>
      </c>
    </row>
    <row r="2423" customFormat="false" ht="15" hidden="false" customHeight="false" outlineLevel="0" collapsed="false">
      <c r="A2423" s="4" t="s">
        <v>15</v>
      </c>
      <c r="B2423" s="4" t="s">
        <v>1926</v>
      </c>
      <c r="C2423" s="4" t="s">
        <v>1929</v>
      </c>
      <c r="D2423" s="4" t="s">
        <v>70</v>
      </c>
      <c r="E2423" s="4" t="s">
        <v>63</v>
      </c>
      <c r="F2423" s="4" t="s">
        <v>63</v>
      </c>
      <c r="G2423" s="4" t="s">
        <v>1930</v>
      </c>
      <c r="H2423" s="4"/>
      <c r="I2423" s="4" t="n">
        <v>0.1</v>
      </c>
      <c r="J2423" s="4" t="str">
        <f aca="false">TRIM(E2423) &amp; TRIM(C2423) &amp; TRIM(D2423)</f>
        <v>First ReviewGame Vertical AnchorBE</v>
      </c>
      <c r="K2423" s="4" t="n">
        <f aca="false">IFERROR(I2423*60,"")</f>
        <v>6</v>
      </c>
    </row>
    <row r="2424" customFormat="false" ht="15" hidden="false" customHeight="false" outlineLevel="0" collapsed="false">
      <c r="A2424" s="4" t="s">
        <v>15</v>
      </c>
      <c r="B2424" s="4" t="s">
        <v>1926</v>
      </c>
      <c r="C2424" s="4" t="s">
        <v>1929</v>
      </c>
      <c r="D2424" s="4" t="s">
        <v>306</v>
      </c>
      <c r="E2424" s="4" t="s">
        <v>63</v>
      </c>
      <c r="F2424" s="4" t="s">
        <v>63</v>
      </c>
      <c r="G2424" s="4" t="s">
        <v>1931</v>
      </c>
      <c r="H2424" s="4"/>
      <c r="I2424" s="4" t="n">
        <v>0.2198</v>
      </c>
      <c r="J2424" s="4" t="str">
        <f aca="false">TRIM(E2424) &amp; TRIM(C2424) &amp; TRIM(D2424)</f>
        <v>First ReviewGame Vertical AnchorTH</v>
      </c>
      <c r="K2424" s="4" t="n">
        <f aca="false">IFERROR(I2424*60,"")</f>
        <v>13.188</v>
      </c>
    </row>
    <row r="2425" customFormat="false" ht="15" hidden="false" customHeight="false" outlineLevel="0" collapsed="false">
      <c r="A2425" s="4" t="s">
        <v>15</v>
      </c>
      <c r="B2425" s="4" t="s">
        <v>1926</v>
      </c>
      <c r="C2425" s="4" t="s">
        <v>1929</v>
      </c>
      <c r="D2425" s="4" t="s">
        <v>58</v>
      </c>
      <c r="E2425" s="4" t="s">
        <v>63</v>
      </c>
      <c r="F2425" s="4" t="s">
        <v>63</v>
      </c>
      <c r="G2425" s="4" t="s">
        <v>1932</v>
      </c>
      <c r="H2425" s="4"/>
      <c r="I2425" s="4" t="n">
        <v>0.0958</v>
      </c>
      <c r="J2425" s="4" t="str">
        <f aca="false">TRIM(E2425) &amp; TRIM(C2425) &amp; TRIM(D2425)</f>
        <v>First ReviewGame Vertical AnchorSG</v>
      </c>
      <c r="K2425" s="4" t="n">
        <f aca="false">IFERROR(I2425*60,"")</f>
        <v>5.748</v>
      </c>
    </row>
    <row r="2426" customFormat="false" ht="15" hidden="false" customHeight="false" outlineLevel="0" collapsed="false">
      <c r="A2426" s="4" t="s">
        <v>15</v>
      </c>
      <c r="B2426" s="4" t="s">
        <v>1926</v>
      </c>
      <c r="C2426" s="4" t="s">
        <v>1929</v>
      </c>
      <c r="D2426" s="4" t="s">
        <v>310</v>
      </c>
      <c r="E2426" s="4" t="s">
        <v>63</v>
      </c>
      <c r="F2426" s="4" t="s">
        <v>63</v>
      </c>
      <c r="G2426" s="4" t="s">
        <v>1933</v>
      </c>
      <c r="H2426" s="4"/>
      <c r="I2426" s="4" t="n">
        <v>0.1869</v>
      </c>
      <c r="J2426" s="4" t="str">
        <f aca="false">TRIM(E2426) &amp; TRIM(C2426) &amp; TRIM(D2426)</f>
        <v>First ReviewGame Vertical AnchorUY</v>
      </c>
      <c r="K2426" s="4" t="n">
        <f aca="false">IFERROR(I2426*60,"")</f>
        <v>11.214</v>
      </c>
    </row>
    <row r="2427" customFormat="false" ht="15" hidden="false" customHeight="false" outlineLevel="0" collapsed="false">
      <c r="A2427" s="4" t="s">
        <v>15</v>
      </c>
      <c r="B2427" s="4" t="s">
        <v>1926</v>
      </c>
      <c r="C2427" s="4" t="s">
        <v>1929</v>
      </c>
      <c r="D2427" s="4" t="s">
        <v>195</v>
      </c>
      <c r="E2427" s="4" t="s">
        <v>63</v>
      </c>
      <c r="F2427" s="4" t="s">
        <v>63</v>
      </c>
      <c r="G2427" s="4" t="s">
        <v>1934</v>
      </c>
      <c r="H2427" s="4"/>
      <c r="I2427" s="4" t="n">
        <v>0.2995</v>
      </c>
      <c r="J2427" s="4" t="str">
        <f aca="false">TRIM(E2427) &amp; TRIM(C2427) &amp; TRIM(D2427)</f>
        <v>First ReviewGame Vertical AnchorIT</v>
      </c>
      <c r="K2427" s="4" t="n">
        <f aca="false">IFERROR(I2427*60,"")</f>
        <v>17.97</v>
      </c>
    </row>
    <row r="2428" customFormat="false" ht="15" hidden="false" customHeight="false" outlineLevel="0" collapsed="false">
      <c r="A2428" s="4" t="s">
        <v>15</v>
      </c>
      <c r="B2428" s="4" t="s">
        <v>1926</v>
      </c>
      <c r="C2428" s="4" t="s">
        <v>1927</v>
      </c>
      <c r="D2428" s="4" t="s">
        <v>267</v>
      </c>
      <c r="E2428" s="4" t="s">
        <v>63</v>
      </c>
      <c r="F2428" s="4" t="s">
        <v>63</v>
      </c>
      <c r="G2428" s="4" t="s">
        <v>1935</v>
      </c>
      <c r="H2428" s="4"/>
      <c r="I2428" s="4" t="n">
        <v>1.0193</v>
      </c>
      <c r="J2428" s="4" t="str">
        <f aca="false">TRIM(E2428) &amp; TRIM(C2428) &amp; TRIM(D2428)</f>
        <v>First ReviewTCM Community VideoID</v>
      </c>
      <c r="K2428" s="4" t="n">
        <f aca="false">IFERROR(I2428*60,"")</f>
        <v>61.158</v>
      </c>
    </row>
    <row r="2429" customFormat="false" ht="15" hidden="false" customHeight="false" outlineLevel="0" collapsed="false">
      <c r="A2429" s="4" t="s">
        <v>15</v>
      </c>
      <c r="B2429" s="4" t="s">
        <v>1926</v>
      </c>
      <c r="C2429" s="4" t="s">
        <v>1927</v>
      </c>
      <c r="D2429" s="4" t="s">
        <v>87</v>
      </c>
      <c r="E2429" s="4" t="s">
        <v>63</v>
      </c>
      <c r="F2429" s="4" t="s">
        <v>63</v>
      </c>
      <c r="G2429" s="4" t="s">
        <v>1936</v>
      </c>
      <c r="H2429" s="4"/>
      <c r="I2429" s="4" t="n">
        <v>1.0008</v>
      </c>
      <c r="J2429" s="4" t="str">
        <f aca="false">TRIM(E2429) &amp; TRIM(C2429) &amp; TRIM(D2429)</f>
        <v>First ReviewTCM Community VideoAE</v>
      </c>
      <c r="K2429" s="4" t="n">
        <f aca="false">IFERROR(I2429*60,"")</f>
        <v>60.048</v>
      </c>
    </row>
    <row r="2430" customFormat="false" ht="15" hidden="false" customHeight="false" outlineLevel="0" collapsed="false">
      <c r="A2430" s="4" t="s">
        <v>15</v>
      </c>
      <c r="B2430" s="4" t="s">
        <v>1926</v>
      </c>
      <c r="C2430" s="4" t="s">
        <v>1929</v>
      </c>
      <c r="D2430" s="4" t="s">
        <v>162</v>
      </c>
      <c r="E2430" s="4" t="s">
        <v>63</v>
      </c>
      <c r="F2430" s="4" t="s">
        <v>63</v>
      </c>
      <c r="G2430" s="4" t="s">
        <v>1937</v>
      </c>
      <c r="H2430" s="4"/>
      <c r="I2430" s="4" t="n">
        <v>0.2185</v>
      </c>
      <c r="J2430" s="4" t="str">
        <f aca="false">TRIM(E2430) &amp; TRIM(C2430) &amp; TRIM(D2430)</f>
        <v>First ReviewGame Vertical AnchorJO</v>
      </c>
      <c r="K2430" s="4" t="n">
        <f aca="false">IFERROR(I2430*60,"")</f>
        <v>13.11</v>
      </c>
    </row>
    <row r="2431" customFormat="false" ht="15" hidden="false" customHeight="false" outlineLevel="0" collapsed="false">
      <c r="A2431" s="4" t="s">
        <v>15</v>
      </c>
      <c r="B2431" s="4" t="s">
        <v>1926</v>
      </c>
      <c r="C2431" s="4" t="s">
        <v>1929</v>
      </c>
      <c r="D2431" s="4" t="s">
        <v>231</v>
      </c>
      <c r="E2431" s="4" t="s">
        <v>63</v>
      </c>
      <c r="F2431" s="4" t="s">
        <v>63</v>
      </c>
      <c r="G2431" s="4" t="s">
        <v>1938</v>
      </c>
      <c r="H2431" s="4"/>
      <c r="I2431" s="4" t="n">
        <v>0.8752</v>
      </c>
      <c r="J2431" s="4" t="str">
        <f aca="false">TRIM(E2431) &amp; TRIM(C2431) &amp; TRIM(D2431)</f>
        <v>First ReviewGame Vertical AnchorIL</v>
      </c>
      <c r="K2431" s="4" t="n">
        <f aca="false">IFERROR(I2431*60,"")</f>
        <v>52.512</v>
      </c>
    </row>
    <row r="2432" customFormat="false" ht="15" hidden="false" customHeight="false" outlineLevel="0" collapsed="false">
      <c r="A2432" s="4" t="s">
        <v>15</v>
      </c>
      <c r="B2432" s="4" t="s">
        <v>1926</v>
      </c>
      <c r="C2432" s="4" t="s">
        <v>1929</v>
      </c>
      <c r="D2432" s="4" t="s">
        <v>251</v>
      </c>
      <c r="E2432" s="4" t="s">
        <v>63</v>
      </c>
      <c r="F2432" s="4" t="s">
        <v>63</v>
      </c>
      <c r="G2432" s="4" t="s">
        <v>1939</v>
      </c>
      <c r="H2432" s="4"/>
      <c r="I2432" s="4" t="n">
        <v>0.1047</v>
      </c>
      <c r="J2432" s="4" t="str">
        <f aca="false">TRIM(E2432) &amp; TRIM(C2432) &amp; TRIM(D2432)</f>
        <v>First ReviewGame Vertical AnchorRO</v>
      </c>
      <c r="K2432" s="4" t="n">
        <f aca="false">IFERROR(I2432*60,"")</f>
        <v>6.282</v>
      </c>
    </row>
    <row r="2433" customFormat="false" ht="15" hidden="false" customHeight="false" outlineLevel="0" collapsed="false">
      <c r="A2433" s="4" t="s">
        <v>15</v>
      </c>
      <c r="B2433" s="4" t="s">
        <v>1926</v>
      </c>
      <c r="C2433" s="4" t="s">
        <v>1929</v>
      </c>
      <c r="D2433" s="4" t="s">
        <v>130</v>
      </c>
      <c r="E2433" s="4" t="s">
        <v>63</v>
      </c>
      <c r="F2433" s="4" t="s">
        <v>63</v>
      </c>
      <c r="G2433" s="4" t="s">
        <v>1940</v>
      </c>
      <c r="H2433" s="4"/>
      <c r="I2433" s="4" t="n">
        <v>0.2056</v>
      </c>
      <c r="J2433" s="4" t="str">
        <f aca="false">TRIM(E2433) &amp; TRIM(C2433) &amp; TRIM(D2433)</f>
        <v>First ReviewGame Vertical AnchorMA</v>
      </c>
      <c r="K2433" s="4" t="n">
        <f aca="false">IFERROR(I2433*60,"")</f>
        <v>12.336</v>
      </c>
    </row>
    <row r="2434" customFormat="false" ht="15" hidden="false" customHeight="false" outlineLevel="0" collapsed="false">
      <c r="A2434" s="4" t="s">
        <v>15</v>
      </c>
      <c r="B2434" s="4" t="s">
        <v>1926</v>
      </c>
      <c r="C2434" s="4" t="s">
        <v>1929</v>
      </c>
      <c r="D2434" s="4" t="s">
        <v>62</v>
      </c>
      <c r="E2434" s="4" t="s">
        <v>63</v>
      </c>
      <c r="F2434" s="4" t="s">
        <v>63</v>
      </c>
      <c r="G2434" s="4" t="s">
        <v>1941</v>
      </c>
      <c r="H2434" s="4"/>
      <c r="I2434" s="4" t="n">
        <v>0.1752</v>
      </c>
      <c r="J2434" s="4" t="str">
        <f aca="false">TRIM(E2434) &amp; TRIM(C2434) &amp; TRIM(D2434)</f>
        <v>First ReviewGame Vertical AnchorCL</v>
      </c>
      <c r="K2434" s="4" t="n">
        <f aca="false">IFERROR(I2434*60,"")</f>
        <v>10.512</v>
      </c>
    </row>
    <row r="2435" customFormat="false" ht="15" hidden="false" customHeight="false" outlineLevel="0" collapsed="false">
      <c r="A2435" s="4" t="s">
        <v>15</v>
      </c>
      <c r="B2435" s="4" t="s">
        <v>1926</v>
      </c>
      <c r="C2435" s="4" t="s">
        <v>1929</v>
      </c>
      <c r="D2435" s="4" t="s">
        <v>76</v>
      </c>
      <c r="E2435" s="4" t="s">
        <v>63</v>
      </c>
      <c r="F2435" s="4" t="s">
        <v>63</v>
      </c>
      <c r="G2435" s="4" t="s">
        <v>1942</v>
      </c>
      <c r="H2435" s="4"/>
      <c r="I2435" s="4" t="n">
        <v>1.5399</v>
      </c>
      <c r="J2435" s="4" t="str">
        <f aca="false">TRIM(E2435) &amp; TRIM(C2435) &amp; TRIM(D2435)</f>
        <v>First ReviewGame Vertical AnchorLT</v>
      </c>
      <c r="K2435" s="4" t="n">
        <f aca="false">IFERROR(I2435*60,"")</f>
        <v>92.394</v>
      </c>
    </row>
    <row r="2436" customFormat="false" ht="15" hidden="false" customHeight="false" outlineLevel="0" collapsed="false">
      <c r="A2436" s="4" t="s">
        <v>15</v>
      </c>
      <c r="B2436" s="4" t="s">
        <v>1926</v>
      </c>
      <c r="C2436" s="4" t="s">
        <v>1929</v>
      </c>
      <c r="D2436" s="4" t="s">
        <v>106</v>
      </c>
      <c r="E2436" s="4" t="s">
        <v>63</v>
      </c>
      <c r="F2436" s="4" t="s">
        <v>63</v>
      </c>
      <c r="G2436" s="4" t="s">
        <v>1943</v>
      </c>
      <c r="H2436" s="4"/>
      <c r="I2436" s="4" t="n">
        <v>0.246</v>
      </c>
      <c r="J2436" s="4" t="str">
        <f aca="false">TRIM(E2436) &amp; TRIM(C2436) &amp; TRIM(D2436)</f>
        <v>First ReviewGame Vertical AnchorMY</v>
      </c>
      <c r="K2436" s="4" t="n">
        <f aca="false">IFERROR(I2436*60,"")</f>
        <v>14.76</v>
      </c>
    </row>
    <row r="2437" customFormat="false" ht="15" hidden="false" customHeight="false" outlineLevel="0" collapsed="false">
      <c r="A2437" s="4" t="s">
        <v>15</v>
      </c>
      <c r="B2437" s="4" t="s">
        <v>1926</v>
      </c>
      <c r="C2437" s="4" t="s">
        <v>1927</v>
      </c>
      <c r="D2437" s="4" t="s">
        <v>111</v>
      </c>
      <c r="E2437" s="4" t="s">
        <v>63</v>
      </c>
      <c r="F2437" s="4" t="s">
        <v>63</v>
      </c>
      <c r="G2437" s="4" t="s">
        <v>1944</v>
      </c>
      <c r="H2437" s="4"/>
      <c r="I2437" s="4" t="n">
        <v>1.1788</v>
      </c>
      <c r="J2437" s="4" t="str">
        <f aca="false">TRIM(E2437) &amp; TRIM(C2437) &amp; TRIM(D2437)</f>
        <v>First ReviewTCM Community VideoUS</v>
      </c>
      <c r="K2437" s="4" t="n">
        <f aca="false">IFERROR(I2437*60,"")</f>
        <v>70.728</v>
      </c>
    </row>
    <row r="2438" customFormat="false" ht="15" hidden="false" customHeight="false" outlineLevel="0" collapsed="false">
      <c r="A2438" s="4" t="s">
        <v>15</v>
      </c>
      <c r="B2438" s="4" t="s">
        <v>1926</v>
      </c>
      <c r="C2438" s="4" t="s">
        <v>1927</v>
      </c>
      <c r="D2438" s="4" t="s">
        <v>275</v>
      </c>
      <c r="E2438" s="4" t="s">
        <v>63</v>
      </c>
      <c r="F2438" s="4" t="s">
        <v>63</v>
      </c>
      <c r="G2438" s="4" t="s">
        <v>1945</v>
      </c>
      <c r="H2438" s="4"/>
      <c r="I2438" s="4" t="n">
        <v>2.2094</v>
      </c>
      <c r="J2438" s="4" t="str">
        <f aca="false">TRIM(E2438) &amp; TRIM(C2438) &amp; TRIM(D2438)</f>
        <v>First ReviewTCM Community VideoGB</v>
      </c>
      <c r="K2438" s="4" t="n">
        <f aca="false">IFERROR(I2438*60,"")</f>
        <v>132.564</v>
      </c>
    </row>
    <row r="2439" customFormat="false" ht="15" hidden="false" customHeight="false" outlineLevel="0" collapsed="false">
      <c r="A2439" s="4" t="s">
        <v>15</v>
      </c>
      <c r="B2439" s="4" t="s">
        <v>1926</v>
      </c>
      <c r="C2439" s="4" t="s">
        <v>1927</v>
      </c>
      <c r="D2439" s="4" t="s">
        <v>203</v>
      </c>
      <c r="E2439" s="4" t="s">
        <v>63</v>
      </c>
      <c r="F2439" s="4" t="s">
        <v>63</v>
      </c>
      <c r="G2439" s="4" t="s">
        <v>1946</v>
      </c>
      <c r="H2439" s="4"/>
      <c r="I2439" s="4" t="n">
        <v>1.4088</v>
      </c>
      <c r="J2439" s="4" t="str">
        <f aca="false">TRIM(E2439) &amp; TRIM(C2439) &amp; TRIM(D2439)</f>
        <v>First ReviewTCM Community VideoCA</v>
      </c>
      <c r="K2439" s="4" t="n">
        <f aca="false">IFERROR(I2439*60,"")</f>
        <v>84.528</v>
      </c>
    </row>
    <row r="2440" customFormat="false" ht="15" hidden="false" customHeight="false" outlineLevel="0" collapsed="false">
      <c r="A2440" s="4" t="s">
        <v>15</v>
      </c>
      <c r="B2440" s="4" t="s">
        <v>1926</v>
      </c>
      <c r="C2440" s="4" t="s">
        <v>1929</v>
      </c>
      <c r="D2440" s="4" t="s">
        <v>166</v>
      </c>
      <c r="E2440" s="4" t="s">
        <v>63</v>
      </c>
      <c r="F2440" s="4" t="s">
        <v>63</v>
      </c>
      <c r="G2440" s="4" t="s">
        <v>1947</v>
      </c>
      <c r="H2440" s="4"/>
      <c r="I2440" s="4" t="n">
        <v>0.298</v>
      </c>
      <c r="J2440" s="4" t="str">
        <f aca="false">TRIM(E2440) &amp; TRIM(C2440) &amp; TRIM(D2440)</f>
        <v>First ReviewGame Vertical AnchorCZ</v>
      </c>
      <c r="K2440" s="4" t="n">
        <f aca="false">IFERROR(I2440*60,"")</f>
        <v>17.88</v>
      </c>
    </row>
    <row r="2441" customFormat="false" ht="15" hidden="false" customHeight="false" outlineLevel="0" collapsed="false">
      <c r="A2441" s="4" t="s">
        <v>15</v>
      </c>
      <c r="B2441" s="4" t="s">
        <v>1926</v>
      </c>
      <c r="C2441" s="4" t="s">
        <v>1929</v>
      </c>
      <c r="D2441" s="4" t="s">
        <v>458</v>
      </c>
      <c r="E2441" s="4" t="s">
        <v>63</v>
      </c>
      <c r="F2441" s="4" t="s">
        <v>63</v>
      </c>
      <c r="G2441" s="4" t="s">
        <v>1948</v>
      </c>
      <c r="H2441" s="4"/>
      <c r="I2441" s="4" t="n">
        <v>0.2791</v>
      </c>
      <c r="J2441" s="4" t="str">
        <f aca="false">TRIM(E2441) &amp; TRIM(C2441) &amp; TRIM(D2441)</f>
        <v>First ReviewGame Vertical AnchorTW</v>
      </c>
      <c r="K2441" s="4" t="n">
        <f aca="false">IFERROR(I2441*60,"")</f>
        <v>16.746</v>
      </c>
    </row>
    <row r="2442" customFormat="false" ht="15" hidden="false" customHeight="false" outlineLevel="0" collapsed="false">
      <c r="A2442" s="4" t="s">
        <v>15</v>
      </c>
      <c r="B2442" s="4" t="s">
        <v>1926</v>
      </c>
      <c r="C2442" s="4" t="s">
        <v>1929</v>
      </c>
      <c r="D2442" s="4" t="s">
        <v>901</v>
      </c>
      <c r="E2442" s="4" t="s">
        <v>63</v>
      </c>
      <c r="F2442" s="4" t="s">
        <v>63</v>
      </c>
      <c r="G2442" s="4" t="s">
        <v>1949</v>
      </c>
      <c r="H2442" s="4"/>
      <c r="I2442" s="4" t="n">
        <v>0.8179</v>
      </c>
      <c r="J2442" s="4" t="str">
        <f aca="false">TRIM(E2442) &amp; TRIM(C2442) &amp; TRIM(D2442)</f>
        <v>First ReviewGame Vertical AnchorLU</v>
      </c>
      <c r="K2442" s="4" t="n">
        <f aca="false">IFERROR(I2442*60,"")</f>
        <v>49.074</v>
      </c>
    </row>
    <row r="2443" customFormat="false" ht="15" hidden="false" customHeight="false" outlineLevel="0" collapsed="false">
      <c r="A2443" s="4" t="s">
        <v>15</v>
      </c>
      <c r="B2443" s="4" t="s">
        <v>1926</v>
      </c>
      <c r="C2443" s="4" t="s">
        <v>1927</v>
      </c>
      <c r="D2443" s="4" t="s">
        <v>100</v>
      </c>
      <c r="E2443" s="4" t="s">
        <v>63</v>
      </c>
      <c r="F2443" s="4" t="s">
        <v>63</v>
      </c>
      <c r="G2443" s="4" t="s">
        <v>1950</v>
      </c>
      <c r="H2443" s="4"/>
      <c r="I2443" s="4" t="n">
        <v>0.6875</v>
      </c>
      <c r="J2443" s="4" t="str">
        <f aca="false">TRIM(E2443) &amp; TRIM(C2443) &amp; TRIM(D2443)</f>
        <v>First ReviewTCM Community VideoAU</v>
      </c>
      <c r="K2443" s="4" t="n">
        <f aca="false">IFERROR(I2443*60,"")</f>
        <v>41.25</v>
      </c>
    </row>
    <row r="2444" customFormat="false" ht="15" hidden="false" customHeight="false" outlineLevel="0" collapsed="false">
      <c r="A2444" s="4" t="s">
        <v>15</v>
      </c>
      <c r="B2444" s="4" t="s">
        <v>1926</v>
      </c>
      <c r="C2444" s="4" t="s">
        <v>1927</v>
      </c>
      <c r="D2444" s="4" t="s">
        <v>97</v>
      </c>
      <c r="E2444" s="4" t="s">
        <v>63</v>
      </c>
      <c r="F2444" s="4" t="s">
        <v>63</v>
      </c>
      <c r="G2444" s="4" t="s">
        <v>1951</v>
      </c>
      <c r="H2444" s="4"/>
      <c r="I2444" s="4" t="n">
        <v>1.4227</v>
      </c>
      <c r="J2444" s="4" t="str">
        <f aca="false">TRIM(E2444) &amp; TRIM(C2444) &amp; TRIM(D2444)</f>
        <v>First ReviewTCM Community VideoBR</v>
      </c>
      <c r="K2444" s="4" t="n">
        <f aca="false">IFERROR(I2444*60,"")</f>
        <v>85.362</v>
      </c>
    </row>
    <row r="2445" customFormat="false" ht="15" hidden="false" customHeight="false" outlineLevel="0" collapsed="false">
      <c r="A2445" s="4" t="s">
        <v>15</v>
      </c>
      <c r="B2445" s="4" t="s">
        <v>1926</v>
      </c>
      <c r="C2445" s="4" t="s">
        <v>1929</v>
      </c>
      <c r="D2445" s="4" t="s">
        <v>115</v>
      </c>
      <c r="E2445" s="4" t="s">
        <v>63</v>
      </c>
      <c r="F2445" s="4" t="s">
        <v>63</v>
      </c>
      <c r="G2445" s="4" t="s">
        <v>1952</v>
      </c>
      <c r="H2445" s="4"/>
      <c r="I2445" s="4" t="n">
        <v>0.139</v>
      </c>
      <c r="J2445" s="4" t="str">
        <f aca="false">TRIM(E2445) &amp; TRIM(C2445) &amp; TRIM(D2445)</f>
        <v>First ReviewGame Vertical AnchorAT</v>
      </c>
      <c r="K2445" s="4" t="n">
        <f aca="false">IFERROR(I2445*60,"")</f>
        <v>8.34</v>
      </c>
    </row>
    <row r="2446" customFormat="false" ht="15" hidden="false" customHeight="false" outlineLevel="0" collapsed="false">
      <c r="A2446" s="4" t="s">
        <v>15</v>
      </c>
      <c r="B2446" s="4" t="s">
        <v>1926</v>
      </c>
      <c r="C2446" s="4" t="s">
        <v>1927</v>
      </c>
      <c r="D2446" s="4" t="s">
        <v>284</v>
      </c>
      <c r="E2446" s="4" t="s">
        <v>63</v>
      </c>
      <c r="F2446" s="4" t="s">
        <v>63</v>
      </c>
      <c r="G2446" s="4" t="s">
        <v>1953</v>
      </c>
      <c r="H2446" s="4"/>
      <c r="I2446" s="4" t="n">
        <v>1.1109</v>
      </c>
      <c r="J2446" s="4" t="str">
        <f aca="false">TRIM(E2446) &amp; TRIM(C2446) &amp; TRIM(D2446)</f>
        <v>First ReviewTCM Community VideoTR</v>
      </c>
      <c r="K2446" s="4" t="n">
        <f aca="false">IFERROR(I2446*60,"")</f>
        <v>66.654</v>
      </c>
    </row>
    <row r="2447" customFormat="false" ht="15" hidden="false" customHeight="false" outlineLevel="0" collapsed="false">
      <c r="A2447" s="4" t="s">
        <v>15</v>
      </c>
      <c r="B2447" s="4" t="s">
        <v>1926</v>
      </c>
      <c r="C2447" s="4" t="s">
        <v>1929</v>
      </c>
      <c r="D2447" s="4" t="s">
        <v>136</v>
      </c>
      <c r="E2447" s="4" t="s">
        <v>63</v>
      </c>
      <c r="F2447" s="4" t="s">
        <v>63</v>
      </c>
      <c r="G2447" s="4" t="s">
        <v>1954</v>
      </c>
      <c r="H2447" s="4"/>
      <c r="I2447" s="4" t="n">
        <v>0.1116</v>
      </c>
      <c r="J2447" s="4" t="str">
        <f aca="false">TRIM(E2447) &amp; TRIM(C2447) &amp; TRIM(D2447)</f>
        <v>First ReviewGame Vertical AnchorPE</v>
      </c>
      <c r="K2447" s="4" t="n">
        <f aca="false">IFERROR(I2447*60,"")</f>
        <v>6.696</v>
      </c>
    </row>
    <row r="2448" customFormat="false" ht="15" hidden="false" customHeight="false" outlineLevel="0" collapsed="false">
      <c r="A2448" s="4" t="s">
        <v>15</v>
      </c>
      <c r="B2448" s="4" t="s">
        <v>1926</v>
      </c>
      <c r="C2448" s="4" t="s">
        <v>1927</v>
      </c>
      <c r="D2448" s="4" t="s">
        <v>154</v>
      </c>
      <c r="E2448" s="4" t="s">
        <v>63</v>
      </c>
      <c r="F2448" s="4" t="s">
        <v>63</v>
      </c>
      <c r="G2448" s="4" t="s">
        <v>1955</v>
      </c>
      <c r="H2448" s="4"/>
      <c r="I2448" s="4" t="n">
        <v>2.4539</v>
      </c>
      <c r="J2448" s="4" t="str">
        <f aca="false">TRIM(E2448) &amp; TRIM(C2448) &amp; TRIM(D2448)</f>
        <v>First ReviewTCM Community VideoES</v>
      </c>
      <c r="K2448" s="4" t="n">
        <f aca="false">IFERROR(I2448*60,"")</f>
        <v>147.234</v>
      </c>
    </row>
    <row r="2449" customFormat="false" ht="15" hidden="false" customHeight="false" outlineLevel="0" collapsed="false">
      <c r="A2449" s="4" t="s">
        <v>15</v>
      </c>
      <c r="B2449" s="4" t="s">
        <v>1926</v>
      </c>
      <c r="C2449" s="4" t="s">
        <v>1927</v>
      </c>
      <c r="D2449" s="4" t="s">
        <v>275</v>
      </c>
      <c r="E2449" s="4" t="s">
        <v>59</v>
      </c>
      <c r="F2449" s="4" t="s">
        <v>59</v>
      </c>
      <c r="G2449" s="4" t="s">
        <v>1945</v>
      </c>
      <c r="H2449" s="4"/>
      <c r="I2449" s="4" t="n">
        <v>4.9519</v>
      </c>
      <c r="J2449" s="4" t="str">
        <f aca="false">TRIM(E2449) &amp; TRIM(C2449) &amp; TRIM(D2449)</f>
        <v>Re-reviewTCM Community VideoGB</v>
      </c>
      <c r="K2449" s="4" t="n">
        <f aca="false">IFERROR(I2449*60,"")</f>
        <v>297.114</v>
      </c>
    </row>
    <row r="2450" customFormat="false" ht="15" hidden="false" customHeight="false" outlineLevel="0" collapsed="false">
      <c r="A2450" s="4" t="s">
        <v>15</v>
      </c>
      <c r="B2450" s="4" t="s">
        <v>1926</v>
      </c>
      <c r="C2450" s="4" t="s">
        <v>1927</v>
      </c>
      <c r="D2450" s="4" t="s">
        <v>150</v>
      </c>
      <c r="E2450" s="4" t="s">
        <v>63</v>
      </c>
      <c r="F2450" s="4" t="s">
        <v>63</v>
      </c>
      <c r="G2450" s="4" t="s">
        <v>1956</v>
      </c>
      <c r="H2450" s="4"/>
      <c r="I2450" s="4" t="n">
        <v>1.296</v>
      </c>
      <c r="J2450" s="4" t="str">
        <f aca="false">TRIM(E2450) &amp; TRIM(C2450) &amp; TRIM(D2450)</f>
        <v>First ReviewTCM Community VideoDE</v>
      </c>
      <c r="K2450" s="4" t="n">
        <f aca="false">IFERROR(I2450*60,"")</f>
        <v>77.76</v>
      </c>
    </row>
    <row r="2451" customFormat="false" ht="15" hidden="false" customHeight="false" outlineLevel="0" collapsed="false">
      <c r="A2451" s="4" t="s">
        <v>15</v>
      </c>
      <c r="B2451" s="4" t="s">
        <v>1926</v>
      </c>
      <c r="C2451" s="4" t="s">
        <v>1929</v>
      </c>
      <c r="D2451" s="4" t="s">
        <v>111</v>
      </c>
      <c r="E2451" s="4" t="s">
        <v>63</v>
      </c>
      <c r="F2451" s="4" t="s">
        <v>63</v>
      </c>
      <c r="G2451" s="4" t="s">
        <v>1957</v>
      </c>
      <c r="H2451" s="4"/>
      <c r="I2451" s="4" t="n">
        <v>0.7076</v>
      </c>
      <c r="J2451" s="4" t="str">
        <f aca="false">TRIM(E2451) &amp; TRIM(C2451) &amp; TRIM(D2451)</f>
        <v>First ReviewGame Vertical AnchorUS</v>
      </c>
      <c r="K2451" s="4" t="n">
        <f aca="false">IFERROR(I2451*60,"")</f>
        <v>42.456</v>
      </c>
    </row>
    <row r="2452" customFormat="false" ht="15" hidden="false" customHeight="false" outlineLevel="0" collapsed="false">
      <c r="A2452" s="4" t="s">
        <v>15</v>
      </c>
      <c r="B2452" s="4" t="s">
        <v>1926</v>
      </c>
      <c r="C2452" s="4" t="s">
        <v>1927</v>
      </c>
      <c r="D2452" s="4" t="s">
        <v>106</v>
      </c>
      <c r="E2452" s="4" t="s">
        <v>63</v>
      </c>
      <c r="F2452" s="4" t="s">
        <v>63</v>
      </c>
      <c r="G2452" s="4" t="s">
        <v>1958</v>
      </c>
      <c r="H2452" s="4"/>
      <c r="I2452" s="4" t="n">
        <v>1.1078</v>
      </c>
      <c r="J2452" s="4" t="str">
        <f aca="false">TRIM(E2452) &amp; TRIM(C2452) &amp; TRIM(D2452)</f>
        <v>First ReviewTCM Community VideoMY</v>
      </c>
      <c r="K2452" s="4" t="n">
        <f aca="false">IFERROR(I2452*60,"")</f>
        <v>66.468</v>
      </c>
    </row>
    <row r="2453" customFormat="false" ht="15" hidden="false" customHeight="false" outlineLevel="0" collapsed="false">
      <c r="A2453" s="4" t="s">
        <v>15</v>
      </c>
      <c r="B2453" s="4" t="s">
        <v>1926</v>
      </c>
      <c r="C2453" s="4" t="s">
        <v>1929</v>
      </c>
      <c r="D2453" s="4" t="s">
        <v>73</v>
      </c>
      <c r="E2453" s="4" t="s">
        <v>63</v>
      </c>
      <c r="F2453" s="4" t="s">
        <v>63</v>
      </c>
      <c r="G2453" s="4" t="s">
        <v>1959</v>
      </c>
      <c r="H2453" s="4"/>
      <c r="I2453" s="4" t="n">
        <v>0.2627</v>
      </c>
      <c r="J2453" s="4" t="str">
        <f aca="false">TRIM(E2453) &amp; TRIM(C2453) &amp; TRIM(D2453)</f>
        <v>First ReviewGame Vertical AnchorIQ</v>
      </c>
      <c r="K2453" s="4" t="n">
        <f aca="false">IFERROR(I2453*60,"")</f>
        <v>15.762</v>
      </c>
    </row>
    <row r="2454" customFormat="false" ht="15" hidden="false" customHeight="false" outlineLevel="0" collapsed="false">
      <c r="A2454" s="4" t="s">
        <v>15</v>
      </c>
      <c r="B2454" s="4" t="s">
        <v>1926</v>
      </c>
      <c r="C2454" s="4" t="s">
        <v>1929</v>
      </c>
      <c r="D2454" s="4" t="s">
        <v>65</v>
      </c>
      <c r="E2454" s="4" t="s">
        <v>63</v>
      </c>
      <c r="F2454" s="4" t="s">
        <v>63</v>
      </c>
      <c r="G2454" s="4" t="s">
        <v>1960</v>
      </c>
      <c r="H2454" s="4"/>
      <c r="I2454" s="4" t="n">
        <v>1.3317</v>
      </c>
      <c r="J2454" s="4" t="str">
        <f aca="false">TRIM(E2454) &amp; TRIM(C2454) &amp; TRIM(D2454)</f>
        <v>First ReviewGame Vertical AnchorEE</v>
      </c>
      <c r="K2454" s="4" t="n">
        <f aca="false">IFERROR(I2454*60,"")</f>
        <v>79.902</v>
      </c>
    </row>
    <row r="2455" customFormat="false" ht="15" hidden="false" customHeight="false" outlineLevel="0" collapsed="false">
      <c r="A2455" s="4" t="s">
        <v>15</v>
      </c>
      <c r="B2455" s="4" t="s">
        <v>1926</v>
      </c>
      <c r="C2455" s="4" t="s">
        <v>1927</v>
      </c>
      <c r="D2455" s="4" t="s">
        <v>458</v>
      </c>
      <c r="E2455" s="4" t="s">
        <v>63</v>
      </c>
      <c r="F2455" s="4" t="s">
        <v>63</v>
      </c>
      <c r="G2455" s="4" t="s">
        <v>1961</v>
      </c>
      <c r="H2455" s="4"/>
      <c r="I2455" s="4" t="n">
        <v>2.4709</v>
      </c>
      <c r="J2455" s="4" t="str">
        <f aca="false">TRIM(E2455) &amp; TRIM(C2455) &amp; TRIM(D2455)</f>
        <v>First ReviewTCM Community VideoTW</v>
      </c>
      <c r="K2455" s="4" t="n">
        <f aca="false">IFERROR(I2455*60,"")</f>
        <v>148.254</v>
      </c>
    </row>
    <row r="2456" customFormat="false" ht="15" hidden="false" customHeight="false" outlineLevel="0" collapsed="false">
      <c r="A2456" s="4" t="s">
        <v>15</v>
      </c>
      <c r="B2456" s="4" t="s">
        <v>1926</v>
      </c>
      <c r="C2456" s="4" t="s">
        <v>1927</v>
      </c>
      <c r="D2456" s="4" t="s">
        <v>95</v>
      </c>
      <c r="E2456" s="4" t="s">
        <v>59</v>
      </c>
      <c r="F2456" s="4" t="s">
        <v>59</v>
      </c>
      <c r="G2456" s="4" t="s">
        <v>1962</v>
      </c>
      <c r="H2456" s="4"/>
      <c r="I2456" s="4" t="n">
        <v>1.2963</v>
      </c>
      <c r="J2456" s="4" t="str">
        <f aca="false">TRIM(E2456) &amp; TRIM(C2456) &amp; TRIM(D2456)</f>
        <v>Re-reviewTCM Community VideoVN</v>
      </c>
      <c r="K2456" s="4" t="n">
        <f aca="false">IFERROR(I2456*60,"")</f>
        <v>77.778</v>
      </c>
    </row>
    <row r="2457" customFormat="false" ht="15" hidden="false" customHeight="false" outlineLevel="0" collapsed="false">
      <c r="A2457" s="4" t="s">
        <v>15</v>
      </c>
      <c r="B2457" s="4" t="s">
        <v>1926</v>
      </c>
      <c r="C2457" s="4" t="s">
        <v>1929</v>
      </c>
      <c r="D2457" s="4" t="s">
        <v>121</v>
      </c>
      <c r="E2457" s="4" t="s">
        <v>63</v>
      </c>
      <c r="F2457" s="4" t="s">
        <v>63</v>
      </c>
      <c r="G2457" s="4" t="s">
        <v>1963</v>
      </c>
      <c r="H2457" s="4"/>
      <c r="I2457" s="4" t="n">
        <v>0.4551</v>
      </c>
      <c r="J2457" s="4" t="str">
        <f aca="false">TRIM(E2457) &amp; TRIM(C2457) &amp; TRIM(D2457)</f>
        <v>First ReviewGame Vertical AnchorKR</v>
      </c>
      <c r="K2457" s="4" t="n">
        <f aca="false">IFERROR(I2457*60,"")</f>
        <v>27.306</v>
      </c>
    </row>
    <row r="2458" customFormat="false" ht="15" hidden="false" customHeight="false" outlineLevel="0" collapsed="false">
      <c r="A2458" s="4" t="s">
        <v>15</v>
      </c>
      <c r="B2458" s="4" t="s">
        <v>1926</v>
      </c>
      <c r="C2458" s="4" t="s">
        <v>1929</v>
      </c>
      <c r="D2458" s="4" t="s">
        <v>82</v>
      </c>
      <c r="E2458" s="4" t="s">
        <v>63</v>
      </c>
      <c r="F2458" s="4" t="s">
        <v>63</v>
      </c>
      <c r="G2458" s="4" t="s">
        <v>1964</v>
      </c>
      <c r="H2458" s="4"/>
      <c r="I2458" s="4" t="n">
        <v>0.1089</v>
      </c>
      <c r="J2458" s="4" t="str">
        <f aca="false">TRIM(E2458) &amp; TRIM(C2458) &amp; TRIM(D2458)</f>
        <v>First ReviewGame Vertical AnchorKH</v>
      </c>
      <c r="K2458" s="4" t="n">
        <f aca="false">IFERROR(I2458*60,"")</f>
        <v>6.534</v>
      </c>
    </row>
    <row r="2459" customFormat="false" ht="15" hidden="false" customHeight="false" outlineLevel="0" collapsed="false">
      <c r="A2459" s="4" t="s">
        <v>15</v>
      </c>
      <c r="B2459" s="4" t="s">
        <v>1926</v>
      </c>
      <c r="C2459" s="4" t="s">
        <v>1929</v>
      </c>
      <c r="D2459" s="4" t="s">
        <v>79</v>
      </c>
      <c r="E2459" s="4" t="s">
        <v>63</v>
      </c>
      <c r="F2459" s="4" t="s">
        <v>63</v>
      </c>
      <c r="G2459" s="4" t="s">
        <v>1965</v>
      </c>
      <c r="H2459" s="4"/>
      <c r="I2459" s="4" t="n">
        <v>0.2807</v>
      </c>
      <c r="J2459" s="4" t="str">
        <f aca="false">TRIM(E2459) &amp; TRIM(C2459) &amp; TRIM(D2459)</f>
        <v>First ReviewGame Vertical AnchorZA</v>
      </c>
      <c r="K2459" s="4" t="n">
        <f aca="false">IFERROR(I2459*60,"")</f>
        <v>16.842</v>
      </c>
    </row>
    <row r="2460" customFormat="false" ht="15" hidden="false" customHeight="false" outlineLevel="0" collapsed="false">
      <c r="A2460" s="4" t="s">
        <v>15</v>
      </c>
      <c r="B2460" s="4" t="s">
        <v>1926</v>
      </c>
      <c r="C2460" s="4" t="s">
        <v>1929</v>
      </c>
      <c r="D2460" s="4" t="s">
        <v>238</v>
      </c>
      <c r="E2460" s="4" t="s">
        <v>63</v>
      </c>
      <c r="F2460" s="4" t="s">
        <v>63</v>
      </c>
      <c r="G2460" s="4" t="s">
        <v>1966</v>
      </c>
      <c r="H2460" s="4"/>
      <c r="I2460" s="4" t="n">
        <v>0.211</v>
      </c>
      <c r="J2460" s="4" t="str">
        <f aca="false">TRIM(E2460) &amp; TRIM(C2460) &amp; TRIM(D2460)</f>
        <v>First ReviewGame Vertical AnchorCH</v>
      </c>
      <c r="K2460" s="4" t="n">
        <f aca="false">IFERROR(I2460*60,"")</f>
        <v>12.66</v>
      </c>
    </row>
    <row r="2461" customFormat="false" ht="15" hidden="false" customHeight="false" outlineLevel="0" collapsed="false">
      <c r="A2461" s="4" t="s">
        <v>15</v>
      </c>
      <c r="B2461" s="4" t="s">
        <v>1926</v>
      </c>
      <c r="C2461" s="4" t="s">
        <v>1929</v>
      </c>
      <c r="D2461" s="4" t="s">
        <v>117</v>
      </c>
      <c r="E2461" s="4" t="s">
        <v>63</v>
      </c>
      <c r="F2461" s="4" t="s">
        <v>63</v>
      </c>
      <c r="G2461" s="4" t="s">
        <v>1967</v>
      </c>
      <c r="H2461" s="4"/>
      <c r="I2461" s="4" t="n">
        <v>0.1791</v>
      </c>
      <c r="J2461" s="4" t="str">
        <f aca="false">TRIM(E2461) &amp; TRIM(C2461) &amp; TRIM(D2461)</f>
        <v>First ReviewGame Vertical AnchorAR</v>
      </c>
      <c r="K2461" s="4" t="n">
        <f aca="false">IFERROR(I2461*60,"")</f>
        <v>10.746</v>
      </c>
    </row>
    <row r="2462" customFormat="false" ht="15" hidden="false" customHeight="false" outlineLevel="0" collapsed="false">
      <c r="A2462" s="4" t="s">
        <v>15</v>
      </c>
      <c r="B2462" s="4" t="s">
        <v>1926</v>
      </c>
      <c r="C2462" s="4" t="s">
        <v>1929</v>
      </c>
      <c r="D2462" s="4" t="s">
        <v>203</v>
      </c>
      <c r="E2462" s="4" t="s">
        <v>63</v>
      </c>
      <c r="F2462" s="4" t="s">
        <v>63</v>
      </c>
      <c r="G2462" s="4" t="s">
        <v>1968</v>
      </c>
      <c r="H2462" s="4"/>
      <c r="I2462" s="4" t="n">
        <v>0.0849</v>
      </c>
      <c r="J2462" s="4" t="str">
        <f aca="false">TRIM(E2462) &amp; TRIM(C2462) &amp; TRIM(D2462)</f>
        <v>First ReviewGame Vertical AnchorCA</v>
      </c>
      <c r="K2462" s="4" t="n">
        <f aca="false">IFERROR(I2462*60,"")</f>
        <v>5.094</v>
      </c>
    </row>
    <row r="2463" customFormat="false" ht="15" hidden="false" customHeight="false" outlineLevel="0" collapsed="false">
      <c r="A2463" s="4" t="s">
        <v>15</v>
      </c>
      <c r="B2463" s="4" t="s">
        <v>1926</v>
      </c>
      <c r="C2463" s="4" t="s">
        <v>1929</v>
      </c>
      <c r="D2463" s="4" t="s">
        <v>199</v>
      </c>
      <c r="E2463" s="4" t="s">
        <v>63</v>
      </c>
      <c r="F2463" s="4" t="s">
        <v>63</v>
      </c>
      <c r="G2463" s="4" t="s">
        <v>1969</v>
      </c>
      <c r="H2463" s="4"/>
      <c r="I2463" s="4" t="n">
        <v>0.1122</v>
      </c>
      <c r="J2463" s="4" t="str">
        <f aca="false">TRIM(E2463) &amp; TRIM(C2463) &amp; TRIM(D2463)</f>
        <v>First ReviewGame Vertical AnchorBH</v>
      </c>
      <c r="K2463" s="4" t="n">
        <f aca="false">IFERROR(I2463*60,"")</f>
        <v>6.732</v>
      </c>
    </row>
    <row r="2464" customFormat="false" ht="15" hidden="false" customHeight="false" outlineLevel="0" collapsed="false">
      <c r="A2464" s="4" t="s">
        <v>15</v>
      </c>
      <c r="B2464" s="4" t="s">
        <v>1926</v>
      </c>
      <c r="C2464" s="4" t="s">
        <v>1927</v>
      </c>
      <c r="D2464" s="4" t="s">
        <v>139</v>
      </c>
      <c r="E2464" s="4" t="s">
        <v>63</v>
      </c>
      <c r="F2464" s="4" t="s">
        <v>63</v>
      </c>
      <c r="G2464" s="4" t="s">
        <v>1970</v>
      </c>
      <c r="H2464" s="4"/>
      <c r="I2464" s="4" t="n">
        <v>1.1646</v>
      </c>
      <c r="J2464" s="4" t="str">
        <f aca="false">TRIM(E2464) &amp; TRIM(C2464) &amp; TRIM(D2464)</f>
        <v>First ReviewTCM Community VideoEG</v>
      </c>
      <c r="K2464" s="4" t="n">
        <f aca="false">IFERROR(I2464*60,"")</f>
        <v>69.876</v>
      </c>
    </row>
    <row r="2465" customFormat="false" ht="15" hidden="false" customHeight="false" outlineLevel="0" collapsed="false">
      <c r="A2465" s="4" t="s">
        <v>15</v>
      </c>
      <c r="B2465" s="4" t="s">
        <v>1926</v>
      </c>
      <c r="C2465" s="4" t="s">
        <v>1927</v>
      </c>
      <c r="D2465" s="4" t="s">
        <v>190</v>
      </c>
      <c r="E2465" s="4" t="s">
        <v>63</v>
      </c>
      <c r="F2465" s="4" t="s">
        <v>63</v>
      </c>
      <c r="G2465" s="4" t="s">
        <v>1971</v>
      </c>
      <c r="H2465" s="4"/>
      <c r="I2465" s="4" t="n">
        <v>0.487</v>
      </c>
      <c r="J2465" s="4" t="str">
        <f aca="false">TRIM(E2465) &amp; TRIM(C2465) &amp; TRIM(D2465)</f>
        <v>First ReviewTCM Community VideoPH</v>
      </c>
      <c r="K2465" s="4" t="n">
        <f aca="false">IFERROR(I2465*60,"")</f>
        <v>29.22</v>
      </c>
    </row>
    <row r="2466" customFormat="false" ht="15" hidden="false" customHeight="false" outlineLevel="0" collapsed="false">
      <c r="A2466" s="4" t="s">
        <v>15</v>
      </c>
      <c r="B2466" s="4" t="s">
        <v>1926</v>
      </c>
      <c r="C2466" s="4" t="s">
        <v>1929</v>
      </c>
      <c r="D2466" s="4" t="s">
        <v>319</v>
      </c>
      <c r="E2466" s="4" t="s">
        <v>63</v>
      </c>
      <c r="F2466" s="4" t="s">
        <v>63</v>
      </c>
      <c r="G2466" s="4" t="s">
        <v>1972</v>
      </c>
      <c r="H2466" s="4"/>
      <c r="I2466" s="4" t="n">
        <v>1.2533</v>
      </c>
      <c r="J2466" s="4" t="str">
        <f aca="false">TRIM(E2466) &amp; TRIM(C2466) &amp; TRIM(D2466)</f>
        <v>First ReviewGame Vertical AnchorSK</v>
      </c>
      <c r="K2466" s="4" t="n">
        <f aca="false">IFERROR(I2466*60,"")</f>
        <v>75.198</v>
      </c>
    </row>
    <row r="2467" customFormat="false" ht="15" hidden="false" customHeight="false" outlineLevel="0" collapsed="false">
      <c r="A2467" s="4" t="s">
        <v>15</v>
      </c>
      <c r="B2467" s="4" t="s">
        <v>1926</v>
      </c>
      <c r="C2467" s="4" t="s">
        <v>1929</v>
      </c>
      <c r="D2467" s="4" t="s">
        <v>213</v>
      </c>
      <c r="E2467" s="4" t="s">
        <v>63</v>
      </c>
      <c r="F2467" s="4" t="s">
        <v>63</v>
      </c>
      <c r="G2467" s="4" t="s">
        <v>1973</v>
      </c>
      <c r="H2467" s="4"/>
      <c r="I2467" s="4" t="n">
        <v>0.1045</v>
      </c>
      <c r="J2467" s="4" t="str">
        <f aca="false">TRIM(E2467) &amp; TRIM(C2467) &amp; TRIM(D2467)</f>
        <v>First ReviewGame Vertical AnchorFR</v>
      </c>
      <c r="K2467" s="4" t="n">
        <f aca="false">IFERROR(I2467*60,"")</f>
        <v>6.27</v>
      </c>
    </row>
    <row r="2468" customFormat="false" ht="15" hidden="false" customHeight="false" outlineLevel="0" collapsed="false">
      <c r="A2468" s="4" t="s">
        <v>15</v>
      </c>
      <c r="B2468" s="4" t="s">
        <v>1926</v>
      </c>
      <c r="C2468" s="4" t="s">
        <v>1929</v>
      </c>
      <c r="D2468" s="4" t="s">
        <v>95</v>
      </c>
      <c r="E2468" s="4" t="s">
        <v>63</v>
      </c>
      <c r="F2468" s="4" t="s">
        <v>63</v>
      </c>
      <c r="G2468" s="4" t="s">
        <v>1974</v>
      </c>
      <c r="H2468" s="4"/>
      <c r="I2468" s="4" t="n">
        <v>3.1559</v>
      </c>
      <c r="J2468" s="4" t="str">
        <f aca="false">TRIM(E2468) &amp; TRIM(C2468) &amp; TRIM(D2468)</f>
        <v>First ReviewGame Vertical AnchorVN</v>
      </c>
      <c r="K2468" s="4" t="n">
        <f aca="false">IFERROR(I2468*60,"")</f>
        <v>189.354</v>
      </c>
    </row>
    <row r="2469" customFormat="false" ht="15" hidden="false" customHeight="false" outlineLevel="0" collapsed="false">
      <c r="A2469" s="4" t="s">
        <v>15</v>
      </c>
      <c r="B2469" s="4" t="s">
        <v>1926</v>
      </c>
      <c r="C2469" s="4" t="s">
        <v>1929</v>
      </c>
      <c r="D2469" s="4" t="s">
        <v>299</v>
      </c>
      <c r="E2469" s="4" t="s">
        <v>63</v>
      </c>
      <c r="F2469" s="4" t="s">
        <v>63</v>
      </c>
      <c r="G2469" s="4" t="s">
        <v>1975</v>
      </c>
      <c r="H2469" s="4"/>
      <c r="I2469" s="4" t="n">
        <v>0.109</v>
      </c>
      <c r="J2469" s="4" t="str">
        <f aca="false">TRIM(E2469) &amp; TRIM(C2469) &amp; TRIM(D2469)</f>
        <v>First ReviewGame Vertical AnchorQA</v>
      </c>
      <c r="K2469" s="4" t="n">
        <f aca="false">IFERROR(I2469*60,"")</f>
        <v>6.54</v>
      </c>
    </row>
    <row r="2470" customFormat="false" ht="15" hidden="false" customHeight="false" outlineLevel="0" collapsed="false">
      <c r="A2470" s="4" t="s">
        <v>15</v>
      </c>
      <c r="B2470" s="4" t="s">
        <v>1926</v>
      </c>
      <c r="C2470" s="4" t="s">
        <v>1927</v>
      </c>
      <c r="D2470" s="4" t="s">
        <v>58</v>
      </c>
      <c r="E2470" s="4" t="s">
        <v>63</v>
      </c>
      <c r="F2470" s="4" t="s">
        <v>63</v>
      </c>
      <c r="G2470" s="4" t="s">
        <v>1976</v>
      </c>
      <c r="H2470" s="4"/>
      <c r="I2470" s="4" t="n">
        <v>1.4614</v>
      </c>
      <c r="J2470" s="4" t="str">
        <f aca="false">TRIM(E2470) &amp; TRIM(C2470) &amp; TRIM(D2470)</f>
        <v>First ReviewTCM Community VideoSG</v>
      </c>
      <c r="K2470" s="4" t="n">
        <f aca="false">IFERROR(I2470*60,"")</f>
        <v>87.684</v>
      </c>
    </row>
    <row r="2471" customFormat="false" ht="15" hidden="false" customHeight="false" outlineLevel="0" collapsed="false">
      <c r="A2471" s="4" t="s">
        <v>15</v>
      </c>
      <c r="B2471" s="4" t="s">
        <v>1926</v>
      </c>
      <c r="C2471" s="4" t="s">
        <v>1929</v>
      </c>
      <c r="D2471" s="4" t="s">
        <v>85</v>
      </c>
      <c r="E2471" s="4" t="s">
        <v>63</v>
      </c>
      <c r="F2471" s="4" t="s">
        <v>63</v>
      </c>
      <c r="G2471" s="4" t="s">
        <v>1977</v>
      </c>
      <c r="H2471" s="4"/>
      <c r="I2471" s="4" t="n">
        <v>0.1221</v>
      </c>
      <c r="J2471" s="4" t="str">
        <f aca="false">TRIM(E2471) &amp; TRIM(C2471) &amp; TRIM(D2471)</f>
        <v>First ReviewGame Vertical AnchorEC</v>
      </c>
      <c r="K2471" s="4" t="n">
        <f aca="false">IFERROR(I2471*60,"")</f>
        <v>7.326</v>
      </c>
    </row>
    <row r="2472" customFormat="false" ht="15" hidden="false" customHeight="false" outlineLevel="0" collapsed="false">
      <c r="A2472" s="4" t="s">
        <v>15</v>
      </c>
      <c r="B2472" s="4" t="s">
        <v>1926</v>
      </c>
      <c r="C2472" s="4" t="s">
        <v>1929</v>
      </c>
      <c r="D2472" s="4" t="s">
        <v>341</v>
      </c>
      <c r="E2472" s="4" t="s">
        <v>63</v>
      </c>
      <c r="F2472" s="4" t="s">
        <v>63</v>
      </c>
      <c r="G2472" s="4" t="s">
        <v>1978</v>
      </c>
      <c r="H2472" s="4"/>
      <c r="I2472" s="4" t="n">
        <v>1.2796</v>
      </c>
      <c r="J2472" s="4" t="str">
        <f aca="false">TRIM(E2472) &amp; TRIM(C2472) &amp; TRIM(D2472)</f>
        <v>First ReviewGame Vertical AnchorBG</v>
      </c>
      <c r="K2472" s="4" t="n">
        <f aca="false">IFERROR(I2472*60,"")</f>
        <v>76.776</v>
      </c>
    </row>
    <row r="2473" customFormat="false" ht="15" hidden="false" customHeight="false" outlineLevel="0" collapsed="false">
      <c r="A2473" s="4" t="s">
        <v>15</v>
      </c>
      <c r="B2473" s="4" t="s">
        <v>1926</v>
      </c>
      <c r="C2473" s="4" t="s">
        <v>1929</v>
      </c>
      <c r="D2473" s="4" t="s">
        <v>275</v>
      </c>
      <c r="E2473" s="4" t="s">
        <v>63</v>
      </c>
      <c r="F2473" s="4" t="s">
        <v>63</v>
      </c>
      <c r="G2473" s="4" t="s">
        <v>1979</v>
      </c>
      <c r="H2473" s="4"/>
      <c r="I2473" s="4" t="n">
        <v>0.137</v>
      </c>
      <c r="J2473" s="4" t="str">
        <f aca="false">TRIM(E2473) &amp; TRIM(C2473) &amp; TRIM(D2473)</f>
        <v>First ReviewGame Vertical AnchorGB</v>
      </c>
      <c r="K2473" s="4" t="n">
        <f aca="false">IFERROR(I2473*60,"")</f>
        <v>8.22</v>
      </c>
    </row>
    <row r="2474" customFormat="false" ht="15" hidden="false" customHeight="false" outlineLevel="0" collapsed="false">
      <c r="A2474" s="4" t="s">
        <v>15</v>
      </c>
      <c r="B2474" s="4" t="s">
        <v>1926</v>
      </c>
      <c r="C2474" s="4" t="s">
        <v>1929</v>
      </c>
      <c r="D2474" s="4" t="s">
        <v>267</v>
      </c>
      <c r="E2474" s="4" t="s">
        <v>63</v>
      </c>
      <c r="F2474" s="4" t="s">
        <v>63</v>
      </c>
      <c r="G2474" s="4" t="s">
        <v>1980</v>
      </c>
      <c r="H2474" s="4"/>
      <c r="I2474" s="4" t="n">
        <v>0.7103</v>
      </c>
      <c r="J2474" s="4" t="str">
        <f aca="false">TRIM(E2474) &amp; TRIM(C2474) &amp; TRIM(D2474)</f>
        <v>First ReviewGame Vertical AnchorID</v>
      </c>
      <c r="K2474" s="4" t="n">
        <f aca="false">IFERROR(I2474*60,"")</f>
        <v>42.618</v>
      </c>
    </row>
    <row r="2475" customFormat="false" ht="15" hidden="false" customHeight="false" outlineLevel="0" collapsed="false">
      <c r="A2475" s="4" t="s">
        <v>15</v>
      </c>
      <c r="B2475" s="4" t="s">
        <v>1926</v>
      </c>
      <c r="C2475" s="4" t="s">
        <v>1929</v>
      </c>
      <c r="D2475" s="4" t="s">
        <v>150</v>
      </c>
      <c r="E2475" s="4" t="s">
        <v>63</v>
      </c>
      <c r="F2475" s="4" t="s">
        <v>63</v>
      </c>
      <c r="G2475" s="4" t="s">
        <v>1981</v>
      </c>
      <c r="H2475" s="4"/>
      <c r="I2475" s="4" t="n">
        <v>0.1725</v>
      </c>
      <c r="J2475" s="4" t="str">
        <f aca="false">TRIM(E2475) &amp; TRIM(C2475) &amp; TRIM(D2475)</f>
        <v>First ReviewGame Vertical AnchorDE</v>
      </c>
      <c r="K2475" s="4" t="n">
        <f aca="false">IFERROR(I2475*60,"")</f>
        <v>10.35</v>
      </c>
    </row>
    <row r="2476" customFormat="false" ht="15" hidden="false" customHeight="false" outlineLevel="0" collapsed="false">
      <c r="A2476" s="4" t="s">
        <v>15</v>
      </c>
      <c r="B2476" s="4" t="s">
        <v>1926</v>
      </c>
      <c r="C2476" s="4" t="s">
        <v>1929</v>
      </c>
      <c r="D2476" s="4" t="s">
        <v>139</v>
      </c>
      <c r="E2476" s="4" t="s">
        <v>63</v>
      </c>
      <c r="F2476" s="4" t="s">
        <v>63</v>
      </c>
      <c r="G2476" s="4" t="s">
        <v>1982</v>
      </c>
      <c r="H2476" s="4"/>
      <c r="I2476" s="4" t="n">
        <v>0.6906</v>
      </c>
      <c r="J2476" s="4" t="str">
        <f aca="false">TRIM(E2476) &amp; TRIM(C2476) &amp; TRIM(D2476)</f>
        <v>First ReviewGame Vertical AnchorEG</v>
      </c>
      <c r="K2476" s="4" t="n">
        <f aca="false">IFERROR(I2476*60,"")</f>
        <v>41.436</v>
      </c>
    </row>
    <row r="2477" customFormat="false" ht="15" hidden="false" customHeight="false" outlineLevel="0" collapsed="false">
      <c r="A2477" s="4" t="s">
        <v>15</v>
      </c>
      <c r="B2477" s="4" t="s">
        <v>1926</v>
      </c>
      <c r="C2477" s="4" t="s">
        <v>1929</v>
      </c>
      <c r="D2477" s="4" t="s">
        <v>221</v>
      </c>
      <c r="E2477" s="4" t="s">
        <v>63</v>
      </c>
      <c r="F2477" s="4" t="s">
        <v>63</v>
      </c>
      <c r="G2477" s="4" t="s">
        <v>1983</v>
      </c>
      <c r="H2477" s="4"/>
      <c r="I2477" s="4" t="n">
        <v>0.2412</v>
      </c>
      <c r="J2477" s="4" t="str">
        <f aca="false">TRIM(E2477) &amp; TRIM(C2477) &amp; TRIM(D2477)</f>
        <v>First ReviewGame Vertical AnchorOM</v>
      </c>
      <c r="K2477" s="4" t="n">
        <f aca="false">IFERROR(I2477*60,"")</f>
        <v>14.472</v>
      </c>
    </row>
    <row r="2478" customFormat="false" ht="15" hidden="false" customHeight="false" outlineLevel="0" collapsed="false">
      <c r="A2478" s="4" t="s">
        <v>15</v>
      </c>
      <c r="B2478" s="4" t="s">
        <v>1926</v>
      </c>
      <c r="C2478" s="4" t="s">
        <v>1927</v>
      </c>
      <c r="D2478" s="4" t="s">
        <v>235</v>
      </c>
      <c r="E2478" s="4" t="s">
        <v>63</v>
      </c>
      <c r="F2478" s="4" t="s">
        <v>63</v>
      </c>
      <c r="G2478" s="4" t="s">
        <v>1984</v>
      </c>
      <c r="H2478" s="4"/>
      <c r="I2478" s="4" t="n">
        <v>1.9787</v>
      </c>
      <c r="J2478" s="4" t="str">
        <f aca="false">TRIM(E2478) &amp; TRIM(C2478) &amp; TRIM(D2478)</f>
        <v>First ReviewTCM Community VideoJP</v>
      </c>
      <c r="K2478" s="4" t="n">
        <f aca="false">IFERROR(I2478*60,"")</f>
        <v>118.722</v>
      </c>
    </row>
    <row r="2479" customFormat="false" ht="15" hidden="false" customHeight="false" outlineLevel="0" collapsed="false">
      <c r="A2479" s="4" t="s">
        <v>15</v>
      </c>
      <c r="B2479" s="4" t="s">
        <v>1926</v>
      </c>
      <c r="C2479" s="4" t="s">
        <v>1929</v>
      </c>
      <c r="D2479" s="4" t="s">
        <v>271</v>
      </c>
      <c r="E2479" s="4" t="s">
        <v>63</v>
      </c>
      <c r="F2479" s="4" t="s">
        <v>63</v>
      </c>
      <c r="G2479" s="4" t="s">
        <v>1985</v>
      </c>
      <c r="H2479" s="4"/>
      <c r="I2479" s="4" t="n">
        <v>0.3827</v>
      </c>
      <c r="J2479" s="4" t="str">
        <f aca="false">TRIM(E2479) &amp; TRIM(C2479) &amp; TRIM(D2479)</f>
        <v>First ReviewGame Vertical AnchorKW</v>
      </c>
      <c r="K2479" s="4" t="n">
        <f aca="false">IFERROR(I2479*60,"")</f>
        <v>22.962</v>
      </c>
    </row>
    <row r="2480" customFormat="false" ht="15" hidden="false" customHeight="false" outlineLevel="0" collapsed="false">
      <c r="A2480" s="4" t="s">
        <v>15</v>
      </c>
      <c r="B2480" s="4" t="s">
        <v>1926</v>
      </c>
      <c r="C2480" s="4" t="s">
        <v>1929</v>
      </c>
      <c r="D2480" s="4" t="s">
        <v>208</v>
      </c>
      <c r="E2480" s="4" t="s">
        <v>63</v>
      </c>
      <c r="F2480" s="4" t="s">
        <v>63</v>
      </c>
      <c r="G2480" s="4" t="s">
        <v>1986</v>
      </c>
      <c r="H2480" s="4"/>
      <c r="I2480" s="4" t="n">
        <v>0.0884</v>
      </c>
      <c r="J2480" s="4" t="str">
        <f aca="false">TRIM(E2480) &amp; TRIM(C2480) &amp; TRIM(D2480)</f>
        <v>First ReviewGame Vertical AnchorCO</v>
      </c>
      <c r="K2480" s="4" t="n">
        <f aca="false">IFERROR(I2480*60,"")</f>
        <v>5.304</v>
      </c>
    </row>
    <row r="2481" customFormat="false" ht="15" hidden="false" customHeight="false" outlineLevel="0" collapsed="false">
      <c r="A2481" s="4" t="s">
        <v>15</v>
      </c>
      <c r="B2481" s="4" t="s">
        <v>1926</v>
      </c>
      <c r="C2481" s="4" t="s">
        <v>1929</v>
      </c>
      <c r="D2481" s="4" t="s">
        <v>87</v>
      </c>
      <c r="E2481" s="4" t="s">
        <v>63</v>
      </c>
      <c r="F2481" s="4" t="s">
        <v>63</v>
      </c>
      <c r="G2481" s="4" t="s">
        <v>1987</v>
      </c>
      <c r="H2481" s="4"/>
      <c r="I2481" s="4" t="n">
        <v>0.25</v>
      </c>
      <c r="J2481" s="4" t="str">
        <f aca="false">TRIM(E2481) &amp; TRIM(C2481) &amp; TRIM(D2481)</f>
        <v>First ReviewGame Vertical AnchorAE</v>
      </c>
      <c r="K2481" s="4" t="n">
        <f aca="false">IFERROR(I2481*60,"")</f>
        <v>15</v>
      </c>
    </row>
    <row r="2482" customFormat="false" ht="15" hidden="false" customHeight="false" outlineLevel="0" collapsed="false">
      <c r="A2482" s="4" t="s">
        <v>15</v>
      </c>
      <c r="B2482" s="4" t="s">
        <v>1926</v>
      </c>
      <c r="C2482" s="4" t="s">
        <v>1927</v>
      </c>
      <c r="D2482" s="4" t="s">
        <v>213</v>
      </c>
      <c r="E2482" s="4" t="s">
        <v>63</v>
      </c>
      <c r="F2482" s="4" t="s">
        <v>63</v>
      </c>
      <c r="G2482" s="4" t="s">
        <v>1988</v>
      </c>
      <c r="H2482" s="4"/>
      <c r="I2482" s="4" t="n">
        <v>1.3813</v>
      </c>
      <c r="J2482" s="4" t="str">
        <f aca="false">TRIM(E2482) &amp; TRIM(C2482) &amp; TRIM(D2482)</f>
        <v>First ReviewTCM Community VideoFR</v>
      </c>
      <c r="K2482" s="4" t="n">
        <f aca="false">IFERROR(I2482*60,"")</f>
        <v>82.878</v>
      </c>
    </row>
    <row r="2483" customFormat="false" ht="15" hidden="false" customHeight="false" outlineLevel="0" collapsed="false">
      <c r="A2483" s="4" t="s">
        <v>15</v>
      </c>
      <c r="B2483" s="4" t="s">
        <v>1926</v>
      </c>
      <c r="C2483" s="4" t="s">
        <v>1929</v>
      </c>
      <c r="D2483" s="4" t="s">
        <v>185</v>
      </c>
      <c r="E2483" s="4" t="s">
        <v>63</v>
      </c>
      <c r="F2483" s="4" t="s">
        <v>63</v>
      </c>
      <c r="G2483" s="4" t="s">
        <v>1989</v>
      </c>
      <c r="H2483" s="4"/>
      <c r="I2483" s="4" t="n">
        <v>3.931</v>
      </c>
      <c r="J2483" s="4" t="str">
        <f aca="false">TRIM(E2483) &amp; TRIM(C2483) &amp; TRIM(D2483)</f>
        <v>First ReviewGame Vertical AnchorDK</v>
      </c>
      <c r="K2483" s="4" t="n">
        <f aca="false">IFERROR(I2483*60,"")</f>
        <v>235.86</v>
      </c>
    </row>
    <row r="2484" customFormat="false" ht="15" hidden="false" customHeight="false" outlineLevel="0" collapsed="false">
      <c r="A2484" s="4" t="s">
        <v>15</v>
      </c>
      <c r="B2484" s="4" t="s">
        <v>1926</v>
      </c>
      <c r="C2484" s="4" t="s">
        <v>1927</v>
      </c>
      <c r="D2484" s="4" t="s">
        <v>284</v>
      </c>
      <c r="E2484" s="4" t="s">
        <v>59</v>
      </c>
      <c r="F2484" s="4" t="s">
        <v>59</v>
      </c>
      <c r="G2484" s="4" t="s">
        <v>1953</v>
      </c>
      <c r="H2484" s="4"/>
      <c r="I2484" s="4" t="n">
        <v>1.1648</v>
      </c>
      <c r="J2484" s="4" t="str">
        <f aca="false">TRIM(E2484) &amp; TRIM(C2484) &amp; TRIM(D2484)</f>
        <v>Re-reviewTCM Community VideoTR</v>
      </c>
      <c r="K2484" s="4" t="n">
        <f aca="false">IFERROR(I2484*60,"")</f>
        <v>69.888</v>
      </c>
    </row>
    <row r="2485" customFormat="false" ht="15" hidden="false" customHeight="false" outlineLevel="0" collapsed="false">
      <c r="A2485" s="4" t="s">
        <v>15</v>
      </c>
      <c r="B2485" s="4" t="s">
        <v>1926</v>
      </c>
      <c r="C2485" s="4" t="s">
        <v>1929</v>
      </c>
      <c r="D2485" s="4" t="s">
        <v>255</v>
      </c>
      <c r="E2485" s="4" t="s">
        <v>63</v>
      </c>
      <c r="F2485" s="4" t="s">
        <v>63</v>
      </c>
      <c r="G2485" s="4" t="s">
        <v>1990</v>
      </c>
      <c r="H2485" s="4"/>
      <c r="I2485" s="4" t="n">
        <v>0.1153</v>
      </c>
      <c r="J2485" s="4" t="str">
        <f aca="false">TRIM(E2485) &amp; TRIM(C2485) &amp; TRIM(D2485)</f>
        <v>First ReviewGame Vertical AnchorNZ</v>
      </c>
      <c r="K2485" s="4" t="n">
        <f aca="false">IFERROR(I2485*60,"")</f>
        <v>6.918</v>
      </c>
    </row>
    <row r="2486" customFormat="false" ht="15" hidden="false" customHeight="false" outlineLevel="0" collapsed="false">
      <c r="A2486" s="4" t="s">
        <v>15</v>
      </c>
      <c r="B2486" s="4" t="s">
        <v>1926</v>
      </c>
      <c r="C2486" s="4" t="s">
        <v>1929</v>
      </c>
      <c r="D2486" s="4" t="s">
        <v>100</v>
      </c>
      <c r="E2486" s="4" t="s">
        <v>63</v>
      </c>
      <c r="F2486" s="4" t="s">
        <v>63</v>
      </c>
      <c r="G2486" s="4" t="s">
        <v>1991</v>
      </c>
      <c r="H2486" s="4"/>
      <c r="I2486" s="4" t="n">
        <v>0.1174</v>
      </c>
      <c r="J2486" s="4" t="str">
        <f aca="false">TRIM(E2486) &amp; TRIM(C2486) &amp; TRIM(D2486)</f>
        <v>First ReviewGame Vertical AnchorAU</v>
      </c>
      <c r="K2486" s="4" t="n">
        <f aca="false">IFERROR(I2486*60,"")</f>
        <v>7.044</v>
      </c>
    </row>
    <row r="2487" customFormat="false" ht="15" hidden="false" customHeight="false" outlineLevel="0" collapsed="false">
      <c r="A2487" s="4" t="s">
        <v>15</v>
      </c>
      <c r="B2487" s="4" t="s">
        <v>1926</v>
      </c>
      <c r="C2487" s="4" t="s">
        <v>1927</v>
      </c>
      <c r="D2487" s="4" t="s">
        <v>95</v>
      </c>
      <c r="E2487" s="4" t="s">
        <v>63</v>
      </c>
      <c r="F2487" s="4" t="s">
        <v>63</v>
      </c>
      <c r="G2487" s="4" t="s">
        <v>1962</v>
      </c>
      <c r="H2487" s="4"/>
      <c r="I2487" s="4" t="n">
        <v>2.8351</v>
      </c>
      <c r="J2487" s="4" t="str">
        <f aca="false">TRIM(E2487) &amp; TRIM(C2487) &amp; TRIM(D2487)</f>
        <v>First ReviewTCM Community VideoVN</v>
      </c>
      <c r="K2487" s="4" t="n">
        <f aca="false">IFERROR(I2487*60,"")</f>
        <v>170.106</v>
      </c>
    </row>
    <row r="2488" customFormat="false" ht="15" hidden="false" customHeight="false" outlineLevel="0" collapsed="false">
      <c r="A2488" s="4" t="s">
        <v>15</v>
      </c>
      <c r="B2488" s="4" t="s">
        <v>1926</v>
      </c>
      <c r="C2488" s="4" t="s">
        <v>1929</v>
      </c>
      <c r="D2488" s="4" t="s">
        <v>91</v>
      </c>
      <c r="E2488" s="4" t="s">
        <v>63</v>
      </c>
      <c r="F2488" s="4" t="s">
        <v>63</v>
      </c>
      <c r="G2488" s="4" t="s">
        <v>1992</v>
      </c>
      <c r="H2488" s="4"/>
      <c r="I2488" s="4" t="n">
        <v>1.4679</v>
      </c>
      <c r="J2488" s="4" t="str">
        <f aca="false">TRIM(E2488) &amp; TRIM(C2488) &amp; TRIM(D2488)</f>
        <v>First ReviewGame Vertical AnchorHR</v>
      </c>
      <c r="K2488" s="4" t="n">
        <f aca="false">IFERROR(I2488*60,"")</f>
        <v>88.074</v>
      </c>
    </row>
    <row r="2489" customFormat="false" ht="15" hidden="false" customHeight="false" outlineLevel="0" collapsed="false">
      <c r="A2489" s="4" t="s">
        <v>15</v>
      </c>
      <c r="B2489" s="4" t="s">
        <v>1926</v>
      </c>
      <c r="C2489" s="4" t="s">
        <v>1929</v>
      </c>
      <c r="D2489" s="4" t="s">
        <v>113</v>
      </c>
      <c r="E2489" s="4" t="s">
        <v>63</v>
      </c>
      <c r="F2489" s="4" t="s">
        <v>63</v>
      </c>
      <c r="G2489" s="4" t="s">
        <v>1993</v>
      </c>
      <c r="H2489" s="4"/>
      <c r="I2489" s="4" t="n">
        <v>0.1766</v>
      </c>
      <c r="J2489" s="4" t="str">
        <f aca="false">TRIM(E2489) &amp; TRIM(C2489) &amp; TRIM(D2489)</f>
        <v>First ReviewGame Vertical AnchorNL</v>
      </c>
      <c r="K2489" s="4" t="n">
        <f aca="false">IFERROR(I2489*60,"")</f>
        <v>10.596</v>
      </c>
    </row>
    <row r="2490" customFormat="false" ht="15" hidden="false" customHeight="false" outlineLevel="0" collapsed="false">
      <c r="A2490" s="4" t="s">
        <v>15</v>
      </c>
      <c r="B2490" s="4" t="s">
        <v>1926</v>
      </c>
      <c r="C2490" s="4" t="s">
        <v>1929</v>
      </c>
      <c r="D2490" s="4" t="s">
        <v>197</v>
      </c>
      <c r="E2490" s="4" t="s">
        <v>63</v>
      </c>
      <c r="F2490" s="4" t="s">
        <v>63</v>
      </c>
      <c r="G2490" s="4" t="s">
        <v>1994</v>
      </c>
      <c r="H2490" s="4"/>
      <c r="I2490" s="4" t="n">
        <v>0.3514</v>
      </c>
      <c r="J2490" s="4" t="str">
        <f aca="false">TRIM(E2490) &amp; TRIM(C2490) &amp; TRIM(D2490)</f>
        <v>First ReviewGame Vertical AnchorGR</v>
      </c>
      <c r="K2490" s="4" t="n">
        <f aca="false">IFERROR(I2490*60,"")</f>
        <v>21.084</v>
      </c>
    </row>
    <row r="2491" customFormat="false" ht="15" hidden="false" customHeight="false" outlineLevel="0" collapsed="false">
      <c r="A2491" s="4" t="s">
        <v>15</v>
      </c>
      <c r="B2491" s="4" t="s">
        <v>1926</v>
      </c>
      <c r="C2491" s="4" t="s">
        <v>1927</v>
      </c>
      <c r="D2491" s="4" t="s">
        <v>195</v>
      </c>
      <c r="E2491" s="4" t="s">
        <v>63</v>
      </c>
      <c r="F2491" s="4" t="s">
        <v>63</v>
      </c>
      <c r="G2491" s="4" t="s">
        <v>1995</v>
      </c>
      <c r="H2491" s="4"/>
      <c r="I2491" s="4" t="n">
        <v>1.8221</v>
      </c>
      <c r="J2491" s="4" t="str">
        <f aca="false">TRIM(E2491) &amp; TRIM(C2491) &amp; TRIM(D2491)</f>
        <v>First ReviewTCM Community VideoIT</v>
      </c>
      <c r="K2491" s="4" t="n">
        <f aca="false">IFERROR(I2491*60,"")</f>
        <v>109.326</v>
      </c>
    </row>
    <row r="2492" customFormat="false" ht="15" hidden="false" customHeight="false" outlineLevel="0" collapsed="false">
      <c r="A2492" s="4" t="s">
        <v>15</v>
      </c>
      <c r="B2492" s="4" t="s">
        <v>1926</v>
      </c>
      <c r="C2492" s="4" t="s">
        <v>1929</v>
      </c>
      <c r="D2492" s="4" t="s">
        <v>126</v>
      </c>
      <c r="E2492" s="4" t="s">
        <v>63</v>
      </c>
      <c r="F2492" s="4" t="s">
        <v>63</v>
      </c>
      <c r="G2492" s="4" t="s">
        <v>1996</v>
      </c>
      <c r="H2492" s="4"/>
      <c r="I2492" s="4" t="n">
        <v>0.1449</v>
      </c>
      <c r="J2492" s="4" t="str">
        <f aca="false">TRIM(E2492) &amp; TRIM(C2492) &amp; TRIM(D2492)</f>
        <v>First ReviewGame Vertical AnchorMX</v>
      </c>
      <c r="K2492" s="4" t="n">
        <f aca="false">IFERROR(I2492*60,"")</f>
        <v>8.694</v>
      </c>
    </row>
    <row r="2493" customFormat="false" ht="15" hidden="false" customHeight="false" outlineLevel="0" collapsed="false">
      <c r="A2493" s="4" t="s">
        <v>15</v>
      </c>
      <c r="B2493" s="4" t="s">
        <v>1926</v>
      </c>
      <c r="C2493" s="4" t="s">
        <v>1929</v>
      </c>
      <c r="D2493" s="4" t="s">
        <v>181</v>
      </c>
      <c r="E2493" s="4" t="s">
        <v>63</v>
      </c>
      <c r="F2493" s="4" t="s">
        <v>63</v>
      </c>
      <c r="G2493" s="4" t="s">
        <v>1997</v>
      </c>
      <c r="H2493" s="4"/>
      <c r="I2493" s="4" t="n">
        <v>0.3773</v>
      </c>
      <c r="J2493" s="4" t="str">
        <f aca="false">TRIM(E2493) &amp; TRIM(C2493) &amp; TRIM(D2493)</f>
        <v>First ReviewGame Vertical AnchorLB</v>
      </c>
      <c r="K2493" s="4" t="n">
        <f aca="false">IFERROR(I2493*60,"")</f>
        <v>22.638</v>
      </c>
    </row>
    <row r="2494" customFormat="false" ht="15" hidden="false" customHeight="false" outlineLevel="0" collapsed="false">
      <c r="A2494" s="4" t="s">
        <v>15</v>
      </c>
      <c r="B2494" s="4" t="s">
        <v>1926</v>
      </c>
      <c r="C2494" s="4" t="s">
        <v>1929</v>
      </c>
      <c r="D2494" s="4" t="s">
        <v>154</v>
      </c>
      <c r="E2494" s="4" t="s">
        <v>63</v>
      </c>
      <c r="F2494" s="4" t="s">
        <v>63</v>
      </c>
      <c r="G2494" s="4" t="s">
        <v>1998</v>
      </c>
      <c r="H2494" s="4"/>
      <c r="I2494" s="4" t="n">
        <v>0.2705</v>
      </c>
      <c r="J2494" s="4" t="str">
        <f aca="false">TRIM(E2494) &amp; TRIM(C2494) &amp; TRIM(D2494)</f>
        <v>First ReviewGame Vertical AnchorES</v>
      </c>
      <c r="K2494" s="4" t="n">
        <f aca="false">IFERROR(I2494*60,"")</f>
        <v>16.23</v>
      </c>
    </row>
    <row r="2495" customFormat="false" ht="15" hidden="false" customHeight="false" outlineLevel="0" collapsed="false">
      <c r="A2495" s="4" t="s">
        <v>15</v>
      </c>
      <c r="B2495" s="4" t="s">
        <v>1926</v>
      </c>
      <c r="C2495" s="4" t="s">
        <v>1929</v>
      </c>
      <c r="D2495" s="4" t="s">
        <v>97</v>
      </c>
      <c r="E2495" s="4" t="s">
        <v>63</v>
      </c>
      <c r="F2495" s="4" t="s">
        <v>63</v>
      </c>
      <c r="G2495" s="4" t="s">
        <v>1999</v>
      </c>
      <c r="H2495" s="4"/>
      <c r="I2495" s="4" t="n">
        <v>0.2583</v>
      </c>
      <c r="J2495" s="4" t="str">
        <f aca="false">TRIM(E2495) &amp; TRIM(C2495) &amp; TRIM(D2495)</f>
        <v>First ReviewGame Vertical AnchorBR</v>
      </c>
      <c r="K2495" s="4" t="n">
        <f aca="false">IFERROR(I2495*60,"")</f>
        <v>15.498</v>
      </c>
    </row>
    <row r="2496" customFormat="false" ht="15" hidden="false" customHeight="false" outlineLevel="0" collapsed="false">
      <c r="A2496" s="4" t="s">
        <v>15</v>
      </c>
      <c r="B2496" s="4" t="s">
        <v>1926</v>
      </c>
      <c r="C2496" s="4" t="s">
        <v>1927</v>
      </c>
      <c r="D2496" s="4" t="s">
        <v>157</v>
      </c>
      <c r="E2496" s="4" t="s">
        <v>63</v>
      </c>
      <c r="F2496" s="4" t="s">
        <v>63</v>
      </c>
      <c r="G2496" s="4" t="s">
        <v>2000</v>
      </c>
      <c r="H2496" s="4"/>
      <c r="I2496" s="4" t="n">
        <v>0.9985</v>
      </c>
      <c r="J2496" s="4" t="str">
        <f aca="false">TRIM(E2496) &amp; TRIM(C2496) &amp; TRIM(D2496)</f>
        <v>First ReviewTCM Community VideoSA</v>
      </c>
      <c r="K2496" s="4" t="n">
        <f aca="false">IFERROR(I2496*60,"")</f>
        <v>59.91</v>
      </c>
    </row>
    <row r="2497" customFormat="false" ht="15" hidden="false" customHeight="false" outlineLevel="0" collapsed="false">
      <c r="A2497" s="4" t="s">
        <v>15</v>
      </c>
      <c r="B2497" s="4" t="s">
        <v>1926</v>
      </c>
      <c r="C2497" s="4" t="s">
        <v>1929</v>
      </c>
      <c r="D2497" s="4" t="s">
        <v>210</v>
      </c>
      <c r="E2497" s="4" t="s">
        <v>63</v>
      </c>
      <c r="F2497" s="4" t="s">
        <v>63</v>
      </c>
      <c r="G2497" s="4" t="s">
        <v>2001</v>
      </c>
      <c r="H2497" s="4"/>
      <c r="I2497" s="4" t="n">
        <v>0.4093</v>
      </c>
      <c r="J2497" s="4" t="str">
        <f aca="false">TRIM(E2497) &amp; TRIM(C2497) &amp; TRIM(D2497)</f>
        <v>First ReviewGame Vertical AnchorPK</v>
      </c>
      <c r="K2497" s="4" t="n">
        <f aca="false">IFERROR(I2497*60,"")</f>
        <v>24.558</v>
      </c>
    </row>
    <row r="2498" customFormat="false" ht="15" hidden="false" customHeight="false" outlineLevel="0" collapsed="false">
      <c r="A2498" s="4" t="s">
        <v>15</v>
      </c>
      <c r="B2498" s="4" t="s">
        <v>1926</v>
      </c>
      <c r="C2498" s="4" t="s">
        <v>1927</v>
      </c>
      <c r="D2498" s="4" t="s">
        <v>97</v>
      </c>
      <c r="E2498" s="4" t="s">
        <v>59</v>
      </c>
      <c r="F2498" s="4" t="s">
        <v>59</v>
      </c>
      <c r="G2498" s="4" t="s">
        <v>1951</v>
      </c>
      <c r="H2498" s="4"/>
      <c r="I2498" s="4" t="n">
        <v>1.4877</v>
      </c>
      <c r="J2498" s="4" t="str">
        <f aca="false">TRIM(E2498) &amp; TRIM(C2498) &amp; TRIM(D2498)</f>
        <v>Re-reviewTCM Community VideoBR</v>
      </c>
      <c r="K2498" s="4" t="n">
        <f aca="false">IFERROR(I2498*60,"")</f>
        <v>89.262</v>
      </c>
    </row>
    <row r="2499" customFormat="false" ht="15" hidden="false" customHeight="false" outlineLevel="0" collapsed="false">
      <c r="A2499" s="4" t="s">
        <v>15</v>
      </c>
      <c r="B2499" s="4" t="s">
        <v>1926</v>
      </c>
      <c r="C2499" s="4" t="s">
        <v>1929</v>
      </c>
      <c r="D2499" s="4" t="s">
        <v>190</v>
      </c>
      <c r="E2499" s="4" t="s">
        <v>63</v>
      </c>
      <c r="F2499" s="4" t="s">
        <v>63</v>
      </c>
      <c r="G2499" s="4" t="s">
        <v>2002</v>
      </c>
      <c r="H2499" s="4"/>
      <c r="I2499" s="4" t="n">
        <v>0.3789</v>
      </c>
      <c r="J2499" s="4" t="str">
        <f aca="false">TRIM(E2499) &amp; TRIM(C2499) &amp; TRIM(D2499)</f>
        <v>First ReviewGame Vertical AnchorPH</v>
      </c>
      <c r="K2499" s="4" t="n">
        <f aca="false">IFERROR(I2499*60,"")</f>
        <v>22.734</v>
      </c>
    </row>
    <row r="2500" customFormat="false" ht="15" hidden="false" customHeight="false" outlineLevel="0" collapsed="false">
      <c r="A2500" s="4" t="s">
        <v>15</v>
      </c>
      <c r="B2500" s="4" t="s">
        <v>1926</v>
      </c>
      <c r="C2500" s="4" t="s">
        <v>1929</v>
      </c>
      <c r="D2500" s="4" t="s">
        <v>284</v>
      </c>
      <c r="E2500" s="4" t="s">
        <v>63</v>
      </c>
      <c r="F2500" s="4" t="s">
        <v>63</v>
      </c>
      <c r="G2500" s="4" t="s">
        <v>2003</v>
      </c>
      <c r="H2500" s="4"/>
      <c r="I2500" s="4" t="n">
        <v>0.8533</v>
      </c>
      <c r="J2500" s="4" t="str">
        <f aca="false">TRIM(E2500) &amp; TRIM(C2500) &amp; TRIM(D2500)</f>
        <v>First ReviewGame Vertical AnchorTR</v>
      </c>
      <c r="K2500" s="4" t="n">
        <f aca="false">IFERROR(I2500*60,"")</f>
        <v>51.198</v>
      </c>
    </row>
    <row r="2501" customFormat="false" ht="15" hidden="false" customHeight="false" outlineLevel="0" collapsed="false">
      <c r="A2501" s="4" t="s">
        <v>15</v>
      </c>
      <c r="B2501" s="4" t="s">
        <v>1926</v>
      </c>
      <c r="C2501" s="4" t="s">
        <v>1929</v>
      </c>
      <c r="D2501" s="4" t="s">
        <v>102</v>
      </c>
      <c r="E2501" s="4" t="s">
        <v>63</v>
      </c>
      <c r="F2501" s="4" t="s">
        <v>63</v>
      </c>
      <c r="G2501" s="4" t="s">
        <v>2004</v>
      </c>
      <c r="H2501" s="4"/>
      <c r="I2501" s="4" t="n">
        <v>0.3353</v>
      </c>
      <c r="J2501" s="4" t="str">
        <f aca="false">TRIM(E2501) &amp; TRIM(C2501) &amp; TRIM(D2501)</f>
        <v>First ReviewGame Vertical AnchorSE</v>
      </c>
      <c r="K2501" s="4" t="n">
        <f aca="false">IFERROR(I2501*60,"")</f>
        <v>20.118</v>
      </c>
    </row>
    <row r="2502" customFormat="false" ht="15" hidden="false" customHeight="false" outlineLevel="0" collapsed="false">
      <c r="A2502" s="4" t="s">
        <v>15</v>
      </c>
      <c r="B2502" s="4" t="s">
        <v>1926</v>
      </c>
      <c r="C2502" s="4" t="s">
        <v>1929</v>
      </c>
      <c r="D2502" s="4" t="s">
        <v>157</v>
      </c>
      <c r="E2502" s="4" t="s">
        <v>63</v>
      </c>
      <c r="F2502" s="4" t="s">
        <v>63</v>
      </c>
      <c r="G2502" s="4" t="s">
        <v>2005</v>
      </c>
      <c r="H2502" s="4"/>
      <c r="I2502" s="4" t="n">
        <v>0.0845</v>
      </c>
      <c r="J2502" s="4" t="str">
        <f aca="false">TRIM(E2502) &amp; TRIM(C2502) &amp; TRIM(D2502)</f>
        <v>First ReviewGame Vertical AnchorSA</v>
      </c>
      <c r="K2502" s="4" t="n">
        <f aca="false">IFERROR(I2502*60,"")</f>
        <v>5.07</v>
      </c>
    </row>
    <row r="2503" customFormat="false" ht="15" hidden="false" customHeight="false" outlineLevel="0" collapsed="false">
      <c r="A2503" s="4" t="s">
        <v>15</v>
      </c>
      <c r="B2503" s="4" t="s">
        <v>1926</v>
      </c>
      <c r="C2503" s="4" t="s">
        <v>1929</v>
      </c>
      <c r="D2503" s="4" t="s">
        <v>235</v>
      </c>
      <c r="E2503" s="4" t="s">
        <v>63</v>
      </c>
      <c r="F2503" s="4" t="s">
        <v>63</v>
      </c>
      <c r="G2503" s="4" t="s">
        <v>2006</v>
      </c>
      <c r="H2503" s="4"/>
      <c r="I2503" s="4" t="n">
        <v>0.3431</v>
      </c>
      <c r="J2503" s="4" t="str">
        <f aca="false">TRIM(E2503) &amp; TRIM(C2503) &amp; TRIM(D2503)</f>
        <v>First ReviewGame Vertical AnchorJP</v>
      </c>
      <c r="K2503" s="4" t="n">
        <f aca="false">IFERROR(I2503*60,"")</f>
        <v>20.586</v>
      </c>
    </row>
    <row r="2504" customFormat="false" ht="15" hidden="false" customHeight="false" outlineLevel="0" collapsed="false">
      <c r="A2504" s="4" t="s">
        <v>15</v>
      </c>
      <c r="B2504" s="4" t="s">
        <v>1926</v>
      </c>
      <c r="C2504" s="4" t="s">
        <v>1929</v>
      </c>
      <c r="D2504" s="4" t="s">
        <v>246</v>
      </c>
      <c r="E2504" s="4" t="s">
        <v>63</v>
      </c>
      <c r="F2504" s="4" t="s">
        <v>63</v>
      </c>
      <c r="G2504" s="4" t="s">
        <v>2007</v>
      </c>
      <c r="H2504" s="4"/>
      <c r="I2504" s="4" t="n">
        <v>1.9938</v>
      </c>
      <c r="J2504" s="4" t="str">
        <f aca="false">TRIM(E2504) &amp; TRIM(C2504) &amp; TRIM(D2504)</f>
        <v>First ReviewGame Vertical AnchorLV</v>
      </c>
      <c r="K2504" s="4" t="n">
        <f aca="false">IFERROR(I2504*60,"")</f>
        <v>119.628</v>
      </c>
    </row>
    <row r="2505" customFormat="false" ht="15" hidden="false" customHeight="false" outlineLevel="0" collapsed="false">
      <c r="A2505" s="4" t="s">
        <v>15</v>
      </c>
      <c r="B2505" s="4" t="s">
        <v>1926</v>
      </c>
      <c r="C2505" s="4" t="s">
        <v>1929</v>
      </c>
      <c r="D2505" s="4" t="s">
        <v>308</v>
      </c>
      <c r="E2505" s="4" t="s">
        <v>63</v>
      </c>
      <c r="F2505" s="4" t="s">
        <v>63</v>
      </c>
      <c r="G2505" s="4" t="s">
        <v>2008</v>
      </c>
      <c r="H2505" s="4"/>
      <c r="I2505" s="4" t="n">
        <v>1.3835</v>
      </c>
      <c r="J2505" s="4" t="str">
        <f aca="false">TRIM(E2505) &amp; TRIM(C2505) &amp; TRIM(D2505)</f>
        <v>First ReviewGame Vertical AnchorPL</v>
      </c>
      <c r="K2505" s="4" t="n">
        <f aca="false">IFERROR(I2505*60,"")</f>
        <v>83.01</v>
      </c>
    </row>
    <row r="2506" customFormat="false" ht="15" hidden="false" customHeight="false" outlineLevel="0" collapsed="false">
      <c r="A2506" s="4" t="s">
        <v>15</v>
      </c>
      <c r="B2506" s="4" t="s">
        <v>2009</v>
      </c>
      <c r="C2506" s="4" t="s">
        <v>2010</v>
      </c>
      <c r="D2506" s="4" t="s">
        <v>111</v>
      </c>
      <c r="E2506" s="4" t="s">
        <v>66</v>
      </c>
      <c r="F2506" s="4" t="s">
        <v>67</v>
      </c>
      <c r="G2506" s="4" t="s">
        <v>2011</v>
      </c>
      <c r="H2506" s="4"/>
      <c r="I2506" s="4" t="n">
        <v>12.1486</v>
      </c>
      <c r="J2506" s="4" t="str">
        <f aca="false">TRIM(E2506) &amp; TRIM(C2506) &amp; TRIM(D2506)</f>
        <v>Posted RecallTrial Install IOS AppUS</v>
      </c>
      <c r="K2506" s="4" t="n">
        <f aca="false">IFERROR(I2506*60,"")</f>
        <v>728.916</v>
      </c>
    </row>
    <row r="2507" customFormat="false" ht="15" hidden="false" customHeight="false" outlineLevel="0" collapsed="false">
      <c r="A2507" s="4" t="s">
        <v>15</v>
      </c>
      <c r="B2507" s="4" t="s">
        <v>2009</v>
      </c>
      <c r="C2507" s="4" t="s">
        <v>2012</v>
      </c>
      <c r="D2507" s="4" t="s">
        <v>111</v>
      </c>
      <c r="E2507" s="4" t="s">
        <v>66</v>
      </c>
      <c r="F2507" s="4" t="s">
        <v>67</v>
      </c>
      <c r="G2507" s="4" t="s">
        <v>2013</v>
      </c>
      <c r="H2507" s="4"/>
      <c r="I2507" s="4" t="n">
        <v>2.9166</v>
      </c>
      <c r="J2507" s="4" t="str">
        <f aca="false">TRIM(E2507) &amp; TRIM(C2507) &amp; TRIM(D2507)</f>
        <v>Posted RecallTrial Install Android AppUS</v>
      </c>
      <c r="K2507" s="4" t="n">
        <f aca="false">IFERROR(I2507*60,"")</f>
        <v>174.996</v>
      </c>
    </row>
    <row r="2508" customFormat="false" ht="15" hidden="false" customHeight="false" outlineLevel="0" collapsed="false">
      <c r="A2508" s="4" t="s">
        <v>15</v>
      </c>
      <c r="B2508" s="4" t="s">
        <v>2009</v>
      </c>
      <c r="C2508" s="4" t="s">
        <v>2012</v>
      </c>
      <c r="D2508" s="4" t="s">
        <v>97</v>
      </c>
      <c r="E2508" s="4" t="s">
        <v>66</v>
      </c>
      <c r="F2508" s="4" t="s">
        <v>67</v>
      </c>
      <c r="G2508" s="4" t="s">
        <v>2014</v>
      </c>
      <c r="H2508" s="4"/>
      <c r="I2508" s="4" t="n">
        <v>5.3924</v>
      </c>
      <c r="J2508" s="4" t="str">
        <f aca="false">TRIM(E2508) &amp; TRIM(C2508) &amp; TRIM(D2508)</f>
        <v>Posted RecallTrial Install Android AppBR</v>
      </c>
      <c r="K2508" s="4" t="n">
        <f aca="false">IFERROR(I2508*60,"")</f>
        <v>323.544</v>
      </c>
    </row>
    <row r="2509" customFormat="false" ht="15" hidden="false" customHeight="false" outlineLevel="0" collapsed="false">
      <c r="A2509" s="4" t="s">
        <v>15</v>
      </c>
      <c r="B2509" s="4" t="s">
        <v>2009</v>
      </c>
      <c r="C2509" s="4" t="s">
        <v>2012</v>
      </c>
      <c r="D2509" s="4" t="s">
        <v>267</v>
      </c>
      <c r="E2509" s="4" t="s">
        <v>66</v>
      </c>
      <c r="F2509" s="4" t="s">
        <v>67</v>
      </c>
      <c r="G2509" s="4" t="s">
        <v>2015</v>
      </c>
      <c r="H2509" s="4"/>
      <c r="I2509" s="4" t="n">
        <v>8.8794</v>
      </c>
      <c r="J2509" s="4" t="str">
        <f aca="false">TRIM(E2509) &amp; TRIM(C2509) &amp; TRIM(D2509)</f>
        <v>Posted RecallTrial Install Android AppID</v>
      </c>
      <c r="K2509" s="4" t="n">
        <f aca="false">IFERROR(I2509*60,"")</f>
        <v>532.764</v>
      </c>
    </row>
    <row r="2510" customFormat="false" ht="15" hidden="false" customHeight="false" outlineLevel="0" collapsed="false">
      <c r="A2510" s="4" t="s">
        <v>15</v>
      </c>
      <c r="B2510" s="4" t="s">
        <v>2009</v>
      </c>
      <c r="C2510" s="4" t="s">
        <v>2012</v>
      </c>
      <c r="D2510" s="4" t="s">
        <v>95</v>
      </c>
      <c r="E2510" s="4" t="s">
        <v>66</v>
      </c>
      <c r="F2510" s="4" t="s">
        <v>67</v>
      </c>
      <c r="G2510" s="4" t="s">
        <v>2016</v>
      </c>
      <c r="H2510" s="4"/>
      <c r="I2510" s="4" t="n">
        <v>11.8505</v>
      </c>
      <c r="J2510" s="4" t="str">
        <f aca="false">TRIM(E2510) &amp; TRIM(C2510) &amp; TRIM(D2510)</f>
        <v>Posted RecallTrial Install Android AppVN</v>
      </c>
      <c r="K2510" s="4" t="n">
        <f aca="false">IFERROR(I2510*60,"")</f>
        <v>711.03</v>
      </c>
    </row>
    <row r="2511" customFormat="false" ht="15" hidden="false" customHeight="false" outlineLevel="0" collapsed="false">
      <c r="A2511" s="4" t="s">
        <v>15</v>
      </c>
      <c r="B2511" s="4" t="s">
        <v>2009</v>
      </c>
      <c r="C2511" s="4" t="s">
        <v>2012</v>
      </c>
      <c r="D2511" s="4" t="s">
        <v>126</v>
      </c>
      <c r="E2511" s="4" t="s">
        <v>66</v>
      </c>
      <c r="F2511" s="4" t="s">
        <v>67</v>
      </c>
      <c r="G2511" s="4" t="s">
        <v>2017</v>
      </c>
      <c r="H2511" s="4"/>
      <c r="I2511" s="4" t="n">
        <v>3.5994</v>
      </c>
      <c r="J2511" s="4" t="str">
        <f aca="false">TRIM(E2511) &amp; TRIM(C2511) &amp; TRIM(D2511)</f>
        <v>Posted RecallTrial Install Android AppMX</v>
      </c>
      <c r="K2511" s="4" t="n">
        <f aca="false">IFERROR(I2511*60,"")</f>
        <v>215.964</v>
      </c>
    </row>
    <row r="2512" customFormat="false" ht="15" hidden="false" customHeight="false" outlineLevel="0" collapsed="false">
      <c r="A2512" s="4" t="s">
        <v>15</v>
      </c>
      <c r="B2512" s="4" t="s">
        <v>2009</v>
      </c>
      <c r="C2512" s="4" t="s">
        <v>2012</v>
      </c>
      <c r="D2512" s="4" t="s">
        <v>203</v>
      </c>
      <c r="E2512" s="4" t="s">
        <v>66</v>
      </c>
      <c r="F2512" s="4" t="s">
        <v>67</v>
      </c>
      <c r="G2512" s="4" t="s">
        <v>2018</v>
      </c>
      <c r="H2512" s="4"/>
      <c r="I2512" s="4" t="n">
        <v>7.2959</v>
      </c>
      <c r="J2512" s="4" t="str">
        <f aca="false">TRIM(E2512) &amp; TRIM(C2512) &amp; TRIM(D2512)</f>
        <v>Posted RecallTrial Install Android AppCA</v>
      </c>
      <c r="K2512" s="4" t="n">
        <f aca="false">IFERROR(I2512*60,"")</f>
        <v>437.754</v>
      </c>
    </row>
    <row r="2513" customFormat="false" ht="15" hidden="false" customHeight="false" outlineLevel="0" collapsed="false">
      <c r="A2513" s="4" t="s">
        <v>15</v>
      </c>
      <c r="B2513" s="4" t="s">
        <v>2019</v>
      </c>
      <c r="C2513" s="4" t="s">
        <v>2020</v>
      </c>
      <c r="D2513" s="4" t="s">
        <v>267</v>
      </c>
      <c r="E2513" s="4" t="s">
        <v>63</v>
      </c>
      <c r="F2513" s="4" t="s">
        <v>63</v>
      </c>
      <c r="G2513" s="4" t="s">
        <v>2021</v>
      </c>
      <c r="H2513" s="4"/>
      <c r="I2513" s="4" t="n">
        <v>0.408</v>
      </c>
      <c r="J2513" s="4" t="str">
        <f aca="false">TRIM(E2513) &amp; TRIM(C2513) &amp; TRIM(D2513)</f>
        <v>First ReviewCreator Gen Text EP RequirementID</v>
      </c>
      <c r="K2513" s="4" t="n">
        <f aca="false">IFERROR(I2513*60,"")</f>
        <v>24.48</v>
      </c>
    </row>
    <row r="2514" customFormat="false" ht="15" hidden="false" customHeight="false" outlineLevel="0" collapsed="false">
      <c r="A2514" s="4" t="s">
        <v>15</v>
      </c>
      <c r="B2514" s="4" t="s">
        <v>2019</v>
      </c>
      <c r="C2514" s="4" t="s">
        <v>2022</v>
      </c>
      <c r="D2514" s="4" t="s">
        <v>87</v>
      </c>
      <c r="E2514" s="4" t="s">
        <v>63</v>
      </c>
      <c r="F2514" s="4" t="s">
        <v>63</v>
      </c>
      <c r="G2514" s="4" t="s">
        <v>2023</v>
      </c>
      <c r="H2514" s="4"/>
      <c r="I2514" s="4" t="n">
        <v>0.1008</v>
      </c>
      <c r="J2514" s="4" t="str">
        <f aca="false">TRIM(E2514) &amp; TRIM(C2514) &amp; TRIM(D2514)</f>
        <v>First ReviewCreator Gen Text Tiktok RequirementAE</v>
      </c>
      <c r="K2514" s="4" t="n">
        <f aca="false">IFERROR(I2514*60,"")</f>
        <v>6.048</v>
      </c>
    </row>
    <row r="2515" customFormat="false" ht="15" hidden="false" customHeight="false" outlineLevel="0" collapsed="false">
      <c r="A2515" s="4" t="s">
        <v>15</v>
      </c>
      <c r="B2515" s="4" t="s">
        <v>2019</v>
      </c>
      <c r="C2515" s="4" t="s">
        <v>2024</v>
      </c>
      <c r="D2515" s="4" t="s">
        <v>111</v>
      </c>
      <c r="E2515" s="4" t="s">
        <v>63</v>
      </c>
      <c r="F2515" s="4" t="s">
        <v>63</v>
      </c>
      <c r="G2515" s="4" t="s">
        <v>2025</v>
      </c>
      <c r="H2515" s="4"/>
      <c r="I2515" s="4" t="n">
        <v>0.2618</v>
      </c>
      <c r="J2515" s="4" t="str">
        <f aca="false">TRIM(E2515) &amp; TRIM(C2515) &amp; TRIM(D2515)</f>
        <v>First ReviewCreator Gen Image Tiktok RequirementUS</v>
      </c>
      <c r="K2515" s="4" t="n">
        <f aca="false">IFERROR(I2515*60,"")</f>
        <v>15.708</v>
      </c>
    </row>
    <row r="2516" customFormat="false" ht="15" hidden="false" customHeight="false" outlineLevel="0" collapsed="false">
      <c r="A2516" s="4" t="s">
        <v>15</v>
      </c>
      <c r="B2516" s="4" t="s">
        <v>2019</v>
      </c>
      <c r="C2516" s="4" t="s">
        <v>2026</v>
      </c>
      <c r="D2516" s="4" t="s">
        <v>121</v>
      </c>
      <c r="E2516" s="4" t="s">
        <v>63</v>
      </c>
      <c r="F2516" s="4" t="s">
        <v>63</v>
      </c>
      <c r="G2516" s="4" t="s">
        <v>2027</v>
      </c>
      <c r="H2516" s="4"/>
      <c r="I2516" s="4" t="n">
        <v>1.0676</v>
      </c>
      <c r="J2516" s="4" t="str">
        <f aca="false">TRIM(E2516) &amp; TRIM(C2516) &amp; TRIM(D2516)</f>
        <v>First ReviewCreator Gen Video Tiktok RequirementKR</v>
      </c>
      <c r="K2516" s="4" t="n">
        <f aca="false">IFERROR(I2516*60,"")</f>
        <v>64.056</v>
      </c>
    </row>
    <row r="2517" customFormat="false" ht="15" hidden="false" customHeight="false" outlineLevel="0" collapsed="false">
      <c r="A2517" s="4" t="s">
        <v>15</v>
      </c>
      <c r="B2517" s="4" t="s">
        <v>2019</v>
      </c>
      <c r="C2517" s="4" t="s">
        <v>2028</v>
      </c>
      <c r="D2517" s="4" t="s">
        <v>113</v>
      </c>
      <c r="E2517" s="4" t="s">
        <v>63</v>
      </c>
      <c r="F2517" s="4" t="s">
        <v>63</v>
      </c>
      <c r="G2517" s="4" t="s">
        <v>2029</v>
      </c>
      <c r="H2517" s="4"/>
      <c r="I2517" s="4" t="n">
        <v>0.4252</v>
      </c>
      <c r="J2517" s="4" t="str">
        <f aca="false">TRIM(E2517) &amp; TRIM(C2517) &amp; TRIM(D2517)</f>
        <v>First ReviewCreator Gen Image SafetyNL</v>
      </c>
      <c r="K2517" s="4" t="n">
        <f aca="false">IFERROR(I2517*60,"")</f>
        <v>25.512</v>
      </c>
    </row>
    <row r="2518" customFormat="false" ht="15" hidden="false" customHeight="false" outlineLevel="0" collapsed="false">
      <c r="A2518" s="4" t="s">
        <v>15</v>
      </c>
      <c r="B2518" s="4" t="s">
        <v>2019</v>
      </c>
      <c r="C2518" s="4" t="s">
        <v>2030</v>
      </c>
      <c r="D2518" s="4" t="s">
        <v>106</v>
      </c>
      <c r="E2518" s="4" t="s">
        <v>63</v>
      </c>
      <c r="F2518" s="4" t="s">
        <v>63</v>
      </c>
      <c r="G2518" s="4" t="s">
        <v>2031</v>
      </c>
      <c r="H2518" s="4"/>
      <c r="I2518" s="4" t="n">
        <v>0.1125</v>
      </c>
      <c r="J2518" s="4" t="str">
        <f aca="false">TRIM(E2518) &amp; TRIM(C2518) &amp; TRIM(D2518)</f>
        <v>First ReviewCreator Gen Video SafetyMY</v>
      </c>
      <c r="K2518" s="4" t="n">
        <f aca="false">IFERROR(I2518*60,"")</f>
        <v>6.75</v>
      </c>
    </row>
    <row r="2519" customFormat="false" ht="15" hidden="false" customHeight="false" outlineLevel="0" collapsed="false">
      <c r="A2519" s="4" t="s">
        <v>15</v>
      </c>
      <c r="B2519" s="4" t="s">
        <v>2019</v>
      </c>
      <c r="C2519" s="4" t="s">
        <v>2028</v>
      </c>
      <c r="D2519" s="4" t="s">
        <v>213</v>
      </c>
      <c r="E2519" s="4" t="s">
        <v>63</v>
      </c>
      <c r="F2519" s="4" t="s">
        <v>63</v>
      </c>
      <c r="G2519" s="4" t="s">
        <v>2032</v>
      </c>
      <c r="H2519" s="4"/>
      <c r="I2519" s="4" t="n">
        <v>0.1763</v>
      </c>
      <c r="J2519" s="4" t="str">
        <f aca="false">TRIM(E2519) &amp; TRIM(C2519) &amp; TRIM(D2519)</f>
        <v>First ReviewCreator Gen Image SafetyFR</v>
      </c>
      <c r="K2519" s="4" t="n">
        <f aca="false">IFERROR(I2519*60,"")</f>
        <v>10.578</v>
      </c>
    </row>
    <row r="2520" customFormat="false" ht="15" hidden="false" customHeight="false" outlineLevel="0" collapsed="false">
      <c r="A2520" s="4" t="s">
        <v>15</v>
      </c>
      <c r="B2520" s="4" t="s">
        <v>2019</v>
      </c>
      <c r="C2520" s="4" t="s">
        <v>2022</v>
      </c>
      <c r="D2520" s="4" t="s">
        <v>271</v>
      </c>
      <c r="E2520" s="4" t="s">
        <v>63</v>
      </c>
      <c r="F2520" s="4" t="s">
        <v>63</v>
      </c>
      <c r="G2520" s="4" t="s">
        <v>2033</v>
      </c>
      <c r="H2520" s="4"/>
      <c r="I2520" s="4" t="n">
        <v>0.0943</v>
      </c>
      <c r="J2520" s="4" t="str">
        <f aca="false">TRIM(E2520) &amp; TRIM(C2520) &amp; TRIM(D2520)</f>
        <v>First ReviewCreator Gen Text Tiktok RequirementKW</v>
      </c>
      <c r="K2520" s="4" t="n">
        <f aca="false">IFERROR(I2520*60,"")</f>
        <v>5.658</v>
      </c>
    </row>
    <row r="2521" customFormat="false" ht="15" hidden="false" customHeight="false" outlineLevel="0" collapsed="false">
      <c r="A2521" s="4" t="s">
        <v>15</v>
      </c>
      <c r="B2521" s="4" t="s">
        <v>2019</v>
      </c>
      <c r="C2521" s="4" t="s">
        <v>2034</v>
      </c>
      <c r="D2521" s="4" t="s">
        <v>306</v>
      </c>
      <c r="E2521" s="4" t="s">
        <v>63</v>
      </c>
      <c r="F2521" s="4" t="s">
        <v>63</v>
      </c>
      <c r="G2521" s="4" t="s">
        <v>2035</v>
      </c>
      <c r="H2521" s="4"/>
      <c r="I2521" s="4" t="n">
        <v>0.6161</v>
      </c>
      <c r="J2521" s="4" t="str">
        <f aca="false">TRIM(E2521) &amp; TRIM(C2521) &amp; TRIM(D2521)</f>
        <v>First ReviewCreator Gen Image EP RequirementTH</v>
      </c>
      <c r="K2521" s="4" t="n">
        <f aca="false">IFERROR(I2521*60,"")</f>
        <v>36.966</v>
      </c>
    </row>
    <row r="2522" customFormat="false" ht="15" hidden="false" customHeight="false" outlineLevel="0" collapsed="false">
      <c r="A2522" s="4" t="s">
        <v>15</v>
      </c>
      <c r="B2522" s="4" t="s">
        <v>2019</v>
      </c>
      <c r="C2522" s="4" t="s">
        <v>2020</v>
      </c>
      <c r="D2522" s="4" t="s">
        <v>100</v>
      </c>
      <c r="E2522" s="4" t="s">
        <v>63</v>
      </c>
      <c r="F2522" s="4" t="s">
        <v>63</v>
      </c>
      <c r="G2522" s="4" t="s">
        <v>2036</v>
      </c>
      <c r="H2522" s="4"/>
      <c r="I2522" s="4" t="n">
        <v>0.4847</v>
      </c>
      <c r="J2522" s="4" t="str">
        <f aca="false">TRIM(E2522) &amp; TRIM(C2522) &amp; TRIM(D2522)</f>
        <v>First ReviewCreator Gen Text EP RequirementAU</v>
      </c>
      <c r="K2522" s="4" t="n">
        <f aca="false">IFERROR(I2522*60,"")</f>
        <v>29.082</v>
      </c>
    </row>
    <row r="2523" customFormat="false" ht="15" hidden="false" customHeight="false" outlineLevel="0" collapsed="false">
      <c r="A2523" s="4" t="s">
        <v>15</v>
      </c>
      <c r="B2523" s="4" t="s">
        <v>2019</v>
      </c>
      <c r="C2523" s="4" t="s">
        <v>2037</v>
      </c>
      <c r="D2523" s="4" t="s">
        <v>255</v>
      </c>
      <c r="E2523" s="4" t="s">
        <v>63</v>
      </c>
      <c r="F2523" s="4" t="s">
        <v>63</v>
      </c>
      <c r="G2523" s="4" t="s">
        <v>2038</v>
      </c>
      <c r="H2523" s="4"/>
      <c r="I2523" s="4" t="n">
        <v>0.813</v>
      </c>
      <c r="J2523" s="4" t="str">
        <f aca="false">TRIM(E2523) &amp; TRIM(C2523) &amp; TRIM(D2523)</f>
        <v>First ReviewCreator Gen Video EP RequirementNZ</v>
      </c>
      <c r="K2523" s="4" t="n">
        <f aca="false">IFERROR(I2523*60,"")</f>
        <v>48.78</v>
      </c>
    </row>
    <row r="2524" customFormat="false" ht="15" hidden="false" customHeight="false" outlineLevel="0" collapsed="false">
      <c r="A2524" s="4" t="s">
        <v>15</v>
      </c>
      <c r="B2524" s="4" t="s">
        <v>2019</v>
      </c>
      <c r="C2524" s="4" t="s">
        <v>2028</v>
      </c>
      <c r="D2524" s="4" t="s">
        <v>126</v>
      </c>
      <c r="E2524" s="4" t="s">
        <v>63</v>
      </c>
      <c r="F2524" s="4" t="s">
        <v>63</v>
      </c>
      <c r="G2524" s="4" t="s">
        <v>2039</v>
      </c>
      <c r="H2524" s="4"/>
      <c r="I2524" s="4" t="n">
        <v>0.1855</v>
      </c>
      <c r="J2524" s="4" t="str">
        <f aca="false">TRIM(E2524) &amp; TRIM(C2524) &amp; TRIM(D2524)</f>
        <v>First ReviewCreator Gen Image SafetyMX</v>
      </c>
      <c r="K2524" s="4" t="n">
        <f aca="false">IFERROR(I2524*60,"")</f>
        <v>11.13</v>
      </c>
    </row>
    <row r="2525" customFormat="false" ht="15" hidden="false" customHeight="false" outlineLevel="0" collapsed="false">
      <c r="A2525" s="4" t="s">
        <v>15</v>
      </c>
      <c r="B2525" s="4" t="s">
        <v>2019</v>
      </c>
      <c r="C2525" s="4" t="s">
        <v>2040</v>
      </c>
      <c r="D2525" s="4" t="s">
        <v>139</v>
      </c>
      <c r="E2525" s="4" t="s">
        <v>63</v>
      </c>
      <c r="F2525" s="4" t="s">
        <v>63</v>
      </c>
      <c r="G2525" s="4" t="s">
        <v>2041</v>
      </c>
      <c r="H2525" s="4"/>
      <c r="I2525" s="4" t="n">
        <v>0.1427</v>
      </c>
      <c r="J2525" s="4" t="str">
        <f aca="false">TRIM(E2525) &amp; TRIM(C2525) &amp; TRIM(D2525)</f>
        <v>First ReviewCreator Gen Text SafetyEG</v>
      </c>
      <c r="K2525" s="4" t="n">
        <f aca="false">IFERROR(I2525*60,"")</f>
        <v>8.562</v>
      </c>
    </row>
    <row r="2526" customFormat="false" ht="15" hidden="false" customHeight="false" outlineLevel="0" collapsed="false">
      <c r="A2526" s="4" t="s">
        <v>15</v>
      </c>
      <c r="B2526" s="4" t="s">
        <v>2019</v>
      </c>
      <c r="C2526" s="4" t="s">
        <v>2026</v>
      </c>
      <c r="D2526" s="4" t="s">
        <v>111</v>
      </c>
      <c r="E2526" s="4" t="s">
        <v>63</v>
      </c>
      <c r="F2526" s="4" t="s">
        <v>63</v>
      </c>
      <c r="G2526" s="4" t="s">
        <v>2042</v>
      </c>
      <c r="H2526" s="4"/>
      <c r="I2526" s="4" t="n">
        <v>1.0006</v>
      </c>
      <c r="J2526" s="4" t="str">
        <f aca="false">TRIM(E2526) &amp; TRIM(C2526) &amp; TRIM(D2526)</f>
        <v>First ReviewCreator Gen Video Tiktok RequirementUS</v>
      </c>
      <c r="K2526" s="4" t="n">
        <f aca="false">IFERROR(I2526*60,"")</f>
        <v>60.036</v>
      </c>
    </row>
    <row r="2527" customFormat="false" ht="15" hidden="false" customHeight="false" outlineLevel="0" collapsed="false">
      <c r="A2527" s="4" t="s">
        <v>15</v>
      </c>
      <c r="B2527" s="4" t="s">
        <v>2019</v>
      </c>
      <c r="C2527" s="4" t="s">
        <v>2024</v>
      </c>
      <c r="D2527" s="4" t="s">
        <v>70</v>
      </c>
      <c r="E2527" s="4" t="s">
        <v>63</v>
      </c>
      <c r="F2527" s="4" t="s">
        <v>63</v>
      </c>
      <c r="G2527" s="4" t="s">
        <v>2043</v>
      </c>
      <c r="H2527" s="4"/>
      <c r="I2527" s="4" t="n">
        <v>0.0297</v>
      </c>
      <c r="J2527" s="4" t="str">
        <f aca="false">TRIM(E2527) &amp; TRIM(C2527) &amp; TRIM(D2527)</f>
        <v>First ReviewCreator Gen Image Tiktok RequirementBE</v>
      </c>
      <c r="K2527" s="4" t="n">
        <f aca="false">IFERROR(I2527*60,"")</f>
        <v>1.782</v>
      </c>
    </row>
    <row r="2528" customFormat="false" ht="15" hidden="false" customHeight="false" outlineLevel="0" collapsed="false">
      <c r="A2528" s="4" t="s">
        <v>15</v>
      </c>
      <c r="B2528" s="4" t="s">
        <v>2019</v>
      </c>
      <c r="C2528" s="4" t="s">
        <v>2026</v>
      </c>
      <c r="D2528" s="4" t="s">
        <v>62</v>
      </c>
      <c r="E2528" s="4" t="s">
        <v>63</v>
      </c>
      <c r="F2528" s="4" t="s">
        <v>63</v>
      </c>
      <c r="G2528" s="4" t="s">
        <v>2044</v>
      </c>
      <c r="H2528" s="4"/>
      <c r="I2528" s="4" t="n">
        <v>1.3048</v>
      </c>
      <c r="J2528" s="4" t="str">
        <f aca="false">TRIM(E2528) &amp; TRIM(C2528) &amp; TRIM(D2528)</f>
        <v>First ReviewCreator Gen Video Tiktok RequirementCL</v>
      </c>
      <c r="K2528" s="4" t="n">
        <f aca="false">IFERROR(I2528*60,"")</f>
        <v>78.288</v>
      </c>
    </row>
    <row r="2529" customFormat="false" ht="15" hidden="false" customHeight="false" outlineLevel="0" collapsed="false">
      <c r="A2529" s="4" t="s">
        <v>15</v>
      </c>
      <c r="B2529" s="4" t="s">
        <v>2019</v>
      </c>
      <c r="C2529" s="4" t="s">
        <v>2026</v>
      </c>
      <c r="D2529" s="4" t="s">
        <v>126</v>
      </c>
      <c r="E2529" s="4" t="s">
        <v>63</v>
      </c>
      <c r="F2529" s="4" t="s">
        <v>63</v>
      </c>
      <c r="G2529" s="4" t="s">
        <v>2045</v>
      </c>
      <c r="H2529" s="4"/>
      <c r="I2529" s="4" t="n">
        <v>0.768</v>
      </c>
      <c r="J2529" s="4" t="str">
        <f aca="false">TRIM(E2529) &amp; TRIM(C2529) &amp; TRIM(D2529)</f>
        <v>First ReviewCreator Gen Video Tiktok RequirementMX</v>
      </c>
      <c r="K2529" s="4" t="n">
        <f aca="false">IFERROR(I2529*60,"")</f>
        <v>46.08</v>
      </c>
    </row>
    <row r="2530" customFormat="false" ht="15" hidden="false" customHeight="false" outlineLevel="0" collapsed="false">
      <c r="A2530" s="4" t="s">
        <v>15</v>
      </c>
      <c r="B2530" s="4" t="s">
        <v>2019</v>
      </c>
      <c r="C2530" s="4" t="s">
        <v>2030</v>
      </c>
      <c r="D2530" s="4" t="s">
        <v>150</v>
      </c>
      <c r="E2530" s="4" t="s">
        <v>63</v>
      </c>
      <c r="F2530" s="4" t="s">
        <v>63</v>
      </c>
      <c r="G2530" s="4" t="s">
        <v>2046</v>
      </c>
      <c r="H2530" s="4"/>
      <c r="I2530" s="4" t="n">
        <v>0.6818</v>
      </c>
      <c r="J2530" s="4" t="str">
        <f aca="false">TRIM(E2530) &amp; TRIM(C2530) &amp; TRIM(D2530)</f>
        <v>First ReviewCreator Gen Video SafetyDE</v>
      </c>
      <c r="K2530" s="4" t="n">
        <f aca="false">IFERROR(I2530*60,"")</f>
        <v>40.908</v>
      </c>
    </row>
    <row r="2531" customFormat="false" ht="15" hidden="false" customHeight="false" outlineLevel="0" collapsed="false">
      <c r="A2531" s="4" t="s">
        <v>15</v>
      </c>
      <c r="B2531" s="4" t="s">
        <v>2019</v>
      </c>
      <c r="C2531" s="4" t="s">
        <v>2028</v>
      </c>
      <c r="D2531" s="4" t="s">
        <v>154</v>
      </c>
      <c r="E2531" s="4" t="s">
        <v>63</v>
      </c>
      <c r="F2531" s="4" t="s">
        <v>63</v>
      </c>
      <c r="G2531" s="4" t="s">
        <v>2047</v>
      </c>
      <c r="H2531" s="4"/>
      <c r="I2531" s="4" t="n">
        <v>0.4335</v>
      </c>
      <c r="J2531" s="4" t="str">
        <f aca="false">TRIM(E2531) &amp; TRIM(C2531) &amp; TRIM(D2531)</f>
        <v>First ReviewCreator Gen Image SafetyES</v>
      </c>
      <c r="K2531" s="4" t="n">
        <f aca="false">IFERROR(I2531*60,"")</f>
        <v>26.01</v>
      </c>
    </row>
    <row r="2532" customFormat="false" ht="15" hidden="false" customHeight="false" outlineLevel="0" collapsed="false">
      <c r="A2532" s="4" t="s">
        <v>15</v>
      </c>
      <c r="B2532" s="4" t="s">
        <v>2019</v>
      </c>
      <c r="C2532" s="4" t="s">
        <v>2040</v>
      </c>
      <c r="D2532" s="4" t="s">
        <v>235</v>
      </c>
      <c r="E2532" s="4" t="s">
        <v>63</v>
      </c>
      <c r="F2532" s="4" t="s">
        <v>63</v>
      </c>
      <c r="G2532" s="4" t="s">
        <v>2048</v>
      </c>
      <c r="H2532" s="4"/>
      <c r="I2532" s="4" t="n">
        <v>0.3862</v>
      </c>
      <c r="J2532" s="4" t="str">
        <f aca="false">TRIM(E2532) &amp; TRIM(C2532) &amp; TRIM(D2532)</f>
        <v>First ReviewCreator Gen Text SafetyJP</v>
      </c>
      <c r="K2532" s="4" t="n">
        <f aca="false">IFERROR(I2532*60,"")</f>
        <v>23.172</v>
      </c>
    </row>
    <row r="2533" customFormat="false" ht="15" hidden="false" customHeight="false" outlineLevel="0" collapsed="false">
      <c r="A2533" s="4" t="s">
        <v>15</v>
      </c>
      <c r="B2533" s="4" t="s">
        <v>2019</v>
      </c>
      <c r="C2533" s="4" t="s">
        <v>2026</v>
      </c>
      <c r="D2533" s="4" t="s">
        <v>100</v>
      </c>
      <c r="E2533" s="4" t="s">
        <v>63</v>
      </c>
      <c r="F2533" s="4" t="s">
        <v>63</v>
      </c>
      <c r="G2533" s="4" t="s">
        <v>2049</v>
      </c>
      <c r="H2533" s="4"/>
      <c r="I2533" s="4" t="n">
        <v>0.5506</v>
      </c>
      <c r="J2533" s="4" t="str">
        <f aca="false">TRIM(E2533) &amp; TRIM(C2533) &amp; TRIM(D2533)</f>
        <v>First ReviewCreator Gen Video Tiktok RequirementAU</v>
      </c>
      <c r="K2533" s="4" t="n">
        <f aca="false">IFERROR(I2533*60,"")</f>
        <v>33.036</v>
      </c>
    </row>
    <row r="2534" customFormat="false" ht="15" hidden="false" customHeight="false" outlineLevel="0" collapsed="false">
      <c r="A2534" s="4" t="s">
        <v>15</v>
      </c>
      <c r="B2534" s="4" t="s">
        <v>2019</v>
      </c>
      <c r="C2534" s="4" t="s">
        <v>2040</v>
      </c>
      <c r="D2534" s="4" t="s">
        <v>221</v>
      </c>
      <c r="E2534" s="4" t="s">
        <v>63</v>
      </c>
      <c r="F2534" s="4" t="s">
        <v>63</v>
      </c>
      <c r="G2534" s="4" t="s">
        <v>2050</v>
      </c>
      <c r="H2534" s="4"/>
      <c r="I2534" s="4" t="n">
        <v>0.028</v>
      </c>
      <c r="J2534" s="4" t="str">
        <f aca="false">TRIM(E2534) &amp; TRIM(C2534) &amp; TRIM(D2534)</f>
        <v>First ReviewCreator Gen Text SafetyOM</v>
      </c>
      <c r="K2534" s="4" t="n">
        <f aca="false">IFERROR(I2534*60,"")</f>
        <v>1.68</v>
      </c>
    </row>
    <row r="2535" customFormat="false" ht="15" hidden="false" customHeight="false" outlineLevel="0" collapsed="false">
      <c r="A2535" s="4" t="s">
        <v>15</v>
      </c>
      <c r="B2535" s="4" t="s">
        <v>2019</v>
      </c>
      <c r="C2535" s="4" t="s">
        <v>2040</v>
      </c>
      <c r="D2535" s="4" t="s">
        <v>255</v>
      </c>
      <c r="E2535" s="4" t="s">
        <v>63</v>
      </c>
      <c r="F2535" s="4" t="s">
        <v>63</v>
      </c>
      <c r="G2535" s="4" t="s">
        <v>2051</v>
      </c>
      <c r="H2535" s="4"/>
      <c r="I2535" s="4" t="n">
        <v>0.03</v>
      </c>
      <c r="J2535" s="4" t="str">
        <f aca="false">TRIM(E2535) &amp; TRIM(C2535) &amp; TRIM(D2535)</f>
        <v>First ReviewCreator Gen Text SafetyNZ</v>
      </c>
      <c r="K2535" s="4" t="n">
        <f aca="false">IFERROR(I2535*60,"")</f>
        <v>1.8</v>
      </c>
    </row>
    <row r="2536" customFormat="false" ht="15" hidden="false" customHeight="false" outlineLevel="0" collapsed="false">
      <c r="A2536" s="4" t="s">
        <v>15</v>
      </c>
      <c r="B2536" s="4" t="s">
        <v>2019</v>
      </c>
      <c r="C2536" s="4" t="s">
        <v>2030</v>
      </c>
      <c r="D2536" s="4" t="s">
        <v>213</v>
      </c>
      <c r="E2536" s="4" t="s">
        <v>63</v>
      </c>
      <c r="F2536" s="4" t="s">
        <v>63</v>
      </c>
      <c r="G2536" s="4" t="s">
        <v>2052</v>
      </c>
      <c r="H2536" s="4"/>
      <c r="I2536" s="4" t="n">
        <v>0.158</v>
      </c>
      <c r="J2536" s="4" t="str">
        <f aca="false">TRIM(E2536) &amp; TRIM(C2536) &amp; TRIM(D2536)</f>
        <v>First ReviewCreator Gen Video SafetyFR</v>
      </c>
      <c r="K2536" s="4" t="n">
        <f aca="false">IFERROR(I2536*60,"")</f>
        <v>9.48</v>
      </c>
    </row>
    <row r="2537" customFormat="false" ht="15" hidden="false" customHeight="false" outlineLevel="0" collapsed="false">
      <c r="A2537" s="4" t="s">
        <v>15</v>
      </c>
      <c r="B2537" s="4" t="s">
        <v>2019</v>
      </c>
      <c r="C2537" s="4" t="s">
        <v>2030</v>
      </c>
      <c r="D2537" s="4" t="s">
        <v>203</v>
      </c>
      <c r="E2537" s="4" t="s">
        <v>63</v>
      </c>
      <c r="F2537" s="4" t="s">
        <v>63</v>
      </c>
      <c r="G2537" s="4" t="s">
        <v>2053</v>
      </c>
      <c r="H2537" s="4"/>
      <c r="I2537" s="4" t="n">
        <v>0.5931</v>
      </c>
      <c r="J2537" s="4" t="str">
        <f aca="false">TRIM(E2537) &amp; TRIM(C2537) &amp; TRIM(D2537)</f>
        <v>First ReviewCreator Gen Video SafetyCA</v>
      </c>
      <c r="K2537" s="4" t="n">
        <f aca="false">IFERROR(I2537*60,"")</f>
        <v>35.586</v>
      </c>
    </row>
    <row r="2538" customFormat="false" ht="15" hidden="false" customHeight="false" outlineLevel="0" collapsed="false">
      <c r="A2538" s="4" t="s">
        <v>15</v>
      </c>
      <c r="B2538" s="4" t="s">
        <v>2019</v>
      </c>
      <c r="C2538" s="4" t="s">
        <v>2030</v>
      </c>
      <c r="D2538" s="4" t="s">
        <v>100</v>
      </c>
      <c r="E2538" s="4" t="s">
        <v>63</v>
      </c>
      <c r="F2538" s="4" t="s">
        <v>63</v>
      </c>
      <c r="G2538" s="4" t="s">
        <v>2054</v>
      </c>
      <c r="H2538" s="4"/>
      <c r="I2538" s="4" t="n">
        <v>0.4262</v>
      </c>
      <c r="J2538" s="4" t="str">
        <f aca="false">TRIM(E2538) &amp; TRIM(C2538) &amp; TRIM(D2538)</f>
        <v>First ReviewCreator Gen Video SafetyAU</v>
      </c>
      <c r="K2538" s="4" t="n">
        <f aca="false">IFERROR(I2538*60,"")</f>
        <v>25.572</v>
      </c>
    </row>
    <row r="2539" customFormat="false" ht="15" hidden="false" customHeight="false" outlineLevel="0" collapsed="false">
      <c r="A2539" s="4" t="s">
        <v>15</v>
      </c>
      <c r="B2539" s="4" t="s">
        <v>2019</v>
      </c>
      <c r="C2539" s="4" t="s">
        <v>2040</v>
      </c>
      <c r="D2539" s="4" t="s">
        <v>275</v>
      </c>
      <c r="E2539" s="4" t="s">
        <v>63</v>
      </c>
      <c r="F2539" s="4" t="s">
        <v>63</v>
      </c>
      <c r="G2539" s="4" t="s">
        <v>2055</v>
      </c>
      <c r="H2539" s="4"/>
      <c r="I2539" s="4" t="n">
        <v>0.0168</v>
      </c>
      <c r="J2539" s="4" t="str">
        <f aca="false">TRIM(E2539) &amp; TRIM(C2539) &amp; TRIM(D2539)</f>
        <v>First ReviewCreator Gen Text SafetyGB</v>
      </c>
      <c r="K2539" s="4" t="n">
        <f aca="false">IFERROR(I2539*60,"")</f>
        <v>1.008</v>
      </c>
    </row>
    <row r="2540" customFormat="false" ht="15" hidden="false" customHeight="false" outlineLevel="0" collapsed="false">
      <c r="A2540" s="4" t="s">
        <v>15</v>
      </c>
      <c r="B2540" s="4" t="s">
        <v>2019</v>
      </c>
      <c r="C2540" s="4" t="s">
        <v>2030</v>
      </c>
      <c r="D2540" s="4" t="s">
        <v>139</v>
      </c>
      <c r="E2540" s="4" t="s">
        <v>63</v>
      </c>
      <c r="F2540" s="4" t="s">
        <v>63</v>
      </c>
      <c r="G2540" s="4" t="s">
        <v>2056</v>
      </c>
      <c r="H2540" s="4"/>
      <c r="I2540" s="4" t="n">
        <v>0.5485</v>
      </c>
      <c r="J2540" s="4" t="str">
        <f aca="false">TRIM(E2540) &amp; TRIM(C2540) &amp; TRIM(D2540)</f>
        <v>First ReviewCreator Gen Video SafetyEG</v>
      </c>
      <c r="K2540" s="4" t="n">
        <f aca="false">IFERROR(I2540*60,"")</f>
        <v>32.91</v>
      </c>
    </row>
    <row r="2541" customFormat="false" ht="15" hidden="false" customHeight="false" outlineLevel="0" collapsed="false">
      <c r="A2541" s="4" t="s">
        <v>15</v>
      </c>
      <c r="B2541" s="4" t="s">
        <v>2019</v>
      </c>
      <c r="C2541" s="4" t="s">
        <v>2022</v>
      </c>
      <c r="D2541" s="4" t="s">
        <v>130</v>
      </c>
      <c r="E2541" s="4" t="s">
        <v>63</v>
      </c>
      <c r="F2541" s="4" t="s">
        <v>63</v>
      </c>
      <c r="G2541" s="4" t="s">
        <v>2057</v>
      </c>
      <c r="H2541" s="4"/>
      <c r="I2541" s="4" t="n">
        <v>0.1712</v>
      </c>
      <c r="J2541" s="4" t="str">
        <f aca="false">TRIM(E2541) &amp; TRIM(C2541) &amp; TRIM(D2541)</f>
        <v>First ReviewCreator Gen Text Tiktok RequirementMA</v>
      </c>
      <c r="K2541" s="4" t="n">
        <f aca="false">IFERROR(I2541*60,"")</f>
        <v>10.272</v>
      </c>
    </row>
    <row r="2542" customFormat="false" ht="15" hidden="false" customHeight="false" outlineLevel="0" collapsed="false">
      <c r="A2542" s="4" t="s">
        <v>15</v>
      </c>
      <c r="B2542" s="4" t="s">
        <v>2019</v>
      </c>
      <c r="C2542" s="4" t="s">
        <v>2040</v>
      </c>
      <c r="D2542" s="4" t="s">
        <v>190</v>
      </c>
      <c r="E2542" s="4" t="s">
        <v>63</v>
      </c>
      <c r="F2542" s="4" t="s">
        <v>63</v>
      </c>
      <c r="G2542" s="4" t="s">
        <v>2058</v>
      </c>
      <c r="H2542" s="4"/>
      <c r="I2542" s="4" t="n">
        <v>0.0247</v>
      </c>
      <c r="J2542" s="4" t="str">
        <f aca="false">TRIM(E2542) &amp; TRIM(C2542) &amp; TRIM(D2542)</f>
        <v>First ReviewCreator Gen Text SafetyPH</v>
      </c>
      <c r="K2542" s="4" t="n">
        <f aca="false">IFERROR(I2542*60,"")</f>
        <v>1.482</v>
      </c>
    </row>
    <row r="2543" customFormat="false" ht="15" hidden="false" customHeight="false" outlineLevel="0" collapsed="false">
      <c r="A2543" s="4" t="s">
        <v>15</v>
      </c>
      <c r="B2543" s="4" t="s">
        <v>2019</v>
      </c>
      <c r="C2543" s="4" t="s">
        <v>2037</v>
      </c>
      <c r="D2543" s="4" t="s">
        <v>58</v>
      </c>
      <c r="E2543" s="4" t="s">
        <v>63</v>
      </c>
      <c r="F2543" s="4" t="s">
        <v>63</v>
      </c>
      <c r="G2543" s="4" t="s">
        <v>2059</v>
      </c>
      <c r="H2543" s="4"/>
      <c r="I2543" s="4" t="n">
        <v>0.0242</v>
      </c>
      <c r="J2543" s="4" t="str">
        <f aca="false">TRIM(E2543) &amp; TRIM(C2543) &amp; TRIM(D2543)</f>
        <v>First ReviewCreator Gen Video EP RequirementSG</v>
      </c>
      <c r="K2543" s="4" t="n">
        <f aca="false">IFERROR(I2543*60,"")</f>
        <v>1.452</v>
      </c>
    </row>
    <row r="2544" customFormat="false" ht="15" hidden="false" customHeight="false" outlineLevel="0" collapsed="false">
      <c r="A2544" s="4" t="s">
        <v>15</v>
      </c>
      <c r="B2544" s="4" t="s">
        <v>2019</v>
      </c>
      <c r="C2544" s="4" t="s">
        <v>2024</v>
      </c>
      <c r="D2544" s="4" t="s">
        <v>100</v>
      </c>
      <c r="E2544" s="4" t="s">
        <v>63</v>
      </c>
      <c r="F2544" s="4" t="s">
        <v>63</v>
      </c>
      <c r="G2544" s="4" t="s">
        <v>2060</v>
      </c>
      <c r="H2544" s="4"/>
      <c r="I2544" s="4" t="n">
        <v>0.2617</v>
      </c>
      <c r="J2544" s="4" t="str">
        <f aca="false">TRIM(E2544) &amp; TRIM(C2544) &amp; TRIM(D2544)</f>
        <v>First ReviewCreator Gen Image Tiktok RequirementAU</v>
      </c>
      <c r="K2544" s="4" t="n">
        <f aca="false">IFERROR(I2544*60,"")</f>
        <v>15.702</v>
      </c>
    </row>
    <row r="2545" customFormat="false" ht="15" hidden="false" customHeight="false" outlineLevel="0" collapsed="false">
      <c r="A2545" s="4" t="s">
        <v>15</v>
      </c>
      <c r="B2545" s="4" t="s">
        <v>2019</v>
      </c>
      <c r="C2545" s="4" t="s">
        <v>2026</v>
      </c>
      <c r="D2545" s="4" t="s">
        <v>195</v>
      </c>
      <c r="E2545" s="4" t="s">
        <v>63</v>
      </c>
      <c r="F2545" s="4" t="s">
        <v>63</v>
      </c>
      <c r="G2545" s="4" t="s">
        <v>2061</v>
      </c>
      <c r="H2545" s="4"/>
      <c r="I2545" s="4" t="n">
        <v>0.1486</v>
      </c>
      <c r="J2545" s="4" t="str">
        <f aca="false">TRIM(E2545) &amp; TRIM(C2545) &amp; TRIM(D2545)</f>
        <v>First ReviewCreator Gen Video Tiktok RequirementIT</v>
      </c>
      <c r="K2545" s="4" t="n">
        <f aca="false">IFERROR(I2545*60,"")</f>
        <v>8.916</v>
      </c>
    </row>
    <row r="2546" customFormat="false" ht="15" hidden="false" customHeight="false" outlineLevel="0" collapsed="false">
      <c r="A2546" s="4" t="s">
        <v>15</v>
      </c>
      <c r="B2546" s="4" t="s">
        <v>2019</v>
      </c>
      <c r="C2546" s="4" t="s">
        <v>2030</v>
      </c>
      <c r="D2546" s="4" t="s">
        <v>113</v>
      </c>
      <c r="E2546" s="4" t="s">
        <v>63</v>
      </c>
      <c r="F2546" s="4" t="s">
        <v>63</v>
      </c>
      <c r="G2546" s="4" t="s">
        <v>2062</v>
      </c>
      <c r="H2546" s="4"/>
      <c r="I2546" s="4" t="n">
        <v>0.7643</v>
      </c>
      <c r="J2546" s="4" t="str">
        <f aca="false">TRIM(E2546) &amp; TRIM(C2546) &amp; TRIM(D2546)</f>
        <v>First ReviewCreator Gen Video SafetyNL</v>
      </c>
      <c r="K2546" s="4" t="n">
        <f aca="false">IFERROR(I2546*60,"")</f>
        <v>45.858</v>
      </c>
    </row>
    <row r="2547" customFormat="false" ht="15" hidden="false" customHeight="false" outlineLevel="0" collapsed="false">
      <c r="A2547" s="4" t="s">
        <v>15</v>
      </c>
      <c r="B2547" s="4" t="s">
        <v>2019</v>
      </c>
      <c r="C2547" s="4" t="s">
        <v>2020</v>
      </c>
      <c r="D2547" s="4" t="s">
        <v>104</v>
      </c>
      <c r="E2547" s="4" t="s">
        <v>63</v>
      </c>
      <c r="F2547" s="4" t="s">
        <v>63</v>
      </c>
      <c r="G2547" s="4" t="s">
        <v>2063</v>
      </c>
      <c r="H2547" s="4"/>
      <c r="I2547" s="4" t="n">
        <v>0.2374</v>
      </c>
      <c r="J2547" s="4" t="str">
        <f aca="false">TRIM(E2547) &amp; TRIM(C2547) &amp; TRIM(D2547)</f>
        <v>First ReviewCreator Gen Text EP RequirementIE</v>
      </c>
      <c r="K2547" s="4" t="n">
        <f aca="false">IFERROR(I2547*60,"")</f>
        <v>14.244</v>
      </c>
    </row>
    <row r="2548" customFormat="false" ht="15" hidden="false" customHeight="false" outlineLevel="0" collapsed="false">
      <c r="A2548" s="4" t="s">
        <v>15</v>
      </c>
      <c r="B2548" s="4" t="s">
        <v>2019</v>
      </c>
      <c r="C2548" s="4" t="s">
        <v>2022</v>
      </c>
      <c r="D2548" s="4" t="s">
        <v>221</v>
      </c>
      <c r="E2548" s="4" t="s">
        <v>63</v>
      </c>
      <c r="F2548" s="4" t="s">
        <v>63</v>
      </c>
      <c r="G2548" s="4" t="s">
        <v>2064</v>
      </c>
      <c r="H2548" s="4"/>
      <c r="I2548" s="4" t="n">
        <v>0.035</v>
      </c>
      <c r="J2548" s="4" t="str">
        <f aca="false">TRIM(E2548) &amp; TRIM(C2548) &amp; TRIM(D2548)</f>
        <v>First ReviewCreator Gen Text Tiktok RequirementOM</v>
      </c>
      <c r="K2548" s="4" t="n">
        <f aca="false">IFERROR(I2548*60,"")</f>
        <v>2.1</v>
      </c>
    </row>
    <row r="2549" customFormat="false" ht="15" hidden="false" customHeight="false" outlineLevel="0" collapsed="false">
      <c r="A2549" s="4" t="s">
        <v>15</v>
      </c>
      <c r="B2549" s="4" t="s">
        <v>2019</v>
      </c>
      <c r="C2549" s="4" t="s">
        <v>2040</v>
      </c>
      <c r="D2549" s="4" t="s">
        <v>97</v>
      </c>
      <c r="E2549" s="4" t="s">
        <v>63</v>
      </c>
      <c r="F2549" s="4" t="s">
        <v>63</v>
      </c>
      <c r="G2549" s="4" t="s">
        <v>2065</v>
      </c>
      <c r="H2549" s="4"/>
      <c r="I2549" s="4" t="n">
        <v>0.1489</v>
      </c>
      <c r="J2549" s="4" t="str">
        <f aca="false">TRIM(E2549) &amp; TRIM(C2549) &amp; TRIM(D2549)</f>
        <v>First ReviewCreator Gen Text SafetyBR</v>
      </c>
      <c r="K2549" s="4" t="n">
        <f aca="false">IFERROR(I2549*60,"")</f>
        <v>8.934</v>
      </c>
    </row>
    <row r="2550" customFormat="false" ht="15" hidden="false" customHeight="false" outlineLevel="0" collapsed="false">
      <c r="A2550" s="4" t="s">
        <v>15</v>
      </c>
      <c r="B2550" s="4" t="s">
        <v>2019</v>
      </c>
      <c r="C2550" s="4" t="s">
        <v>2022</v>
      </c>
      <c r="D2550" s="4" t="s">
        <v>157</v>
      </c>
      <c r="E2550" s="4" t="s">
        <v>63</v>
      </c>
      <c r="F2550" s="4" t="s">
        <v>63</v>
      </c>
      <c r="G2550" s="4" t="s">
        <v>2066</v>
      </c>
      <c r="H2550" s="4"/>
      <c r="I2550" s="4" t="n">
        <v>0.1104</v>
      </c>
      <c r="J2550" s="4" t="str">
        <f aca="false">TRIM(E2550) &amp; TRIM(C2550) &amp; TRIM(D2550)</f>
        <v>First ReviewCreator Gen Text Tiktok RequirementSA</v>
      </c>
      <c r="K2550" s="4" t="n">
        <f aca="false">IFERROR(I2550*60,"")</f>
        <v>6.624</v>
      </c>
    </row>
    <row r="2551" customFormat="false" ht="15" hidden="false" customHeight="false" outlineLevel="0" collapsed="false">
      <c r="A2551" s="4" t="s">
        <v>15</v>
      </c>
      <c r="B2551" s="4" t="s">
        <v>2019</v>
      </c>
      <c r="C2551" s="4" t="s">
        <v>2022</v>
      </c>
      <c r="D2551" s="4" t="s">
        <v>255</v>
      </c>
      <c r="E2551" s="4" t="s">
        <v>63</v>
      </c>
      <c r="F2551" s="4" t="s">
        <v>63</v>
      </c>
      <c r="G2551" s="4" t="s">
        <v>2067</v>
      </c>
      <c r="H2551" s="4"/>
      <c r="I2551" s="4" t="n">
        <v>0.0215</v>
      </c>
      <c r="J2551" s="4" t="str">
        <f aca="false">TRIM(E2551) &amp; TRIM(C2551) &amp; TRIM(D2551)</f>
        <v>First ReviewCreator Gen Text Tiktok RequirementNZ</v>
      </c>
      <c r="K2551" s="4" t="n">
        <f aca="false">IFERROR(I2551*60,"")</f>
        <v>1.29</v>
      </c>
    </row>
    <row r="2552" customFormat="false" ht="15" hidden="false" customHeight="false" outlineLevel="0" collapsed="false">
      <c r="A2552" s="4" t="s">
        <v>15</v>
      </c>
      <c r="B2552" s="4" t="s">
        <v>2019</v>
      </c>
      <c r="C2552" s="4" t="s">
        <v>2040</v>
      </c>
      <c r="D2552" s="4" t="s">
        <v>299</v>
      </c>
      <c r="E2552" s="4" t="s">
        <v>63</v>
      </c>
      <c r="F2552" s="4" t="s">
        <v>63</v>
      </c>
      <c r="G2552" s="4" t="s">
        <v>2068</v>
      </c>
      <c r="H2552" s="4"/>
      <c r="I2552" s="4" t="n">
        <v>0.1401</v>
      </c>
      <c r="J2552" s="4" t="str">
        <f aca="false">TRIM(E2552) &amp; TRIM(C2552) &amp; TRIM(D2552)</f>
        <v>First ReviewCreator Gen Text SafetyQA</v>
      </c>
      <c r="K2552" s="4" t="n">
        <f aca="false">IFERROR(I2552*60,"")</f>
        <v>8.406</v>
      </c>
    </row>
    <row r="2553" customFormat="false" ht="15" hidden="false" customHeight="false" outlineLevel="0" collapsed="false">
      <c r="A2553" s="4" t="s">
        <v>15</v>
      </c>
      <c r="B2553" s="4" t="s">
        <v>2019</v>
      </c>
      <c r="C2553" s="4" t="s">
        <v>2040</v>
      </c>
      <c r="D2553" s="4" t="s">
        <v>157</v>
      </c>
      <c r="E2553" s="4" t="s">
        <v>63</v>
      </c>
      <c r="F2553" s="4" t="s">
        <v>63</v>
      </c>
      <c r="G2553" s="4" t="s">
        <v>2069</v>
      </c>
      <c r="H2553" s="4"/>
      <c r="I2553" s="4" t="n">
        <v>0.1586</v>
      </c>
      <c r="J2553" s="4" t="str">
        <f aca="false">TRIM(E2553) &amp; TRIM(C2553) &amp; TRIM(D2553)</f>
        <v>First ReviewCreator Gen Text SafetySA</v>
      </c>
      <c r="K2553" s="4" t="n">
        <f aca="false">IFERROR(I2553*60,"")</f>
        <v>9.516</v>
      </c>
    </row>
    <row r="2554" customFormat="false" ht="15" hidden="false" customHeight="false" outlineLevel="0" collapsed="false">
      <c r="A2554" s="4" t="s">
        <v>15</v>
      </c>
      <c r="B2554" s="4" t="s">
        <v>2019</v>
      </c>
      <c r="C2554" s="4" t="s">
        <v>2024</v>
      </c>
      <c r="D2554" s="4" t="s">
        <v>213</v>
      </c>
      <c r="E2554" s="4" t="s">
        <v>63</v>
      </c>
      <c r="F2554" s="4" t="s">
        <v>63</v>
      </c>
      <c r="G2554" s="4" t="s">
        <v>2070</v>
      </c>
      <c r="H2554" s="4"/>
      <c r="I2554" s="4" t="n">
        <v>0.3441</v>
      </c>
      <c r="J2554" s="4" t="str">
        <f aca="false">TRIM(E2554) &amp; TRIM(C2554) &amp; TRIM(D2554)</f>
        <v>First ReviewCreator Gen Image Tiktok RequirementFR</v>
      </c>
      <c r="K2554" s="4" t="n">
        <f aca="false">IFERROR(I2554*60,"")</f>
        <v>20.646</v>
      </c>
    </row>
    <row r="2555" customFormat="false" ht="15" hidden="false" customHeight="false" outlineLevel="0" collapsed="false">
      <c r="A2555" s="4" t="s">
        <v>15</v>
      </c>
      <c r="B2555" s="4" t="s">
        <v>2019</v>
      </c>
      <c r="C2555" s="4" t="s">
        <v>2022</v>
      </c>
      <c r="D2555" s="4" t="s">
        <v>79</v>
      </c>
      <c r="E2555" s="4" t="s">
        <v>63</v>
      </c>
      <c r="F2555" s="4" t="s">
        <v>63</v>
      </c>
      <c r="G2555" s="4" t="s">
        <v>2071</v>
      </c>
      <c r="H2555" s="4"/>
      <c r="I2555" s="4" t="n">
        <v>0.2033</v>
      </c>
      <c r="J2555" s="4" t="str">
        <f aca="false">TRIM(E2555) &amp; TRIM(C2555) &amp; TRIM(D2555)</f>
        <v>First ReviewCreator Gen Text Tiktok RequirementZA</v>
      </c>
      <c r="K2555" s="4" t="n">
        <f aca="false">IFERROR(I2555*60,"")</f>
        <v>12.198</v>
      </c>
    </row>
    <row r="2556" customFormat="false" ht="15" hidden="false" customHeight="false" outlineLevel="0" collapsed="false">
      <c r="A2556" s="4" t="s">
        <v>15</v>
      </c>
      <c r="B2556" s="4" t="s">
        <v>2019</v>
      </c>
      <c r="C2556" s="4" t="s">
        <v>2040</v>
      </c>
      <c r="D2556" s="4" t="s">
        <v>62</v>
      </c>
      <c r="E2556" s="4" t="s">
        <v>63</v>
      </c>
      <c r="F2556" s="4" t="s">
        <v>63</v>
      </c>
      <c r="G2556" s="4" t="s">
        <v>2072</v>
      </c>
      <c r="H2556" s="4"/>
      <c r="I2556" s="4" t="n">
        <v>0.0327</v>
      </c>
      <c r="J2556" s="4" t="str">
        <f aca="false">TRIM(E2556) &amp; TRIM(C2556) &amp; TRIM(D2556)</f>
        <v>First ReviewCreator Gen Text SafetyCL</v>
      </c>
      <c r="K2556" s="4" t="n">
        <f aca="false">IFERROR(I2556*60,"")</f>
        <v>1.962</v>
      </c>
    </row>
    <row r="2557" customFormat="false" ht="15" hidden="false" customHeight="false" outlineLevel="0" collapsed="false">
      <c r="A2557" s="4" t="s">
        <v>15</v>
      </c>
      <c r="B2557" s="4" t="s">
        <v>2019</v>
      </c>
      <c r="C2557" s="4" t="s">
        <v>2028</v>
      </c>
      <c r="D2557" s="4" t="s">
        <v>97</v>
      </c>
      <c r="E2557" s="4" t="s">
        <v>63</v>
      </c>
      <c r="F2557" s="4" t="s">
        <v>63</v>
      </c>
      <c r="G2557" s="4" t="s">
        <v>2073</v>
      </c>
      <c r="H2557" s="4"/>
      <c r="I2557" s="4" t="n">
        <v>0.2337</v>
      </c>
      <c r="J2557" s="4" t="str">
        <f aca="false">TRIM(E2557) &amp; TRIM(C2557) &amp; TRIM(D2557)</f>
        <v>First ReviewCreator Gen Image SafetyBR</v>
      </c>
      <c r="K2557" s="4" t="n">
        <f aca="false">IFERROR(I2557*60,"")</f>
        <v>14.022</v>
      </c>
    </row>
    <row r="2558" customFormat="false" ht="15" hidden="false" customHeight="false" outlineLevel="0" collapsed="false">
      <c r="A2558" s="4" t="s">
        <v>15</v>
      </c>
      <c r="B2558" s="4" t="s">
        <v>2019</v>
      </c>
      <c r="C2558" s="4" t="s">
        <v>2028</v>
      </c>
      <c r="D2558" s="4" t="s">
        <v>203</v>
      </c>
      <c r="E2558" s="4" t="s">
        <v>63</v>
      </c>
      <c r="F2558" s="4" t="s">
        <v>63</v>
      </c>
      <c r="G2558" s="4" t="s">
        <v>2074</v>
      </c>
      <c r="H2558" s="4"/>
      <c r="I2558" s="4" t="n">
        <v>0.1718</v>
      </c>
      <c r="J2558" s="4" t="str">
        <f aca="false">TRIM(E2558) &amp; TRIM(C2558) &amp; TRIM(D2558)</f>
        <v>First ReviewCreator Gen Image SafetyCA</v>
      </c>
      <c r="K2558" s="4" t="n">
        <f aca="false">IFERROR(I2558*60,"")</f>
        <v>10.308</v>
      </c>
    </row>
    <row r="2559" customFormat="false" ht="15" hidden="false" customHeight="false" outlineLevel="0" collapsed="false">
      <c r="A2559" s="4" t="s">
        <v>15</v>
      </c>
      <c r="B2559" s="4" t="s">
        <v>2019</v>
      </c>
      <c r="C2559" s="4" t="s">
        <v>2026</v>
      </c>
      <c r="D2559" s="4" t="s">
        <v>79</v>
      </c>
      <c r="E2559" s="4" t="s">
        <v>63</v>
      </c>
      <c r="F2559" s="4" t="s">
        <v>63</v>
      </c>
      <c r="G2559" s="4" t="s">
        <v>2075</v>
      </c>
      <c r="H2559" s="4"/>
      <c r="I2559" s="4" t="n">
        <v>0.9586</v>
      </c>
      <c r="J2559" s="4" t="str">
        <f aca="false">TRIM(E2559) &amp; TRIM(C2559) &amp; TRIM(D2559)</f>
        <v>First ReviewCreator Gen Video Tiktok RequirementZA</v>
      </c>
      <c r="K2559" s="4" t="n">
        <f aca="false">IFERROR(I2559*60,"")</f>
        <v>57.516</v>
      </c>
    </row>
    <row r="2560" customFormat="false" ht="15" hidden="false" customHeight="false" outlineLevel="0" collapsed="false">
      <c r="A2560" s="4" t="s">
        <v>15</v>
      </c>
      <c r="B2560" s="4" t="s">
        <v>2019</v>
      </c>
      <c r="C2560" s="4" t="s">
        <v>2026</v>
      </c>
      <c r="D2560" s="4" t="s">
        <v>275</v>
      </c>
      <c r="E2560" s="4" t="s">
        <v>63</v>
      </c>
      <c r="F2560" s="4" t="s">
        <v>63</v>
      </c>
      <c r="G2560" s="4" t="s">
        <v>2076</v>
      </c>
      <c r="H2560" s="4"/>
      <c r="I2560" s="4" t="n">
        <v>0.39</v>
      </c>
      <c r="J2560" s="4" t="str">
        <f aca="false">TRIM(E2560) &amp; TRIM(C2560) &amp; TRIM(D2560)</f>
        <v>First ReviewCreator Gen Video Tiktok RequirementGB</v>
      </c>
      <c r="K2560" s="4" t="n">
        <f aca="false">IFERROR(I2560*60,"")</f>
        <v>23.4</v>
      </c>
    </row>
    <row r="2561" customFormat="false" ht="15" hidden="false" customHeight="false" outlineLevel="0" collapsed="false">
      <c r="A2561" s="4" t="s">
        <v>15</v>
      </c>
      <c r="B2561" s="4" t="s">
        <v>2019</v>
      </c>
      <c r="C2561" s="4" t="s">
        <v>2030</v>
      </c>
      <c r="D2561" s="4" t="s">
        <v>271</v>
      </c>
      <c r="E2561" s="4" t="s">
        <v>63</v>
      </c>
      <c r="F2561" s="4" t="s">
        <v>63</v>
      </c>
      <c r="G2561" s="4" t="s">
        <v>2077</v>
      </c>
      <c r="H2561" s="4"/>
      <c r="I2561" s="4" t="n">
        <v>0.5044</v>
      </c>
      <c r="J2561" s="4" t="str">
        <f aca="false">TRIM(E2561) &amp; TRIM(C2561) &amp; TRIM(D2561)</f>
        <v>First ReviewCreator Gen Video SafetyKW</v>
      </c>
      <c r="K2561" s="4" t="n">
        <f aca="false">IFERROR(I2561*60,"")</f>
        <v>30.264</v>
      </c>
    </row>
    <row r="2562" customFormat="false" ht="15" hidden="false" customHeight="false" outlineLevel="0" collapsed="false">
      <c r="A2562" s="4" t="s">
        <v>15</v>
      </c>
      <c r="B2562" s="4" t="s">
        <v>2019</v>
      </c>
      <c r="C2562" s="4" t="s">
        <v>2024</v>
      </c>
      <c r="D2562" s="4" t="s">
        <v>154</v>
      </c>
      <c r="E2562" s="4" t="s">
        <v>63</v>
      </c>
      <c r="F2562" s="4" t="s">
        <v>63</v>
      </c>
      <c r="G2562" s="4" t="s">
        <v>2078</v>
      </c>
      <c r="H2562" s="4"/>
      <c r="I2562" s="4" t="n">
        <v>0.2764</v>
      </c>
      <c r="J2562" s="4" t="str">
        <f aca="false">TRIM(E2562) &amp; TRIM(C2562) &amp; TRIM(D2562)</f>
        <v>First ReviewCreator Gen Image Tiktok RequirementES</v>
      </c>
      <c r="K2562" s="4" t="n">
        <f aca="false">IFERROR(I2562*60,"")</f>
        <v>16.584</v>
      </c>
    </row>
    <row r="2563" customFormat="false" ht="15" hidden="false" customHeight="false" outlineLevel="0" collapsed="false">
      <c r="A2563" s="4" t="s">
        <v>15</v>
      </c>
      <c r="B2563" s="4" t="s">
        <v>2019</v>
      </c>
      <c r="C2563" s="4" t="s">
        <v>2037</v>
      </c>
      <c r="D2563" s="4" t="s">
        <v>111</v>
      </c>
      <c r="E2563" s="4" t="s">
        <v>63</v>
      </c>
      <c r="F2563" s="4" t="s">
        <v>63</v>
      </c>
      <c r="G2563" s="4" t="s">
        <v>2079</v>
      </c>
      <c r="H2563" s="4"/>
      <c r="I2563" s="4" t="n">
        <v>0.9312</v>
      </c>
      <c r="J2563" s="4" t="str">
        <f aca="false">TRIM(E2563) &amp; TRIM(C2563) &amp; TRIM(D2563)</f>
        <v>First ReviewCreator Gen Video EP RequirementUS</v>
      </c>
      <c r="K2563" s="4" t="n">
        <f aca="false">IFERROR(I2563*60,"")</f>
        <v>55.872</v>
      </c>
    </row>
    <row r="2564" customFormat="false" ht="15" hidden="false" customHeight="false" outlineLevel="0" collapsed="false">
      <c r="A2564" s="4" t="s">
        <v>15</v>
      </c>
      <c r="B2564" s="4" t="s">
        <v>2019</v>
      </c>
      <c r="C2564" s="4" t="s">
        <v>2040</v>
      </c>
      <c r="D2564" s="4" t="s">
        <v>130</v>
      </c>
      <c r="E2564" s="4" t="s">
        <v>63</v>
      </c>
      <c r="F2564" s="4" t="s">
        <v>63</v>
      </c>
      <c r="G2564" s="4" t="s">
        <v>2080</v>
      </c>
      <c r="H2564" s="4"/>
      <c r="I2564" s="4" t="n">
        <v>0.1006</v>
      </c>
      <c r="J2564" s="4" t="str">
        <f aca="false">TRIM(E2564) &amp; TRIM(C2564) &amp; TRIM(D2564)</f>
        <v>First ReviewCreator Gen Text SafetyMA</v>
      </c>
      <c r="K2564" s="4" t="n">
        <f aca="false">IFERROR(I2564*60,"")</f>
        <v>6.036</v>
      </c>
    </row>
    <row r="2565" customFormat="false" ht="15" hidden="false" customHeight="false" outlineLevel="0" collapsed="false">
      <c r="A2565" s="4" t="s">
        <v>15</v>
      </c>
      <c r="B2565" s="4" t="s">
        <v>2019</v>
      </c>
      <c r="C2565" s="4" t="s">
        <v>2024</v>
      </c>
      <c r="D2565" s="4" t="s">
        <v>235</v>
      </c>
      <c r="E2565" s="4" t="s">
        <v>63</v>
      </c>
      <c r="F2565" s="4" t="s">
        <v>63</v>
      </c>
      <c r="G2565" s="4" t="s">
        <v>2081</v>
      </c>
      <c r="H2565" s="4"/>
      <c r="I2565" s="4" t="n">
        <v>0.6035</v>
      </c>
      <c r="J2565" s="4" t="str">
        <f aca="false">TRIM(E2565) &amp; TRIM(C2565) &amp; TRIM(D2565)</f>
        <v>First ReviewCreator Gen Image Tiktok RequirementJP</v>
      </c>
      <c r="K2565" s="4" t="n">
        <f aca="false">IFERROR(I2565*60,"")</f>
        <v>36.21</v>
      </c>
    </row>
    <row r="2566" customFormat="false" ht="15" hidden="false" customHeight="false" outlineLevel="0" collapsed="false">
      <c r="A2566" s="4" t="s">
        <v>15</v>
      </c>
      <c r="B2566" s="4" t="s">
        <v>2019</v>
      </c>
      <c r="C2566" s="4" t="s">
        <v>2028</v>
      </c>
      <c r="D2566" s="4" t="s">
        <v>150</v>
      </c>
      <c r="E2566" s="4" t="s">
        <v>63</v>
      </c>
      <c r="F2566" s="4" t="s">
        <v>63</v>
      </c>
      <c r="G2566" s="4" t="s">
        <v>2082</v>
      </c>
      <c r="H2566" s="4"/>
      <c r="I2566" s="4" t="n">
        <v>0.3579</v>
      </c>
      <c r="J2566" s="4" t="str">
        <f aca="false">TRIM(E2566) &amp; TRIM(C2566) &amp; TRIM(D2566)</f>
        <v>First ReviewCreator Gen Image SafetyDE</v>
      </c>
      <c r="K2566" s="4" t="n">
        <f aca="false">IFERROR(I2566*60,"")</f>
        <v>21.474</v>
      </c>
    </row>
    <row r="2567" customFormat="false" ht="15" hidden="false" customHeight="false" outlineLevel="0" collapsed="false">
      <c r="A2567" s="4" t="s">
        <v>15</v>
      </c>
      <c r="B2567" s="4" t="s">
        <v>2019</v>
      </c>
      <c r="C2567" s="4" t="s">
        <v>2026</v>
      </c>
      <c r="D2567" s="4" t="s">
        <v>97</v>
      </c>
      <c r="E2567" s="4" t="s">
        <v>63</v>
      </c>
      <c r="F2567" s="4" t="s">
        <v>63</v>
      </c>
      <c r="G2567" s="4" t="s">
        <v>2083</v>
      </c>
      <c r="H2567" s="4"/>
      <c r="I2567" s="4" t="n">
        <v>0.7642</v>
      </c>
      <c r="J2567" s="4" t="str">
        <f aca="false">TRIM(E2567) &amp; TRIM(C2567) &amp; TRIM(D2567)</f>
        <v>First ReviewCreator Gen Video Tiktok RequirementBR</v>
      </c>
      <c r="K2567" s="4" t="n">
        <f aca="false">IFERROR(I2567*60,"")</f>
        <v>45.852</v>
      </c>
    </row>
    <row r="2568" customFormat="false" ht="15" hidden="false" customHeight="false" outlineLevel="0" collapsed="false">
      <c r="A2568" s="4" t="s">
        <v>15</v>
      </c>
      <c r="B2568" s="4" t="s">
        <v>2019</v>
      </c>
      <c r="C2568" s="4" t="s">
        <v>2037</v>
      </c>
      <c r="D2568" s="4" t="s">
        <v>235</v>
      </c>
      <c r="E2568" s="4" t="s">
        <v>63</v>
      </c>
      <c r="F2568" s="4" t="s">
        <v>63</v>
      </c>
      <c r="G2568" s="4" t="s">
        <v>2084</v>
      </c>
      <c r="H2568" s="4"/>
      <c r="I2568" s="4" t="n">
        <v>1.3626</v>
      </c>
      <c r="J2568" s="4" t="str">
        <f aca="false">TRIM(E2568) &amp; TRIM(C2568) &amp; TRIM(D2568)</f>
        <v>First ReviewCreator Gen Video EP RequirementJP</v>
      </c>
      <c r="K2568" s="4" t="n">
        <f aca="false">IFERROR(I2568*60,"")</f>
        <v>81.756</v>
      </c>
    </row>
    <row r="2569" customFormat="false" ht="15" hidden="false" customHeight="false" outlineLevel="0" collapsed="false">
      <c r="A2569" s="4" t="s">
        <v>15</v>
      </c>
      <c r="B2569" s="4" t="s">
        <v>2019</v>
      </c>
      <c r="C2569" s="4" t="s">
        <v>2028</v>
      </c>
      <c r="D2569" s="4" t="s">
        <v>251</v>
      </c>
      <c r="E2569" s="4" t="s">
        <v>63</v>
      </c>
      <c r="F2569" s="4" t="s">
        <v>63</v>
      </c>
      <c r="G2569" s="4" t="s">
        <v>2085</v>
      </c>
      <c r="H2569" s="4"/>
      <c r="I2569" s="4" t="n">
        <v>0.3427</v>
      </c>
      <c r="J2569" s="4" t="str">
        <f aca="false">TRIM(E2569) &amp; TRIM(C2569) &amp; TRIM(D2569)</f>
        <v>First ReviewCreator Gen Image SafetyRO</v>
      </c>
      <c r="K2569" s="4" t="n">
        <f aca="false">IFERROR(I2569*60,"")</f>
        <v>20.562</v>
      </c>
    </row>
    <row r="2570" customFormat="false" ht="15" hidden="false" customHeight="false" outlineLevel="0" collapsed="false">
      <c r="A2570" s="4" t="s">
        <v>15</v>
      </c>
      <c r="B2570" s="4" t="s">
        <v>2019</v>
      </c>
      <c r="C2570" s="4" t="s">
        <v>2026</v>
      </c>
      <c r="D2570" s="4" t="s">
        <v>139</v>
      </c>
      <c r="E2570" s="4" t="s">
        <v>63</v>
      </c>
      <c r="F2570" s="4" t="s">
        <v>63</v>
      </c>
      <c r="G2570" s="4" t="s">
        <v>2086</v>
      </c>
      <c r="H2570" s="4"/>
      <c r="I2570" s="4" t="n">
        <v>0.3373</v>
      </c>
      <c r="J2570" s="4" t="str">
        <f aca="false">TRIM(E2570) &amp; TRIM(C2570) &amp; TRIM(D2570)</f>
        <v>First ReviewCreator Gen Video Tiktok RequirementEG</v>
      </c>
      <c r="K2570" s="4" t="n">
        <f aca="false">IFERROR(I2570*60,"")</f>
        <v>20.238</v>
      </c>
    </row>
    <row r="2571" customFormat="false" ht="15" hidden="false" customHeight="false" outlineLevel="0" collapsed="false">
      <c r="A2571" s="4" t="s">
        <v>15</v>
      </c>
      <c r="B2571" s="4" t="s">
        <v>2019</v>
      </c>
      <c r="C2571" s="4" t="s">
        <v>2040</v>
      </c>
      <c r="D2571" s="4" t="s">
        <v>113</v>
      </c>
      <c r="E2571" s="4" t="s">
        <v>63</v>
      </c>
      <c r="F2571" s="4" t="s">
        <v>63</v>
      </c>
      <c r="G2571" s="4" t="s">
        <v>2087</v>
      </c>
      <c r="H2571" s="4"/>
      <c r="I2571" s="4" t="n">
        <v>0.0489</v>
      </c>
      <c r="J2571" s="4" t="str">
        <f aca="false">TRIM(E2571) &amp; TRIM(C2571) &amp; TRIM(D2571)</f>
        <v>First ReviewCreator Gen Text SafetyNL</v>
      </c>
      <c r="K2571" s="4" t="n">
        <f aca="false">IFERROR(I2571*60,"")</f>
        <v>2.934</v>
      </c>
    </row>
    <row r="2572" customFormat="false" ht="15" hidden="false" customHeight="false" outlineLevel="0" collapsed="false">
      <c r="A2572" s="4" t="s">
        <v>15</v>
      </c>
      <c r="B2572" s="4" t="s">
        <v>2019</v>
      </c>
      <c r="C2572" s="4" t="s">
        <v>2022</v>
      </c>
      <c r="D2572" s="4" t="s">
        <v>100</v>
      </c>
      <c r="E2572" s="4" t="s">
        <v>63</v>
      </c>
      <c r="F2572" s="4" t="s">
        <v>63</v>
      </c>
      <c r="G2572" s="4" t="s">
        <v>2088</v>
      </c>
      <c r="H2572" s="4"/>
      <c r="I2572" s="4" t="n">
        <v>0.1958</v>
      </c>
      <c r="J2572" s="4" t="str">
        <f aca="false">TRIM(E2572) &amp; TRIM(C2572) &amp; TRIM(D2572)</f>
        <v>First ReviewCreator Gen Text Tiktok RequirementAU</v>
      </c>
      <c r="K2572" s="4" t="n">
        <f aca="false">IFERROR(I2572*60,"")</f>
        <v>11.748</v>
      </c>
    </row>
    <row r="2573" customFormat="false" ht="15" hidden="false" customHeight="false" outlineLevel="0" collapsed="false">
      <c r="A2573" s="4" t="s">
        <v>15</v>
      </c>
      <c r="B2573" s="4" t="s">
        <v>2019</v>
      </c>
      <c r="C2573" s="4" t="s">
        <v>2026</v>
      </c>
      <c r="D2573" s="4" t="s">
        <v>117</v>
      </c>
      <c r="E2573" s="4" t="s">
        <v>63</v>
      </c>
      <c r="F2573" s="4" t="s">
        <v>63</v>
      </c>
      <c r="G2573" s="4" t="s">
        <v>2089</v>
      </c>
      <c r="H2573" s="4"/>
      <c r="I2573" s="4" t="n">
        <v>0.8812</v>
      </c>
      <c r="J2573" s="4" t="str">
        <f aca="false">TRIM(E2573) &amp; TRIM(C2573) &amp; TRIM(D2573)</f>
        <v>First ReviewCreator Gen Video Tiktok RequirementAR</v>
      </c>
      <c r="K2573" s="4" t="n">
        <f aca="false">IFERROR(I2573*60,"")</f>
        <v>52.872</v>
      </c>
    </row>
    <row r="2574" customFormat="false" ht="15" hidden="false" customHeight="false" outlineLevel="0" collapsed="false">
      <c r="A2574" s="4" t="s">
        <v>15</v>
      </c>
      <c r="B2574" s="4" t="s">
        <v>2019</v>
      </c>
      <c r="C2574" s="4" t="s">
        <v>2024</v>
      </c>
      <c r="D2574" s="4" t="s">
        <v>126</v>
      </c>
      <c r="E2574" s="4" t="s">
        <v>63</v>
      </c>
      <c r="F2574" s="4" t="s">
        <v>63</v>
      </c>
      <c r="G2574" s="4" t="s">
        <v>2090</v>
      </c>
      <c r="H2574" s="4"/>
      <c r="I2574" s="4" t="n">
        <v>0.2161</v>
      </c>
      <c r="J2574" s="4" t="str">
        <f aca="false">TRIM(E2574) &amp; TRIM(C2574) &amp; TRIM(D2574)</f>
        <v>First ReviewCreator Gen Image Tiktok RequirementMX</v>
      </c>
      <c r="K2574" s="4" t="n">
        <f aca="false">IFERROR(I2574*60,"")</f>
        <v>12.966</v>
      </c>
    </row>
    <row r="2575" customFormat="false" ht="15" hidden="false" customHeight="false" outlineLevel="0" collapsed="false">
      <c r="A2575" s="4" t="s">
        <v>15</v>
      </c>
      <c r="B2575" s="4" t="s">
        <v>2019</v>
      </c>
      <c r="C2575" s="4" t="s">
        <v>2020</v>
      </c>
      <c r="D2575" s="4" t="s">
        <v>111</v>
      </c>
      <c r="E2575" s="4" t="s">
        <v>63</v>
      </c>
      <c r="F2575" s="4" t="s">
        <v>63</v>
      </c>
      <c r="G2575" s="4" t="s">
        <v>2091</v>
      </c>
      <c r="H2575" s="4"/>
      <c r="I2575" s="4" t="n">
        <v>0.1884</v>
      </c>
      <c r="J2575" s="4" t="str">
        <f aca="false">TRIM(E2575) &amp; TRIM(C2575) &amp; TRIM(D2575)</f>
        <v>First ReviewCreator Gen Text EP RequirementUS</v>
      </c>
      <c r="K2575" s="4" t="n">
        <f aca="false">IFERROR(I2575*60,"")</f>
        <v>11.304</v>
      </c>
    </row>
    <row r="2576" customFormat="false" ht="15" hidden="false" customHeight="false" outlineLevel="0" collapsed="false">
      <c r="A2576" s="4" t="s">
        <v>15</v>
      </c>
      <c r="B2576" s="4" t="s">
        <v>2019</v>
      </c>
      <c r="C2576" s="4" t="s">
        <v>2026</v>
      </c>
      <c r="D2576" s="4" t="s">
        <v>150</v>
      </c>
      <c r="E2576" s="4" t="s">
        <v>63</v>
      </c>
      <c r="F2576" s="4" t="s">
        <v>63</v>
      </c>
      <c r="G2576" s="4" t="s">
        <v>2092</v>
      </c>
      <c r="H2576" s="4"/>
      <c r="I2576" s="4" t="n">
        <v>0.4933</v>
      </c>
      <c r="J2576" s="4" t="str">
        <f aca="false">TRIM(E2576) &amp; TRIM(C2576) &amp; TRIM(D2576)</f>
        <v>First ReviewCreator Gen Video Tiktok RequirementDE</v>
      </c>
      <c r="K2576" s="4" t="n">
        <f aca="false">IFERROR(I2576*60,"")</f>
        <v>29.598</v>
      </c>
    </row>
    <row r="2577" customFormat="false" ht="15" hidden="false" customHeight="false" outlineLevel="0" collapsed="false">
      <c r="A2577" s="4" t="s">
        <v>15</v>
      </c>
      <c r="B2577" s="4" t="s">
        <v>2019</v>
      </c>
      <c r="C2577" s="4" t="s">
        <v>2028</v>
      </c>
      <c r="D2577" s="4" t="s">
        <v>284</v>
      </c>
      <c r="E2577" s="4" t="s">
        <v>63</v>
      </c>
      <c r="F2577" s="4" t="s">
        <v>63</v>
      </c>
      <c r="G2577" s="4" t="s">
        <v>2093</v>
      </c>
      <c r="H2577" s="4"/>
      <c r="I2577" s="4" t="n">
        <v>0.3802</v>
      </c>
      <c r="J2577" s="4" t="str">
        <f aca="false">TRIM(E2577) &amp; TRIM(C2577) &amp; TRIM(D2577)</f>
        <v>First ReviewCreator Gen Image SafetyTR</v>
      </c>
      <c r="K2577" s="4" t="n">
        <f aca="false">IFERROR(I2577*60,"")</f>
        <v>22.812</v>
      </c>
    </row>
    <row r="2578" customFormat="false" ht="15" hidden="false" customHeight="false" outlineLevel="0" collapsed="false">
      <c r="A2578" s="4" t="s">
        <v>15</v>
      </c>
      <c r="B2578" s="4" t="s">
        <v>2019</v>
      </c>
      <c r="C2578" s="4" t="s">
        <v>2024</v>
      </c>
      <c r="D2578" s="4" t="s">
        <v>121</v>
      </c>
      <c r="E2578" s="4" t="s">
        <v>63</v>
      </c>
      <c r="F2578" s="4" t="s">
        <v>63</v>
      </c>
      <c r="G2578" s="4" t="s">
        <v>2094</v>
      </c>
      <c r="H2578" s="4"/>
      <c r="I2578" s="4" t="n">
        <v>0.4113</v>
      </c>
      <c r="J2578" s="4" t="str">
        <f aca="false">TRIM(E2578) &amp; TRIM(C2578) &amp; TRIM(D2578)</f>
        <v>First ReviewCreator Gen Image Tiktok RequirementKR</v>
      </c>
      <c r="K2578" s="4" t="n">
        <f aca="false">IFERROR(I2578*60,"")</f>
        <v>24.678</v>
      </c>
    </row>
    <row r="2579" customFormat="false" ht="15" hidden="false" customHeight="false" outlineLevel="0" collapsed="false">
      <c r="A2579" s="4" t="s">
        <v>15</v>
      </c>
      <c r="B2579" s="4" t="s">
        <v>2019</v>
      </c>
      <c r="C2579" s="4" t="s">
        <v>2028</v>
      </c>
      <c r="D2579" s="4" t="s">
        <v>235</v>
      </c>
      <c r="E2579" s="4" t="s">
        <v>63</v>
      </c>
      <c r="F2579" s="4" t="s">
        <v>63</v>
      </c>
      <c r="G2579" s="4" t="s">
        <v>2095</v>
      </c>
      <c r="H2579" s="4"/>
      <c r="I2579" s="4" t="n">
        <v>0.4382</v>
      </c>
      <c r="J2579" s="4" t="str">
        <f aca="false">TRIM(E2579) &amp; TRIM(C2579) &amp; TRIM(D2579)</f>
        <v>First ReviewCreator Gen Image SafetyJP</v>
      </c>
      <c r="K2579" s="4" t="n">
        <f aca="false">IFERROR(I2579*60,"")</f>
        <v>26.292</v>
      </c>
    </row>
    <row r="2580" customFormat="false" ht="15" hidden="false" customHeight="false" outlineLevel="0" collapsed="false">
      <c r="A2580" s="4" t="s">
        <v>15</v>
      </c>
      <c r="B2580" s="4" t="s">
        <v>2019</v>
      </c>
      <c r="C2580" s="4" t="s">
        <v>2030</v>
      </c>
      <c r="D2580" s="4" t="s">
        <v>87</v>
      </c>
      <c r="E2580" s="4" t="s">
        <v>63</v>
      </c>
      <c r="F2580" s="4" t="s">
        <v>63</v>
      </c>
      <c r="G2580" s="4" t="s">
        <v>2096</v>
      </c>
      <c r="H2580" s="4"/>
      <c r="I2580" s="4" t="n">
        <v>0.5506</v>
      </c>
      <c r="J2580" s="4" t="str">
        <f aca="false">TRIM(E2580) &amp; TRIM(C2580) &amp; TRIM(D2580)</f>
        <v>First ReviewCreator Gen Video SafetyAE</v>
      </c>
      <c r="K2580" s="4" t="n">
        <f aca="false">IFERROR(I2580*60,"")</f>
        <v>33.036</v>
      </c>
    </row>
    <row r="2581" customFormat="false" ht="15" hidden="false" customHeight="false" outlineLevel="0" collapsed="false">
      <c r="A2581" s="4" t="s">
        <v>15</v>
      </c>
      <c r="B2581" s="4" t="s">
        <v>2019</v>
      </c>
      <c r="C2581" s="4" t="s">
        <v>2040</v>
      </c>
      <c r="D2581" s="4" t="s">
        <v>87</v>
      </c>
      <c r="E2581" s="4" t="s">
        <v>63</v>
      </c>
      <c r="F2581" s="4" t="s">
        <v>63</v>
      </c>
      <c r="G2581" s="4" t="s">
        <v>2097</v>
      </c>
      <c r="H2581" s="4"/>
      <c r="I2581" s="4" t="n">
        <v>0.1187</v>
      </c>
      <c r="J2581" s="4" t="str">
        <f aca="false">TRIM(E2581) &amp; TRIM(C2581) &amp; TRIM(D2581)</f>
        <v>First ReviewCreator Gen Text SafetyAE</v>
      </c>
      <c r="K2581" s="4" t="n">
        <f aca="false">IFERROR(I2581*60,"")</f>
        <v>7.122</v>
      </c>
    </row>
    <row r="2582" customFormat="false" ht="15" hidden="false" customHeight="false" outlineLevel="0" collapsed="false">
      <c r="A2582" s="4" t="s">
        <v>15</v>
      </c>
      <c r="B2582" s="4" t="s">
        <v>2019</v>
      </c>
      <c r="C2582" s="4" t="s">
        <v>2026</v>
      </c>
      <c r="D2582" s="4" t="s">
        <v>306</v>
      </c>
      <c r="E2582" s="4" t="s">
        <v>63</v>
      </c>
      <c r="F2582" s="4" t="s">
        <v>63</v>
      </c>
      <c r="G2582" s="4" t="s">
        <v>2098</v>
      </c>
      <c r="H2582" s="4"/>
      <c r="I2582" s="4" t="n">
        <v>0.204</v>
      </c>
      <c r="J2582" s="4" t="str">
        <f aca="false">TRIM(E2582) &amp; TRIM(C2582) &amp; TRIM(D2582)</f>
        <v>First ReviewCreator Gen Video Tiktok RequirementTH</v>
      </c>
      <c r="K2582" s="4" t="n">
        <f aca="false">IFERROR(I2582*60,"")</f>
        <v>12.24</v>
      </c>
    </row>
    <row r="2583" customFormat="false" ht="15" hidden="false" customHeight="false" outlineLevel="0" collapsed="false">
      <c r="A2583" s="4" t="s">
        <v>15</v>
      </c>
      <c r="B2583" s="4" t="s">
        <v>2019</v>
      </c>
      <c r="C2583" s="4" t="s">
        <v>2040</v>
      </c>
      <c r="D2583" s="4" t="s">
        <v>111</v>
      </c>
      <c r="E2583" s="4" t="s">
        <v>63</v>
      </c>
      <c r="F2583" s="4" t="s">
        <v>63</v>
      </c>
      <c r="G2583" s="4" t="s">
        <v>2099</v>
      </c>
      <c r="H2583" s="4"/>
      <c r="I2583" s="4" t="n">
        <v>0.1889</v>
      </c>
      <c r="J2583" s="4" t="str">
        <f aca="false">TRIM(E2583) &amp; TRIM(C2583) &amp; TRIM(D2583)</f>
        <v>First ReviewCreator Gen Text SafetyUS</v>
      </c>
      <c r="K2583" s="4" t="n">
        <f aca="false">IFERROR(I2583*60,"")</f>
        <v>11.334</v>
      </c>
    </row>
    <row r="2584" customFormat="false" ht="15" hidden="false" customHeight="false" outlineLevel="0" collapsed="false">
      <c r="A2584" s="4" t="s">
        <v>15</v>
      </c>
      <c r="B2584" s="4" t="s">
        <v>2019</v>
      </c>
      <c r="C2584" s="4" t="s">
        <v>2028</v>
      </c>
      <c r="D2584" s="4" t="s">
        <v>306</v>
      </c>
      <c r="E2584" s="4" t="s">
        <v>63</v>
      </c>
      <c r="F2584" s="4" t="s">
        <v>63</v>
      </c>
      <c r="G2584" s="4" t="s">
        <v>2100</v>
      </c>
      <c r="H2584" s="4"/>
      <c r="I2584" s="4" t="n">
        <v>0.2435</v>
      </c>
      <c r="J2584" s="4" t="str">
        <f aca="false">TRIM(E2584) &amp; TRIM(C2584) &amp; TRIM(D2584)</f>
        <v>First ReviewCreator Gen Image SafetyTH</v>
      </c>
      <c r="K2584" s="4" t="n">
        <f aca="false">IFERROR(I2584*60,"")</f>
        <v>14.61</v>
      </c>
    </row>
    <row r="2585" customFormat="false" ht="15" hidden="false" customHeight="false" outlineLevel="0" collapsed="false">
      <c r="A2585" s="4" t="s">
        <v>15</v>
      </c>
      <c r="B2585" s="4" t="s">
        <v>2019</v>
      </c>
      <c r="C2585" s="4" t="s">
        <v>2026</v>
      </c>
      <c r="D2585" s="4" t="s">
        <v>267</v>
      </c>
      <c r="E2585" s="4" t="s">
        <v>63</v>
      </c>
      <c r="F2585" s="4" t="s">
        <v>63</v>
      </c>
      <c r="G2585" s="4" t="s">
        <v>2101</v>
      </c>
      <c r="H2585" s="4"/>
      <c r="I2585" s="4" t="n">
        <v>0.9308</v>
      </c>
      <c r="J2585" s="4" t="str">
        <f aca="false">TRIM(E2585) &amp; TRIM(C2585) &amp; TRIM(D2585)</f>
        <v>First ReviewCreator Gen Video Tiktok RequirementID</v>
      </c>
      <c r="K2585" s="4" t="n">
        <f aca="false">IFERROR(I2585*60,"")</f>
        <v>55.848</v>
      </c>
    </row>
    <row r="2586" customFormat="false" ht="15" hidden="false" customHeight="false" outlineLevel="0" collapsed="false">
      <c r="A2586" s="4" t="s">
        <v>15</v>
      </c>
      <c r="B2586" s="4" t="s">
        <v>2019</v>
      </c>
      <c r="C2586" s="4" t="s">
        <v>2022</v>
      </c>
      <c r="D2586" s="4" t="s">
        <v>299</v>
      </c>
      <c r="E2586" s="4" t="s">
        <v>63</v>
      </c>
      <c r="F2586" s="4" t="s">
        <v>63</v>
      </c>
      <c r="G2586" s="4" t="s">
        <v>2102</v>
      </c>
      <c r="H2586" s="4"/>
      <c r="I2586" s="4" t="n">
        <v>0.1106</v>
      </c>
      <c r="J2586" s="4" t="str">
        <f aca="false">TRIM(E2586) &amp; TRIM(C2586) &amp; TRIM(D2586)</f>
        <v>First ReviewCreator Gen Text Tiktok RequirementQA</v>
      </c>
      <c r="K2586" s="4" t="n">
        <f aca="false">IFERROR(I2586*60,"")</f>
        <v>6.636</v>
      </c>
    </row>
    <row r="2587" customFormat="false" ht="15" hidden="false" customHeight="false" outlineLevel="0" collapsed="false">
      <c r="A2587" s="4" t="s">
        <v>15</v>
      </c>
      <c r="B2587" s="4" t="s">
        <v>2019</v>
      </c>
      <c r="C2587" s="4" t="s">
        <v>2040</v>
      </c>
      <c r="D2587" s="4" t="s">
        <v>203</v>
      </c>
      <c r="E2587" s="4" t="s">
        <v>63</v>
      </c>
      <c r="F2587" s="4" t="s">
        <v>63</v>
      </c>
      <c r="G2587" s="4" t="s">
        <v>2103</v>
      </c>
      <c r="H2587" s="4"/>
      <c r="I2587" s="4" t="n">
        <v>0.134</v>
      </c>
      <c r="J2587" s="4" t="str">
        <f aca="false">TRIM(E2587) &amp; TRIM(C2587) &amp; TRIM(D2587)</f>
        <v>First ReviewCreator Gen Text SafetyCA</v>
      </c>
      <c r="K2587" s="4" t="n">
        <f aca="false">IFERROR(I2587*60,"")</f>
        <v>8.04</v>
      </c>
    </row>
    <row r="2588" customFormat="false" ht="15" hidden="false" customHeight="false" outlineLevel="0" collapsed="false">
      <c r="A2588" s="4" t="s">
        <v>15</v>
      </c>
      <c r="B2588" s="4" t="s">
        <v>2019</v>
      </c>
      <c r="C2588" s="4" t="s">
        <v>2024</v>
      </c>
      <c r="D2588" s="4" t="s">
        <v>79</v>
      </c>
      <c r="E2588" s="4" t="s">
        <v>63</v>
      </c>
      <c r="F2588" s="4" t="s">
        <v>63</v>
      </c>
      <c r="G2588" s="4" t="s">
        <v>2104</v>
      </c>
      <c r="H2588" s="4"/>
      <c r="I2588" s="4" t="n">
        <v>0.4472</v>
      </c>
      <c r="J2588" s="4" t="str">
        <f aca="false">TRIM(E2588) &amp; TRIM(C2588) &amp; TRIM(D2588)</f>
        <v>First ReviewCreator Gen Image Tiktok RequirementZA</v>
      </c>
      <c r="K2588" s="4" t="n">
        <f aca="false">IFERROR(I2588*60,"")</f>
        <v>26.832</v>
      </c>
    </row>
    <row r="2589" customFormat="false" ht="15" hidden="false" customHeight="false" outlineLevel="0" collapsed="false">
      <c r="A2589" s="4" t="s">
        <v>15</v>
      </c>
      <c r="B2589" s="4" t="s">
        <v>2019</v>
      </c>
      <c r="C2589" s="4" t="s">
        <v>2030</v>
      </c>
      <c r="D2589" s="4" t="s">
        <v>154</v>
      </c>
      <c r="E2589" s="4" t="s">
        <v>63</v>
      </c>
      <c r="F2589" s="4" t="s">
        <v>63</v>
      </c>
      <c r="G2589" s="4" t="s">
        <v>2105</v>
      </c>
      <c r="H2589" s="4"/>
      <c r="I2589" s="4" t="n">
        <v>0.1672</v>
      </c>
      <c r="J2589" s="4" t="str">
        <f aca="false">TRIM(E2589) &amp; TRIM(C2589) &amp; TRIM(D2589)</f>
        <v>First ReviewCreator Gen Video SafetyES</v>
      </c>
      <c r="K2589" s="4" t="n">
        <f aca="false">IFERROR(I2589*60,"")</f>
        <v>10.032</v>
      </c>
    </row>
    <row r="2590" customFormat="false" ht="15" hidden="false" customHeight="false" outlineLevel="0" collapsed="false">
      <c r="A2590" s="4" t="s">
        <v>15</v>
      </c>
      <c r="B2590" s="4" t="s">
        <v>2019</v>
      </c>
      <c r="C2590" s="4" t="s">
        <v>2028</v>
      </c>
      <c r="D2590" s="4" t="s">
        <v>121</v>
      </c>
      <c r="E2590" s="4" t="s">
        <v>63</v>
      </c>
      <c r="F2590" s="4" t="s">
        <v>63</v>
      </c>
      <c r="G2590" s="4" t="s">
        <v>2106</v>
      </c>
      <c r="H2590" s="4"/>
      <c r="I2590" s="4" t="n">
        <v>0.7869</v>
      </c>
      <c r="J2590" s="4" t="str">
        <f aca="false">TRIM(E2590) &amp; TRIM(C2590) &amp; TRIM(D2590)</f>
        <v>First ReviewCreator Gen Image SafetyKR</v>
      </c>
      <c r="K2590" s="4" t="n">
        <f aca="false">IFERROR(I2590*60,"")</f>
        <v>47.214</v>
      </c>
    </row>
    <row r="2591" customFormat="false" ht="15" hidden="false" customHeight="false" outlineLevel="0" collapsed="false">
      <c r="A2591" s="4" t="s">
        <v>15</v>
      </c>
      <c r="B2591" s="4" t="s">
        <v>2019</v>
      </c>
      <c r="C2591" s="4" t="s">
        <v>2030</v>
      </c>
      <c r="D2591" s="4" t="s">
        <v>267</v>
      </c>
      <c r="E2591" s="4" t="s">
        <v>63</v>
      </c>
      <c r="F2591" s="4" t="s">
        <v>63</v>
      </c>
      <c r="G2591" s="4" t="s">
        <v>2107</v>
      </c>
      <c r="H2591" s="4"/>
      <c r="I2591" s="4" t="n">
        <v>1.058</v>
      </c>
      <c r="J2591" s="4" t="str">
        <f aca="false">TRIM(E2591) &amp; TRIM(C2591) &amp; TRIM(D2591)</f>
        <v>First ReviewCreator Gen Video SafetyID</v>
      </c>
      <c r="K2591" s="4" t="n">
        <f aca="false">IFERROR(I2591*60,"")</f>
        <v>63.48</v>
      </c>
    </row>
    <row r="2592" customFormat="false" ht="15" hidden="false" customHeight="false" outlineLevel="0" collapsed="false">
      <c r="A2592" s="4" t="s">
        <v>15</v>
      </c>
      <c r="B2592" s="4" t="s">
        <v>2019</v>
      </c>
      <c r="C2592" s="4" t="s">
        <v>2028</v>
      </c>
      <c r="D2592" s="4" t="s">
        <v>128</v>
      </c>
      <c r="E2592" s="4" t="s">
        <v>63</v>
      </c>
      <c r="F2592" s="4" t="s">
        <v>63</v>
      </c>
      <c r="G2592" s="4" t="s">
        <v>2108</v>
      </c>
      <c r="H2592" s="4"/>
      <c r="I2592" s="4" t="n">
        <v>0.5787</v>
      </c>
      <c r="J2592" s="4" t="str">
        <f aca="false">TRIM(E2592) &amp; TRIM(C2592) &amp; TRIM(D2592)</f>
        <v>First ReviewCreator Gen Image SafetyBD</v>
      </c>
      <c r="K2592" s="4" t="n">
        <f aca="false">IFERROR(I2592*60,"")</f>
        <v>34.722</v>
      </c>
    </row>
    <row r="2593" customFormat="false" ht="15" hidden="false" customHeight="false" outlineLevel="0" collapsed="false">
      <c r="A2593" s="4" t="s">
        <v>15</v>
      </c>
      <c r="B2593" s="4" t="s">
        <v>2019</v>
      </c>
      <c r="C2593" s="4" t="s">
        <v>2020</v>
      </c>
      <c r="D2593" s="4" t="s">
        <v>235</v>
      </c>
      <c r="E2593" s="4" t="s">
        <v>63</v>
      </c>
      <c r="F2593" s="4" t="s">
        <v>63</v>
      </c>
      <c r="G2593" s="4" t="s">
        <v>2109</v>
      </c>
      <c r="H2593" s="4"/>
      <c r="I2593" s="4" t="n">
        <v>0.4992</v>
      </c>
      <c r="J2593" s="4" t="str">
        <f aca="false">TRIM(E2593) &amp; TRIM(C2593) &amp; TRIM(D2593)</f>
        <v>First ReviewCreator Gen Text EP RequirementJP</v>
      </c>
      <c r="K2593" s="4" t="n">
        <f aca="false">IFERROR(I2593*60,"")</f>
        <v>29.952</v>
      </c>
    </row>
    <row r="2594" customFormat="false" ht="15" hidden="false" customHeight="false" outlineLevel="0" collapsed="false">
      <c r="A2594" s="4" t="s">
        <v>15</v>
      </c>
      <c r="B2594" s="4" t="s">
        <v>2019</v>
      </c>
      <c r="C2594" s="4" t="s">
        <v>2026</v>
      </c>
      <c r="D2594" s="4" t="s">
        <v>235</v>
      </c>
      <c r="E2594" s="4" t="s">
        <v>63</v>
      </c>
      <c r="F2594" s="4" t="s">
        <v>63</v>
      </c>
      <c r="G2594" s="4" t="s">
        <v>2110</v>
      </c>
      <c r="H2594" s="4"/>
      <c r="I2594" s="4" t="n">
        <v>1.9907</v>
      </c>
      <c r="J2594" s="4" t="str">
        <f aca="false">TRIM(E2594) &amp; TRIM(C2594) &amp; TRIM(D2594)</f>
        <v>First ReviewCreator Gen Video Tiktok RequirementJP</v>
      </c>
      <c r="K2594" s="4" t="n">
        <f aca="false">IFERROR(I2594*60,"")</f>
        <v>119.442</v>
      </c>
    </row>
    <row r="2595" customFormat="false" ht="15" hidden="false" customHeight="false" outlineLevel="0" collapsed="false">
      <c r="A2595" s="4" t="s">
        <v>15</v>
      </c>
      <c r="B2595" s="4" t="s">
        <v>2019</v>
      </c>
      <c r="C2595" s="4" t="s">
        <v>2030</v>
      </c>
      <c r="D2595" s="4" t="s">
        <v>97</v>
      </c>
      <c r="E2595" s="4" t="s">
        <v>63</v>
      </c>
      <c r="F2595" s="4" t="s">
        <v>63</v>
      </c>
      <c r="G2595" s="4" t="s">
        <v>2111</v>
      </c>
      <c r="H2595" s="4"/>
      <c r="I2595" s="4" t="n">
        <v>0.8636</v>
      </c>
      <c r="J2595" s="4" t="str">
        <f aca="false">TRIM(E2595) &amp; TRIM(C2595) &amp; TRIM(D2595)</f>
        <v>First ReviewCreator Gen Video SafetyBR</v>
      </c>
      <c r="K2595" s="4" t="n">
        <f aca="false">IFERROR(I2595*60,"")</f>
        <v>51.816</v>
      </c>
    </row>
    <row r="2596" customFormat="false" ht="15" hidden="false" customHeight="false" outlineLevel="0" collapsed="false">
      <c r="A2596" s="4" t="s">
        <v>15</v>
      </c>
      <c r="B2596" s="4" t="s">
        <v>2019</v>
      </c>
      <c r="C2596" s="4" t="s">
        <v>2030</v>
      </c>
      <c r="D2596" s="4" t="s">
        <v>275</v>
      </c>
      <c r="E2596" s="4" t="s">
        <v>63</v>
      </c>
      <c r="F2596" s="4" t="s">
        <v>63</v>
      </c>
      <c r="G2596" s="4" t="s">
        <v>2112</v>
      </c>
      <c r="H2596" s="4"/>
      <c r="I2596" s="4" t="n">
        <v>0.4562</v>
      </c>
      <c r="J2596" s="4" t="str">
        <f aca="false">TRIM(E2596) &amp; TRIM(C2596) &amp; TRIM(D2596)</f>
        <v>First ReviewCreator Gen Video SafetyGB</v>
      </c>
      <c r="K2596" s="4" t="n">
        <f aca="false">IFERROR(I2596*60,"")</f>
        <v>27.372</v>
      </c>
    </row>
    <row r="2597" customFormat="false" ht="15" hidden="false" customHeight="false" outlineLevel="0" collapsed="false">
      <c r="A2597" s="4" t="s">
        <v>15</v>
      </c>
      <c r="B2597" s="4" t="s">
        <v>2019</v>
      </c>
      <c r="C2597" s="4" t="s">
        <v>2028</v>
      </c>
      <c r="D2597" s="4" t="s">
        <v>267</v>
      </c>
      <c r="E2597" s="4" t="s">
        <v>63</v>
      </c>
      <c r="F2597" s="4" t="s">
        <v>63</v>
      </c>
      <c r="G2597" s="4" t="s">
        <v>2113</v>
      </c>
      <c r="H2597" s="4"/>
      <c r="I2597" s="4" t="n">
        <v>0.4002</v>
      </c>
      <c r="J2597" s="4" t="str">
        <f aca="false">TRIM(E2597) &amp; TRIM(C2597) &amp; TRIM(D2597)</f>
        <v>First ReviewCreator Gen Image SafetyID</v>
      </c>
      <c r="K2597" s="4" t="n">
        <f aca="false">IFERROR(I2597*60,"")</f>
        <v>24.012</v>
      </c>
    </row>
    <row r="2598" customFormat="false" ht="15" hidden="false" customHeight="false" outlineLevel="0" collapsed="false">
      <c r="A2598" s="4" t="s">
        <v>15</v>
      </c>
      <c r="B2598" s="4" t="s">
        <v>2019</v>
      </c>
      <c r="C2598" s="4" t="s">
        <v>2040</v>
      </c>
      <c r="D2598" s="4" t="s">
        <v>100</v>
      </c>
      <c r="E2598" s="4" t="s">
        <v>63</v>
      </c>
      <c r="F2598" s="4" t="s">
        <v>63</v>
      </c>
      <c r="G2598" s="4" t="s">
        <v>2114</v>
      </c>
      <c r="H2598" s="4"/>
      <c r="I2598" s="4" t="n">
        <v>0.2741</v>
      </c>
      <c r="J2598" s="4" t="str">
        <f aca="false">TRIM(E2598) &amp; TRIM(C2598) &amp; TRIM(D2598)</f>
        <v>First ReviewCreator Gen Text SafetyAU</v>
      </c>
      <c r="K2598" s="4" t="n">
        <f aca="false">IFERROR(I2598*60,"")</f>
        <v>16.446</v>
      </c>
    </row>
    <row r="2599" customFormat="false" ht="15" hidden="false" customHeight="false" outlineLevel="0" collapsed="false">
      <c r="A2599" s="4" t="s">
        <v>15</v>
      </c>
      <c r="B2599" s="4" t="s">
        <v>2019</v>
      </c>
      <c r="C2599" s="4" t="s">
        <v>2040</v>
      </c>
      <c r="D2599" s="4" t="s">
        <v>267</v>
      </c>
      <c r="E2599" s="4" t="s">
        <v>63</v>
      </c>
      <c r="F2599" s="4" t="s">
        <v>63</v>
      </c>
      <c r="G2599" s="4" t="s">
        <v>2115</v>
      </c>
      <c r="H2599" s="4"/>
      <c r="I2599" s="4" t="n">
        <v>0.3599</v>
      </c>
      <c r="J2599" s="4" t="str">
        <f aca="false">TRIM(E2599) &amp; TRIM(C2599) &amp; TRIM(D2599)</f>
        <v>First ReviewCreator Gen Text SafetyID</v>
      </c>
      <c r="K2599" s="4" t="n">
        <f aca="false">IFERROR(I2599*60,"")</f>
        <v>21.594</v>
      </c>
    </row>
    <row r="2600" customFormat="false" ht="15" hidden="false" customHeight="false" outlineLevel="0" collapsed="false">
      <c r="A2600" s="4" t="s">
        <v>15</v>
      </c>
      <c r="B2600" s="4" t="s">
        <v>2019</v>
      </c>
      <c r="C2600" s="4" t="s">
        <v>2020</v>
      </c>
      <c r="D2600" s="4" t="s">
        <v>306</v>
      </c>
      <c r="E2600" s="4" t="s">
        <v>63</v>
      </c>
      <c r="F2600" s="4" t="s">
        <v>63</v>
      </c>
      <c r="G2600" s="4" t="s">
        <v>2116</v>
      </c>
      <c r="H2600" s="4"/>
      <c r="I2600" s="4" t="n">
        <v>0.0677</v>
      </c>
      <c r="J2600" s="4" t="str">
        <f aca="false">TRIM(E2600) &amp; TRIM(C2600) &amp; TRIM(D2600)</f>
        <v>First ReviewCreator Gen Text EP RequirementTH</v>
      </c>
      <c r="K2600" s="4" t="n">
        <f aca="false">IFERROR(I2600*60,"")</f>
        <v>4.062</v>
      </c>
    </row>
    <row r="2601" customFormat="false" ht="15" hidden="false" customHeight="false" outlineLevel="0" collapsed="false">
      <c r="A2601" s="4" t="s">
        <v>15</v>
      </c>
      <c r="B2601" s="4" t="s">
        <v>2019</v>
      </c>
      <c r="C2601" s="4" t="s">
        <v>2030</v>
      </c>
      <c r="D2601" s="4" t="s">
        <v>130</v>
      </c>
      <c r="E2601" s="4" t="s">
        <v>63</v>
      </c>
      <c r="F2601" s="4" t="s">
        <v>63</v>
      </c>
      <c r="G2601" s="4" t="s">
        <v>2117</v>
      </c>
      <c r="H2601" s="4"/>
      <c r="I2601" s="4" t="n">
        <v>0.2699</v>
      </c>
      <c r="J2601" s="4" t="str">
        <f aca="false">TRIM(E2601) &amp; TRIM(C2601) &amp; TRIM(D2601)</f>
        <v>First ReviewCreator Gen Video SafetyMA</v>
      </c>
      <c r="K2601" s="4" t="n">
        <f aca="false">IFERROR(I2601*60,"")</f>
        <v>16.194</v>
      </c>
    </row>
    <row r="2602" customFormat="false" ht="15" hidden="false" customHeight="false" outlineLevel="0" collapsed="false">
      <c r="A2602" s="4" t="s">
        <v>15</v>
      </c>
      <c r="B2602" s="4" t="s">
        <v>2019</v>
      </c>
      <c r="C2602" s="4" t="s">
        <v>2030</v>
      </c>
      <c r="D2602" s="4" t="s">
        <v>284</v>
      </c>
      <c r="E2602" s="4" t="s">
        <v>63</v>
      </c>
      <c r="F2602" s="4" t="s">
        <v>63</v>
      </c>
      <c r="G2602" s="4" t="s">
        <v>2118</v>
      </c>
      <c r="H2602" s="4"/>
      <c r="I2602" s="4" t="n">
        <v>0.4198</v>
      </c>
      <c r="J2602" s="4" t="str">
        <f aca="false">TRIM(E2602) &amp; TRIM(C2602) &amp; TRIM(D2602)</f>
        <v>First ReviewCreator Gen Video SafetyTR</v>
      </c>
      <c r="K2602" s="4" t="n">
        <f aca="false">IFERROR(I2602*60,"")</f>
        <v>25.188</v>
      </c>
    </row>
    <row r="2603" customFormat="false" ht="15" hidden="false" customHeight="false" outlineLevel="0" collapsed="false">
      <c r="A2603" s="4" t="s">
        <v>15</v>
      </c>
      <c r="B2603" s="4" t="s">
        <v>2019</v>
      </c>
      <c r="C2603" s="4" t="s">
        <v>2028</v>
      </c>
      <c r="D2603" s="4" t="s">
        <v>79</v>
      </c>
      <c r="E2603" s="4" t="s">
        <v>63</v>
      </c>
      <c r="F2603" s="4" t="s">
        <v>63</v>
      </c>
      <c r="G2603" s="4" t="s">
        <v>2119</v>
      </c>
      <c r="H2603" s="4"/>
      <c r="I2603" s="4" t="n">
        <v>0.2631</v>
      </c>
      <c r="J2603" s="4" t="str">
        <f aca="false">TRIM(E2603) &amp; TRIM(C2603) &amp; TRIM(D2603)</f>
        <v>First ReviewCreator Gen Image SafetyZA</v>
      </c>
      <c r="K2603" s="4" t="n">
        <f aca="false">IFERROR(I2603*60,"")</f>
        <v>15.786</v>
      </c>
    </row>
    <row r="2604" customFormat="false" ht="15" hidden="false" customHeight="false" outlineLevel="0" collapsed="false">
      <c r="A2604" s="4" t="s">
        <v>15</v>
      </c>
      <c r="B2604" s="4" t="s">
        <v>2019</v>
      </c>
      <c r="C2604" s="4" t="s">
        <v>2024</v>
      </c>
      <c r="D2604" s="4" t="s">
        <v>306</v>
      </c>
      <c r="E2604" s="4" t="s">
        <v>63</v>
      </c>
      <c r="F2604" s="4" t="s">
        <v>63</v>
      </c>
      <c r="G2604" s="4" t="s">
        <v>2120</v>
      </c>
      <c r="H2604" s="4"/>
      <c r="I2604" s="4" t="n">
        <v>0.5298</v>
      </c>
      <c r="J2604" s="4" t="str">
        <f aca="false">TRIM(E2604) &amp; TRIM(C2604) &amp; TRIM(D2604)</f>
        <v>First ReviewCreator Gen Image Tiktok RequirementTH</v>
      </c>
      <c r="K2604" s="4" t="n">
        <f aca="false">IFERROR(I2604*60,"")</f>
        <v>31.788</v>
      </c>
    </row>
    <row r="2605" customFormat="false" ht="15" hidden="false" customHeight="false" outlineLevel="0" collapsed="false">
      <c r="A2605" s="4" t="s">
        <v>15</v>
      </c>
      <c r="B2605" s="4" t="s">
        <v>2019</v>
      </c>
      <c r="C2605" s="4" t="s">
        <v>2028</v>
      </c>
      <c r="D2605" s="4" t="s">
        <v>70</v>
      </c>
      <c r="E2605" s="4" t="s">
        <v>63</v>
      </c>
      <c r="F2605" s="4" t="s">
        <v>63</v>
      </c>
      <c r="G2605" s="4" t="s">
        <v>2121</v>
      </c>
      <c r="H2605" s="4"/>
      <c r="I2605" s="4" t="n">
        <v>0.1264</v>
      </c>
      <c r="J2605" s="4" t="str">
        <f aca="false">TRIM(E2605) &amp; TRIM(C2605) &amp; TRIM(D2605)</f>
        <v>First ReviewCreator Gen Image SafetyBE</v>
      </c>
      <c r="K2605" s="4" t="n">
        <f aca="false">IFERROR(I2605*60,"")</f>
        <v>7.584</v>
      </c>
    </row>
    <row r="2606" customFormat="false" ht="15" hidden="false" customHeight="false" outlineLevel="0" collapsed="false">
      <c r="A2606" s="4" t="s">
        <v>15</v>
      </c>
      <c r="B2606" s="4" t="s">
        <v>2019</v>
      </c>
      <c r="C2606" s="4" t="s">
        <v>2030</v>
      </c>
      <c r="D2606" s="4" t="s">
        <v>299</v>
      </c>
      <c r="E2606" s="4" t="s">
        <v>63</v>
      </c>
      <c r="F2606" s="4" t="s">
        <v>63</v>
      </c>
      <c r="G2606" s="4" t="s">
        <v>2122</v>
      </c>
      <c r="H2606" s="4"/>
      <c r="I2606" s="4" t="n">
        <v>0.6548</v>
      </c>
      <c r="J2606" s="4" t="str">
        <f aca="false">TRIM(E2606) &amp; TRIM(C2606) &amp; TRIM(D2606)</f>
        <v>First ReviewCreator Gen Video SafetyQA</v>
      </c>
      <c r="K2606" s="4" t="n">
        <f aca="false">IFERROR(I2606*60,"")</f>
        <v>39.288</v>
      </c>
    </row>
    <row r="2607" customFormat="false" ht="15" hidden="false" customHeight="false" outlineLevel="0" collapsed="false">
      <c r="A2607" s="4" t="s">
        <v>15</v>
      </c>
      <c r="B2607" s="4" t="s">
        <v>2019</v>
      </c>
      <c r="C2607" s="4" t="s">
        <v>2030</v>
      </c>
      <c r="D2607" s="4" t="s">
        <v>111</v>
      </c>
      <c r="E2607" s="4" t="s">
        <v>63</v>
      </c>
      <c r="F2607" s="4" t="s">
        <v>63</v>
      </c>
      <c r="G2607" s="4" t="s">
        <v>2123</v>
      </c>
      <c r="H2607" s="4"/>
      <c r="I2607" s="4" t="n">
        <v>0.7496</v>
      </c>
      <c r="J2607" s="4" t="str">
        <f aca="false">TRIM(E2607) &amp; TRIM(C2607) &amp; TRIM(D2607)</f>
        <v>First ReviewCreator Gen Video SafetyUS</v>
      </c>
      <c r="K2607" s="4" t="n">
        <f aca="false">IFERROR(I2607*60,"")</f>
        <v>44.976</v>
      </c>
    </row>
    <row r="2608" customFormat="false" ht="15" hidden="false" customHeight="false" outlineLevel="0" collapsed="false">
      <c r="A2608" s="4" t="s">
        <v>15</v>
      </c>
      <c r="B2608" s="4" t="s">
        <v>2019</v>
      </c>
      <c r="C2608" s="4" t="s">
        <v>2024</v>
      </c>
      <c r="D2608" s="4" t="s">
        <v>128</v>
      </c>
      <c r="E2608" s="4" t="s">
        <v>63</v>
      </c>
      <c r="F2608" s="4" t="s">
        <v>63</v>
      </c>
      <c r="G2608" s="4" t="s">
        <v>2124</v>
      </c>
      <c r="H2608" s="4"/>
      <c r="I2608" s="4" t="n">
        <v>0.9194</v>
      </c>
      <c r="J2608" s="4" t="str">
        <f aca="false">TRIM(E2608) &amp; TRIM(C2608) &amp; TRIM(D2608)</f>
        <v>First ReviewCreator Gen Image Tiktok RequirementBD</v>
      </c>
      <c r="K2608" s="4" t="n">
        <f aca="false">IFERROR(I2608*60,"")</f>
        <v>55.164</v>
      </c>
    </row>
    <row r="2609" customFormat="false" ht="15" hidden="false" customHeight="false" outlineLevel="0" collapsed="false">
      <c r="A2609" s="4" t="s">
        <v>15</v>
      </c>
      <c r="B2609" s="4" t="s">
        <v>2019</v>
      </c>
      <c r="C2609" s="4" t="s">
        <v>2026</v>
      </c>
      <c r="D2609" s="4" t="s">
        <v>95</v>
      </c>
      <c r="E2609" s="4" t="s">
        <v>63</v>
      </c>
      <c r="F2609" s="4" t="s">
        <v>63</v>
      </c>
      <c r="G2609" s="4" t="s">
        <v>2125</v>
      </c>
      <c r="H2609" s="4"/>
      <c r="I2609" s="4" t="n">
        <v>1.3462</v>
      </c>
      <c r="J2609" s="4" t="str">
        <f aca="false">TRIM(E2609) &amp; TRIM(C2609) &amp; TRIM(D2609)</f>
        <v>First ReviewCreator Gen Video Tiktok RequirementVN</v>
      </c>
      <c r="K2609" s="4" t="n">
        <f aca="false">IFERROR(I2609*60,"")</f>
        <v>80.772</v>
      </c>
    </row>
    <row r="2610" customFormat="false" ht="15" hidden="false" customHeight="false" outlineLevel="0" collapsed="false">
      <c r="A2610" s="4" t="s">
        <v>15</v>
      </c>
      <c r="B2610" s="4" t="s">
        <v>2019</v>
      </c>
      <c r="C2610" s="4" t="s">
        <v>2040</v>
      </c>
      <c r="D2610" s="4" t="s">
        <v>284</v>
      </c>
      <c r="E2610" s="4" t="s">
        <v>63</v>
      </c>
      <c r="F2610" s="4" t="s">
        <v>63</v>
      </c>
      <c r="G2610" s="4" t="s">
        <v>2126</v>
      </c>
      <c r="H2610" s="4"/>
      <c r="I2610" s="4" t="n">
        <v>0.1179</v>
      </c>
      <c r="J2610" s="4" t="str">
        <f aca="false">TRIM(E2610) &amp; TRIM(C2610) &amp; TRIM(D2610)</f>
        <v>First ReviewCreator Gen Text SafetyTR</v>
      </c>
      <c r="K2610" s="4" t="n">
        <f aca="false">IFERROR(I2610*60,"")</f>
        <v>7.074</v>
      </c>
    </row>
    <row r="2611" customFormat="false" ht="15" hidden="false" customHeight="false" outlineLevel="0" collapsed="false">
      <c r="A2611" s="4" t="s">
        <v>15</v>
      </c>
      <c r="B2611" s="4" t="s">
        <v>2019</v>
      </c>
      <c r="C2611" s="4" t="s">
        <v>2028</v>
      </c>
      <c r="D2611" s="4" t="s">
        <v>111</v>
      </c>
      <c r="E2611" s="4" t="s">
        <v>63</v>
      </c>
      <c r="F2611" s="4" t="s">
        <v>63</v>
      </c>
      <c r="G2611" s="4" t="s">
        <v>2127</v>
      </c>
      <c r="H2611" s="4"/>
      <c r="I2611" s="4" t="n">
        <v>0.358</v>
      </c>
      <c r="J2611" s="4" t="str">
        <f aca="false">TRIM(E2611) &amp; TRIM(C2611) &amp; TRIM(D2611)</f>
        <v>First ReviewCreator Gen Image SafetyUS</v>
      </c>
      <c r="K2611" s="4" t="n">
        <f aca="false">IFERROR(I2611*60,"")</f>
        <v>21.48</v>
      </c>
    </row>
    <row r="2612" customFormat="false" ht="15" hidden="false" customHeight="false" outlineLevel="0" collapsed="false">
      <c r="A2612" s="4" t="s">
        <v>15</v>
      </c>
      <c r="B2612" s="4" t="s">
        <v>2019</v>
      </c>
      <c r="C2612" s="4" t="s">
        <v>2028</v>
      </c>
      <c r="D2612" s="4" t="s">
        <v>299</v>
      </c>
      <c r="E2612" s="4" t="s">
        <v>63</v>
      </c>
      <c r="F2612" s="4" t="s">
        <v>63</v>
      </c>
      <c r="G2612" s="4" t="s">
        <v>2128</v>
      </c>
      <c r="H2612" s="4"/>
      <c r="I2612" s="4" t="n">
        <v>0.2582</v>
      </c>
      <c r="J2612" s="4" t="str">
        <f aca="false">TRIM(E2612) &amp; TRIM(C2612) &amp; TRIM(D2612)</f>
        <v>First ReviewCreator Gen Image SafetyQA</v>
      </c>
      <c r="K2612" s="4" t="n">
        <f aca="false">IFERROR(I2612*60,"")</f>
        <v>15.492</v>
      </c>
    </row>
    <row r="2613" customFormat="false" ht="15" hidden="false" customHeight="false" outlineLevel="0" collapsed="false">
      <c r="A2613" s="4" t="s">
        <v>15</v>
      </c>
      <c r="B2613" s="4" t="s">
        <v>2019</v>
      </c>
      <c r="C2613" s="4" t="s">
        <v>2040</v>
      </c>
      <c r="D2613" s="4" t="s">
        <v>128</v>
      </c>
      <c r="E2613" s="4" t="s">
        <v>63</v>
      </c>
      <c r="F2613" s="4" t="s">
        <v>63</v>
      </c>
      <c r="G2613" s="4" t="s">
        <v>2129</v>
      </c>
      <c r="H2613" s="4"/>
      <c r="I2613" s="4" t="n">
        <v>0.1388</v>
      </c>
      <c r="J2613" s="4" t="str">
        <f aca="false">TRIM(E2613) &amp; TRIM(C2613) &amp; TRIM(D2613)</f>
        <v>First ReviewCreator Gen Text SafetyBD</v>
      </c>
      <c r="K2613" s="4" t="n">
        <f aca="false">IFERROR(I2613*60,"")</f>
        <v>8.328</v>
      </c>
    </row>
    <row r="2614" customFormat="false" ht="15" hidden="false" customHeight="false" outlineLevel="0" collapsed="false">
      <c r="A2614" s="4" t="s">
        <v>15</v>
      </c>
      <c r="B2614" s="4" t="s">
        <v>2019</v>
      </c>
      <c r="C2614" s="4" t="s">
        <v>2037</v>
      </c>
      <c r="D2614" s="4" t="s">
        <v>267</v>
      </c>
      <c r="E2614" s="4" t="s">
        <v>63</v>
      </c>
      <c r="F2614" s="4" t="s">
        <v>63</v>
      </c>
      <c r="G2614" s="4" t="s">
        <v>2130</v>
      </c>
      <c r="H2614" s="4"/>
      <c r="I2614" s="4" t="n">
        <v>1.3707</v>
      </c>
      <c r="J2614" s="4" t="str">
        <f aca="false">TRIM(E2614) &amp; TRIM(C2614) &amp; TRIM(D2614)</f>
        <v>First ReviewCreator Gen Video EP RequirementID</v>
      </c>
      <c r="K2614" s="4" t="n">
        <f aca="false">IFERROR(I2614*60,"")</f>
        <v>82.242</v>
      </c>
    </row>
    <row r="2615" customFormat="false" ht="15" hidden="false" customHeight="false" outlineLevel="0" collapsed="false">
      <c r="A2615" s="4" t="s">
        <v>15</v>
      </c>
      <c r="B2615" s="4" t="s">
        <v>2019</v>
      </c>
      <c r="C2615" s="4" t="s">
        <v>2030</v>
      </c>
      <c r="D2615" s="4" t="s">
        <v>62</v>
      </c>
      <c r="E2615" s="4" t="s">
        <v>63</v>
      </c>
      <c r="F2615" s="4" t="s">
        <v>63</v>
      </c>
      <c r="G2615" s="4" t="s">
        <v>2131</v>
      </c>
      <c r="H2615" s="4"/>
      <c r="I2615" s="4" t="n">
        <v>0.6732</v>
      </c>
      <c r="J2615" s="4" t="str">
        <f aca="false">TRIM(E2615) &amp; TRIM(C2615) &amp; TRIM(D2615)</f>
        <v>First ReviewCreator Gen Video SafetyCL</v>
      </c>
      <c r="K2615" s="4" t="n">
        <f aca="false">IFERROR(I2615*60,"")</f>
        <v>40.392</v>
      </c>
    </row>
    <row r="2616" customFormat="false" ht="15" hidden="false" customHeight="false" outlineLevel="0" collapsed="false">
      <c r="A2616" s="4" t="s">
        <v>15</v>
      </c>
      <c r="B2616" s="4" t="s">
        <v>2019</v>
      </c>
      <c r="C2616" s="4" t="s">
        <v>2040</v>
      </c>
      <c r="D2616" s="4" t="s">
        <v>271</v>
      </c>
      <c r="E2616" s="4" t="s">
        <v>63</v>
      </c>
      <c r="F2616" s="4" t="s">
        <v>63</v>
      </c>
      <c r="G2616" s="4" t="s">
        <v>2132</v>
      </c>
      <c r="H2616" s="4"/>
      <c r="I2616" s="4" t="n">
        <v>0.1342</v>
      </c>
      <c r="J2616" s="4" t="str">
        <f aca="false">TRIM(E2616) &amp; TRIM(C2616) &amp; TRIM(D2616)</f>
        <v>First ReviewCreator Gen Text SafetyKW</v>
      </c>
      <c r="K2616" s="4" t="n">
        <f aca="false">IFERROR(I2616*60,"")</f>
        <v>8.052</v>
      </c>
    </row>
    <row r="2617" customFormat="false" ht="15" hidden="false" customHeight="false" outlineLevel="0" collapsed="false">
      <c r="A2617" s="4" t="s">
        <v>15</v>
      </c>
      <c r="B2617" s="4" t="s">
        <v>2019</v>
      </c>
      <c r="C2617" s="4" t="s">
        <v>2024</v>
      </c>
      <c r="D2617" s="4" t="s">
        <v>157</v>
      </c>
      <c r="E2617" s="4" t="s">
        <v>63</v>
      </c>
      <c r="F2617" s="4" t="s">
        <v>63</v>
      </c>
      <c r="G2617" s="4" t="s">
        <v>2133</v>
      </c>
      <c r="H2617" s="4"/>
      <c r="I2617" s="4" t="n">
        <v>0.2975</v>
      </c>
      <c r="J2617" s="4" t="str">
        <f aca="false">TRIM(E2617) &amp; TRIM(C2617) &amp; TRIM(D2617)</f>
        <v>First ReviewCreator Gen Image Tiktok RequirementSA</v>
      </c>
      <c r="K2617" s="4" t="n">
        <f aca="false">IFERROR(I2617*60,"")</f>
        <v>17.85</v>
      </c>
    </row>
    <row r="2618" customFormat="false" ht="15" hidden="false" customHeight="false" outlineLevel="0" collapsed="false">
      <c r="A2618" s="4" t="s">
        <v>15</v>
      </c>
      <c r="B2618" s="4" t="s">
        <v>2019</v>
      </c>
      <c r="C2618" s="4" t="s">
        <v>2034</v>
      </c>
      <c r="D2618" s="4" t="s">
        <v>111</v>
      </c>
      <c r="E2618" s="4" t="s">
        <v>63</v>
      </c>
      <c r="F2618" s="4" t="s">
        <v>63</v>
      </c>
      <c r="G2618" s="4" t="s">
        <v>2134</v>
      </c>
      <c r="H2618" s="4"/>
      <c r="I2618" s="4" t="n">
        <v>0.504</v>
      </c>
      <c r="J2618" s="4" t="str">
        <f aca="false">TRIM(E2618) &amp; TRIM(C2618) &amp; TRIM(D2618)</f>
        <v>First ReviewCreator Gen Image EP RequirementUS</v>
      </c>
      <c r="K2618" s="4" t="n">
        <f aca="false">IFERROR(I2618*60,"")</f>
        <v>30.24</v>
      </c>
    </row>
    <row r="2619" customFormat="false" ht="15" hidden="false" customHeight="false" outlineLevel="0" collapsed="false">
      <c r="A2619" s="4" t="s">
        <v>15</v>
      </c>
      <c r="B2619" s="4" t="s">
        <v>2019</v>
      </c>
      <c r="C2619" s="4" t="s">
        <v>2028</v>
      </c>
      <c r="D2619" s="4" t="s">
        <v>95</v>
      </c>
      <c r="E2619" s="4" t="s">
        <v>63</v>
      </c>
      <c r="F2619" s="4" t="s">
        <v>63</v>
      </c>
      <c r="G2619" s="4" t="s">
        <v>2135</v>
      </c>
      <c r="H2619" s="4"/>
      <c r="I2619" s="4" t="n">
        <v>0.3562</v>
      </c>
      <c r="J2619" s="4" t="str">
        <f aca="false">TRIM(E2619) &amp; TRIM(C2619) &amp; TRIM(D2619)</f>
        <v>First ReviewCreator Gen Image SafetyVN</v>
      </c>
      <c r="K2619" s="4" t="n">
        <f aca="false">IFERROR(I2619*60,"")</f>
        <v>21.372</v>
      </c>
    </row>
    <row r="2620" customFormat="false" ht="15" hidden="false" customHeight="false" outlineLevel="0" collapsed="false">
      <c r="A2620" s="4" t="s">
        <v>15</v>
      </c>
      <c r="B2620" s="4" t="s">
        <v>2019</v>
      </c>
      <c r="C2620" s="4" t="s">
        <v>2034</v>
      </c>
      <c r="D2620" s="4" t="s">
        <v>235</v>
      </c>
      <c r="E2620" s="4" t="s">
        <v>63</v>
      </c>
      <c r="F2620" s="4" t="s">
        <v>63</v>
      </c>
      <c r="G2620" s="4" t="s">
        <v>2136</v>
      </c>
      <c r="H2620" s="4"/>
      <c r="I2620" s="4" t="n">
        <v>0.6201</v>
      </c>
      <c r="J2620" s="4" t="str">
        <f aca="false">TRIM(E2620) &amp; TRIM(C2620) &amp; TRIM(D2620)</f>
        <v>First ReviewCreator Gen Image EP RequirementJP</v>
      </c>
      <c r="K2620" s="4" t="n">
        <f aca="false">IFERROR(I2620*60,"")</f>
        <v>37.206</v>
      </c>
    </row>
    <row r="2621" customFormat="false" ht="15" hidden="false" customHeight="false" outlineLevel="0" collapsed="false">
      <c r="A2621" s="4" t="s">
        <v>15</v>
      </c>
      <c r="B2621" s="4" t="s">
        <v>2019</v>
      </c>
      <c r="C2621" s="4" t="s">
        <v>2026</v>
      </c>
      <c r="D2621" s="4" t="s">
        <v>213</v>
      </c>
      <c r="E2621" s="4" t="s">
        <v>63</v>
      </c>
      <c r="F2621" s="4" t="s">
        <v>63</v>
      </c>
      <c r="G2621" s="4" t="s">
        <v>2137</v>
      </c>
      <c r="H2621" s="4"/>
      <c r="I2621" s="4" t="n">
        <v>0.1369</v>
      </c>
      <c r="J2621" s="4" t="str">
        <f aca="false">TRIM(E2621) &amp; TRIM(C2621) &amp; TRIM(D2621)</f>
        <v>First ReviewCreator Gen Video Tiktok RequirementFR</v>
      </c>
      <c r="K2621" s="4" t="n">
        <f aca="false">IFERROR(I2621*60,"")</f>
        <v>8.214</v>
      </c>
    </row>
    <row r="2622" customFormat="false" ht="15" hidden="false" customHeight="false" outlineLevel="0" collapsed="false">
      <c r="A2622" s="4" t="s">
        <v>15</v>
      </c>
      <c r="B2622" s="4" t="s">
        <v>2019</v>
      </c>
      <c r="C2622" s="4" t="s">
        <v>2030</v>
      </c>
      <c r="D2622" s="4" t="s">
        <v>95</v>
      </c>
      <c r="E2622" s="4" t="s">
        <v>63</v>
      </c>
      <c r="F2622" s="4" t="s">
        <v>63</v>
      </c>
      <c r="G2622" s="4" t="s">
        <v>2138</v>
      </c>
      <c r="H2622" s="4"/>
      <c r="I2622" s="4" t="n">
        <v>1.2735</v>
      </c>
      <c r="J2622" s="4" t="str">
        <f aca="false">TRIM(E2622) &amp; TRIM(C2622) &amp; TRIM(D2622)</f>
        <v>First ReviewCreator Gen Video SafetyVN</v>
      </c>
      <c r="K2622" s="4" t="n">
        <f aca="false">IFERROR(I2622*60,"")</f>
        <v>76.41</v>
      </c>
    </row>
    <row r="2623" customFormat="false" ht="15" hidden="false" customHeight="false" outlineLevel="0" collapsed="false">
      <c r="A2623" s="4" t="s">
        <v>15</v>
      </c>
      <c r="B2623" s="4" t="s">
        <v>2019</v>
      </c>
      <c r="C2623" s="4" t="s">
        <v>2020</v>
      </c>
      <c r="D2623" s="4" t="s">
        <v>275</v>
      </c>
      <c r="E2623" s="4" t="s">
        <v>63</v>
      </c>
      <c r="F2623" s="4" t="s">
        <v>63</v>
      </c>
      <c r="G2623" s="4" t="s">
        <v>2139</v>
      </c>
      <c r="H2623" s="4"/>
      <c r="I2623" s="4" t="n">
        <v>0.0358</v>
      </c>
      <c r="J2623" s="4" t="str">
        <f aca="false">TRIM(E2623) &amp; TRIM(C2623) &amp; TRIM(D2623)</f>
        <v>First ReviewCreator Gen Text EP RequirementGB</v>
      </c>
      <c r="K2623" s="4" t="n">
        <f aca="false">IFERROR(I2623*60,"")</f>
        <v>2.148</v>
      </c>
    </row>
    <row r="2624" customFormat="false" ht="15" hidden="false" customHeight="false" outlineLevel="0" collapsed="false">
      <c r="A2624" s="4" t="s">
        <v>15</v>
      </c>
      <c r="B2624" s="4" t="s">
        <v>2019</v>
      </c>
      <c r="C2624" s="4" t="s">
        <v>2024</v>
      </c>
      <c r="D2624" s="4" t="s">
        <v>275</v>
      </c>
      <c r="E2624" s="4" t="s">
        <v>63</v>
      </c>
      <c r="F2624" s="4" t="s">
        <v>63</v>
      </c>
      <c r="G2624" s="4" t="s">
        <v>2140</v>
      </c>
      <c r="H2624" s="4"/>
      <c r="I2624" s="4" t="n">
        <v>0.0263</v>
      </c>
      <c r="J2624" s="4" t="str">
        <f aca="false">TRIM(E2624) &amp; TRIM(C2624) &amp; TRIM(D2624)</f>
        <v>First ReviewCreator Gen Image Tiktok RequirementGB</v>
      </c>
      <c r="K2624" s="4" t="n">
        <f aca="false">IFERROR(I2624*60,"")</f>
        <v>1.578</v>
      </c>
    </row>
    <row r="2625" customFormat="false" ht="15" hidden="false" customHeight="false" outlineLevel="0" collapsed="false">
      <c r="A2625" s="4" t="s">
        <v>15</v>
      </c>
      <c r="B2625" s="4" t="s">
        <v>2019</v>
      </c>
      <c r="C2625" s="4" t="s">
        <v>2040</v>
      </c>
      <c r="D2625" s="4" t="s">
        <v>126</v>
      </c>
      <c r="E2625" s="4" t="s">
        <v>63</v>
      </c>
      <c r="F2625" s="4" t="s">
        <v>63</v>
      </c>
      <c r="G2625" s="4" t="s">
        <v>2141</v>
      </c>
      <c r="H2625" s="4"/>
      <c r="I2625" s="4" t="n">
        <v>0.0341</v>
      </c>
      <c r="J2625" s="4" t="str">
        <f aca="false">TRIM(E2625) &amp; TRIM(C2625) &amp; TRIM(D2625)</f>
        <v>First ReviewCreator Gen Text SafetyMX</v>
      </c>
      <c r="K2625" s="4" t="n">
        <f aca="false">IFERROR(I2625*60,"")</f>
        <v>2.046</v>
      </c>
    </row>
    <row r="2626" customFormat="false" ht="15" hidden="false" customHeight="false" outlineLevel="0" collapsed="false">
      <c r="A2626" s="4" t="s">
        <v>15</v>
      </c>
      <c r="B2626" s="4" t="s">
        <v>2019</v>
      </c>
      <c r="C2626" s="4" t="s">
        <v>2026</v>
      </c>
      <c r="D2626" s="4" t="s">
        <v>203</v>
      </c>
      <c r="E2626" s="4" t="s">
        <v>63</v>
      </c>
      <c r="F2626" s="4" t="s">
        <v>63</v>
      </c>
      <c r="G2626" s="4" t="s">
        <v>2142</v>
      </c>
      <c r="H2626" s="4"/>
      <c r="I2626" s="4" t="n">
        <v>0.7438</v>
      </c>
      <c r="J2626" s="4" t="str">
        <f aca="false">TRIM(E2626) &amp; TRIM(C2626) &amp; TRIM(D2626)</f>
        <v>First ReviewCreator Gen Video Tiktok RequirementCA</v>
      </c>
      <c r="K2626" s="4" t="n">
        <f aca="false">IFERROR(I2626*60,"")</f>
        <v>44.628</v>
      </c>
    </row>
    <row r="2627" customFormat="false" ht="15" hidden="false" customHeight="false" outlineLevel="0" collapsed="false">
      <c r="A2627" s="4" t="s">
        <v>15</v>
      </c>
      <c r="B2627" s="4" t="s">
        <v>2019</v>
      </c>
      <c r="C2627" s="4" t="s">
        <v>2040</v>
      </c>
      <c r="D2627" s="4" t="s">
        <v>136</v>
      </c>
      <c r="E2627" s="4" t="s">
        <v>63</v>
      </c>
      <c r="F2627" s="4" t="s">
        <v>63</v>
      </c>
      <c r="G2627" s="4" t="s">
        <v>2143</v>
      </c>
      <c r="H2627" s="4"/>
      <c r="I2627" s="4" t="n">
        <v>0.4003</v>
      </c>
      <c r="J2627" s="4" t="str">
        <f aca="false">TRIM(E2627) &amp; TRIM(C2627) &amp; TRIM(D2627)</f>
        <v>First ReviewCreator Gen Text SafetyPE</v>
      </c>
      <c r="K2627" s="4" t="n">
        <f aca="false">IFERROR(I2627*60,"")</f>
        <v>24.018</v>
      </c>
    </row>
    <row r="2628" customFormat="false" ht="15" hidden="false" customHeight="false" outlineLevel="0" collapsed="false">
      <c r="A2628" s="4" t="s">
        <v>15</v>
      </c>
      <c r="B2628" s="4" t="s">
        <v>2019</v>
      </c>
      <c r="C2628" s="4" t="s">
        <v>2024</v>
      </c>
      <c r="D2628" s="4" t="s">
        <v>97</v>
      </c>
      <c r="E2628" s="4" t="s">
        <v>63</v>
      </c>
      <c r="F2628" s="4" t="s">
        <v>63</v>
      </c>
      <c r="G2628" s="4" t="s">
        <v>2144</v>
      </c>
      <c r="H2628" s="4"/>
      <c r="I2628" s="4" t="n">
        <v>0.3651</v>
      </c>
      <c r="J2628" s="4" t="str">
        <f aca="false">TRIM(E2628) &amp; TRIM(C2628) &amp; TRIM(D2628)</f>
        <v>First ReviewCreator Gen Image Tiktok RequirementBR</v>
      </c>
      <c r="K2628" s="4" t="n">
        <f aca="false">IFERROR(I2628*60,"")</f>
        <v>21.906</v>
      </c>
    </row>
    <row r="2629" customFormat="false" ht="15" hidden="false" customHeight="false" outlineLevel="0" collapsed="false">
      <c r="A2629" s="4" t="s">
        <v>15</v>
      </c>
      <c r="B2629" s="4" t="s">
        <v>2019</v>
      </c>
      <c r="C2629" s="4" t="s">
        <v>2024</v>
      </c>
      <c r="D2629" s="4" t="s">
        <v>139</v>
      </c>
      <c r="E2629" s="4" t="s">
        <v>63</v>
      </c>
      <c r="F2629" s="4" t="s">
        <v>63</v>
      </c>
      <c r="G2629" s="4" t="s">
        <v>2145</v>
      </c>
      <c r="H2629" s="4"/>
      <c r="I2629" s="4" t="n">
        <v>0.082</v>
      </c>
      <c r="J2629" s="4" t="str">
        <f aca="false">TRIM(E2629) &amp; TRIM(C2629) &amp; TRIM(D2629)</f>
        <v>First ReviewCreator Gen Image Tiktok RequirementEG</v>
      </c>
      <c r="K2629" s="4" t="n">
        <f aca="false">IFERROR(I2629*60,"")</f>
        <v>4.92</v>
      </c>
    </row>
    <row r="2630" customFormat="false" ht="15" hidden="false" customHeight="false" outlineLevel="0" collapsed="false">
      <c r="A2630" s="4" t="s">
        <v>15</v>
      </c>
      <c r="B2630" s="4" t="s">
        <v>2019</v>
      </c>
      <c r="C2630" s="4" t="s">
        <v>2020</v>
      </c>
      <c r="D2630" s="4" t="s">
        <v>203</v>
      </c>
      <c r="E2630" s="4" t="s">
        <v>63</v>
      </c>
      <c r="F2630" s="4" t="s">
        <v>63</v>
      </c>
      <c r="G2630" s="4" t="s">
        <v>2146</v>
      </c>
      <c r="H2630" s="4"/>
      <c r="I2630" s="4" t="n">
        <v>0.0257</v>
      </c>
      <c r="J2630" s="4" t="str">
        <f aca="false">TRIM(E2630) &amp; TRIM(C2630) &amp; TRIM(D2630)</f>
        <v>First ReviewCreator Gen Text EP RequirementCA</v>
      </c>
      <c r="K2630" s="4" t="n">
        <f aca="false">IFERROR(I2630*60,"")</f>
        <v>1.542</v>
      </c>
    </row>
    <row r="2631" customFormat="false" ht="15" hidden="false" customHeight="false" outlineLevel="0" collapsed="false">
      <c r="A2631" s="4" t="s">
        <v>15</v>
      </c>
      <c r="B2631" s="4" t="s">
        <v>2019</v>
      </c>
      <c r="C2631" s="4" t="s">
        <v>2024</v>
      </c>
      <c r="D2631" s="4" t="s">
        <v>117</v>
      </c>
      <c r="E2631" s="4" t="s">
        <v>63</v>
      </c>
      <c r="F2631" s="4" t="s">
        <v>63</v>
      </c>
      <c r="G2631" s="4" t="s">
        <v>2147</v>
      </c>
      <c r="H2631" s="4"/>
      <c r="I2631" s="4" t="n">
        <v>0.0677</v>
      </c>
      <c r="J2631" s="4" t="str">
        <f aca="false">TRIM(E2631) &amp; TRIM(C2631) &amp; TRIM(D2631)</f>
        <v>First ReviewCreator Gen Image Tiktok RequirementAR</v>
      </c>
      <c r="K2631" s="4" t="n">
        <f aca="false">IFERROR(I2631*60,"")</f>
        <v>4.062</v>
      </c>
    </row>
    <row r="2632" customFormat="false" ht="15" hidden="false" customHeight="false" outlineLevel="0" collapsed="false">
      <c r="A2632" s="4" t="s">
        <v>15</v>
      </c>
      <c r="B2632" s="4" t="s">
        <v>2019</v>
      </c>
      <c r="C2632" s="4" t="s">
        <v>2030</v>
      </c>
      <c r="D2632" s="4" t="s">
        <v>190</v>
      </c>
      <c r="E2632" s="4" t="s">
        <v>63</v>
      </c>
      <c r="F2632" s="4" t="s">
        <v>63</v>
      </c>
      <c r="G2632" s="4" t="s">
        <v>2148</v>
      </c>
      <c r="H2632" s="4"/>
      <c r="I2632" s="4" t="n">
        <v>0.1132</v>
      </c>
      <c r="J2632" s="4" t="str">
        <f aca="false">TRIM(E2632) &amp; TRIM(C2632) &amp; TRIM(D2632)</f>
        <v>First ReviewCreator Gen Video SafetyPH</v>
      </c>
      <c r="K2632" s="4" t="n">
        <f aca="false">IFERROR(I2632*60,"")</f>
        <v>6.792</v>
      </c>
    </row>
    <row r="2633" customFormat="false" ht="15" hidden="false" customHeight="false" outlineLevel="0" collapsed="false">
      <c r="A2633" s="4" t="s">
        <v>15</v>
      </c>
      <c r="B2633" s="4" t="s">
        <v>2019</v>
      </c>
      <c r="C2633" s="4" t="s">
        <v>2030</v>
      </c>
      <c r="D2633" s="4" t="s">
        <v>117</v>
      </c>
      <c r="E2633" s="4" t="s">
        <v>63</v>
      </c>
      <c r="F2633" s="4" t="s">
        <v>63</v>
      </c>
      <c r="G2633" s="4" t="s">
        <v>2149</v>
      </c>
      <c r="H2633" s="4"/>
      <c r="I2633" s="4" t="n">
        <v>1.0794</v>
      </c>
      <c r="J2633" s="4" t="str">
        <f aca="false">TRIM(E2633) &amp; TRIM(C2633) &amp; TRIM(D2633)</f>
        <v>First ReviewCreator Gen Video SafetyAR</v>
      </c>
      <c r="K2633" s="4" t="n">
        <f aca="false">IFERROR(I2633*60,"")</f>
        <v>64.764</v>
      </c>
    </row>
    <row r="2634" customFormat="false" ht="15" hidden="false" customHeight="false" outlineLevel="0" collapsed="false">
      <c r="A2634" s="4" t="s">
        <v>15</v>
      </c>
      <c r="B2634" s="4" t="s">
        <v>2019</v>
      </c>
      <c r="C2634" s="4" t="s">
        <v>2037</v>
      </c>
      <c r="D2634" s="4" t="s">
        <v>190</v>
      </c>
      <c r="E2634" s="4" t="s">
        <v>63</v>
      </c>
      <c r="F2634" s="4" t="s">
        <v>63</v>
      </c>
      <c r="G2634" s="4" t="s">
        <v>2150</v>
      </c>
      <c r="H2634" s="4"/>
      <c r="I2634" s="4" t="n">
        <v>0.4162</v>
      </c>
      <c r="J2634" s="4" t="str">
        <f aca="false">TRIM(E2634) &amp; TRIM(C2634) &amp; TRIM(D2634)</f>
        <v>First ReviewCreator Gen Video EP RequirementPH</v>
      </c>
      <c r="K2634" s="4" t="n">
        <f aca="false">IFERROR(I2634*60,"")</f>
        <v>24.972</v>
      </c>
    </row>
    <row r="2635" customFormat="false" ht="15" hidden="false" customHeight="false" outlineLevel="0" collapsed="false">
      <c r="A2635" s="4" t="s">
        <v>15</v>
      </c>
      <c r="B2635" s="4" t="s">
        <v>2019</v>
      </c>
      <c r="C2635" s="4" t="s">
        <v>2026</v>
      </c>
      <c r="D2635" s="4" t="s">
        <v>106</v>
      </c>
      <c r="E2635" s="4" t="s">
        <v>63</v>
      </c>
      <c r="F2635" s="4" t="s">
        <v>63</v>
      </c>
      <c r="G2635" s="4" t="s">
        <v>2151</v>
      </c>
      <c r="H2635" s="4"/>
      <c r="I2635" s="4" t="n">
        <v>0.082</v>
      </c>
      <c r="J2635" s="4" t="str">
        <f aca="false">TRIM(E2635) &amp; TRIM(C2635) &amp; TRIM(D2635)</f>
        <v>First ReviewCreator Gen Video Tiktok RequirementMY</v>
      </c>
      <c r="K2635" s="4" t="n">
        <f aca="false">IFERROR(I2635*60,"")</f>
        <v>4.92</v>
      </c>
    </row>
    <row r="2636" customFormat="false" ht="15" hidden="false" customHeight="false" outlineLevel="0" collapsed="false">
      <c r="A2636" s="4" t="s">
        <v>15</v>
      </c>
      <c r="B2636" s="4" t="s">
        <v>2019</v>
      </c>
      <c r="C2636" s="4" t="s">
        <v>2026</v>
      </c>
      <c r="D2636" s="4" t="s">
        <v>190</v>
      </c>
      <c r="E2636" s="4" t="s">
        <v>63</v>
      </c>
      <c r="F2636" s="4" t="s">
        <v>63</v>
      </c>
      <c r="G2636" s="4" t="s">
        <v>2152</v>
      </c>
      <c r="H2636" s="4"/>
      <c r="I2636" s="4" t="n">
        <v>0.1072</v>
      </c>
      <c r="J2636" s="4" t="str">
        <f aca="false">TRIM(E2636) &amp; TRIM(C2636) &amp; TRIM(D2636)</f>
        <v>First ReviewCreator Gen Video Tiktok RequirementPH</v>
      </c>
      <c r="K2636" s="4" t="n">
        <f aca="false">IFERROR(I2636*60,"")</f>
        <v>6.432</v>
      </c>
    </row>
    <row r="2637" customFormat="false" ht="15" hidden="false" customHeight="false" outlineLevel="0" collapsed="false">
      <c r="A2637" s="4" t="s">
        <v>15</v>
      </c>
      <c r="B2637" s="4" t="s">
        <v>2019</v>
      </c>
      <c r="C2637" s="4" t="s">
        <v>2024</v>
      </c>
      <c r="D2637" s="4" t="s">
        <v>299</v>
      </c>
      <c r="E2637" s="4" t="s">
        <v>63</v>
      </c>
      <c r="F2637" s="4" t="s">
        <v>63</v>
      </c>
      <c r="G2637" s="4" t="s">
        <v>2153</v>
      </c>
      <c r="H2637" s="4"/>
      <c r="I2637" s="4" t="n">
        <v>0.1267</v>
      </c>
      <c r="J2637" s="4" t="str">
        <f aca="false">TRIM(E2637) &amp; TRIM(C2637) &amp; TRIM(D2637)</f>
        <v>First ReviewCreator Gen Image Tiktok RequirementQA</v>
      </c>
      <c r="K2637" s="4" t="n">
        <f aca="false">IFERROR(I2637*60,"")</f>
        <v>7.602</v>
      </c>
    </row>
    <row r="2638" customFormat="false" ht="15" hidden="false" customHeight="false" outlineLevel="0" collapsed="false">
      <c r="A2638" s="4" t="s">
        <v>15</v>
      </c>
      <c r="B2638" s="4" t="s">
        <v>2019</v>
      </c>
      <c r="C2638" s="4" t="s">
        <v>2024</v>
      </c>
      <c r="D2638" s="4" t="s">
        <v>95</v>
      </c>
      <c r="E2638" s="4" t="s">
        <v>63</v>
      </c>
      <c r="F2638" s="4" t="s">
        <v>63</v>
      </c>
      <c r="G2638" s="4" t="s">
        <v>2154</v>
      </c>
      <c r="H2638" s="4"/>
      <c r="I2638" s="4" t="n">
        <v>0.9109</v>
      </c>
      <c r="J2638" s="4" t="str">
        <f aca="false">TRIM(E2638) &amp; TRIM(C2638) &amp; TRIM(D2638)</f>
        <v>First ReviewCreator Gen Image Tiktok RequirementVN</v>
      </c>
      <c r="K2638" s="4" t="n">
        <f aca="false">IFERROR(I2638*60,"")</f>
        <v>54.654</v>
      </c>
    </row>
    <row r="2639" customFormat="false" ht="15" hidden="false" customHeight="false" outlineLevel="0" collapsed="false">
      <c r="A2639" s="4" t="s">
        <v>15</v>
      </c>
      <c r="B2639" s="4" t="s">
        <v>2019</v>
      </c>
      <c r="C2639" s="4" t="s">
        <v>2030</v>
      </c>
      <c r="D2639" s="4" t="s">
        <v>157</v>
      </c>
      <c r="E2639" s="4" t="s">
        <v>63</v>
      </c>
      <c r="F2639" s="4" t="s">
        <v>63</v>
      </c>
      <c r="G2639" s="4" t="s">
        <v>2155</v>
      </c>
      <c r="H2639" s="4"/>
      <c r="I2639" s="4" t="n">
        <v>0.9291</v>
      </c>
      <c r="J2639" s="4" t="str">
        <f aca="false">TRIM(E2639) &amp; TRIM(C2639) &amp; TRIM(D2639)</f>
        <v>First ReviewCreator Gen Video SafetySA</v>
      </c>
      <c r="K2639" s="4" t="n">
        <f aca="false">IFERROR(I2639*60,"")</f>
        <v>55.746</v>
      </c>
    </row>
    <row r="2640" customFormat="false" ht="15" hidden="false" customHeight="false" outlineLevel="0" collapsed="false">
      <c r="A2640" s="4" t="s">
        <v>15</v>
      </c>
      <c r="B2640" s="4" t="s">
        <v>2019</v>
      </c>
      <c r="C2640" s="4" t="s">
        <v>2028</v>
      </c>
      <c r="D2640" s="4" t="s">
        <v>275</v>
      </c>
      <c r="E2640" s="4" t="s">
        <v>63</v>
      </c>
      <c r="F2640" s="4" t="s">
        <v>63</v>
      </c>
      <c r="G2640" s="4" t="s">
        <v>2156</v>
      </c>
      <c r="H2640" s="4"/>
      <c r="I2640" s="4" t="n">
        <v>0.0681</v>
      </c>
      <c r="J2640" s="4" t="str">
        <f aca="false">TRIM(E2640) &amp; TRIM(C2640) &amp; TRIM(D2640)</f>
        <v>First ReviewCreator Gen Image SafetyGB</v>
      </c>
      <c r="K2640" s="4" t="n">
        <f aca="false">IFERROR(I2640*60,"")</f>
        <v>4.086</v>
      </c>
    </row>
    <row r="2641" customFormat="false" ht="15" hidden="false" customHeight="false" outlineLevel="0" collapsed="false">
      <c r="A2641" s="4" t="s">
        <v>15</v>
      </c>
      <c r="B2641" s="4" t="s">
        <v>2019</v>
      </c>
      <c r="C2641" s="4" t="s">
        <v>2040</v>
      </c>
      <c r="D2641" s="4" t="s">
        <v>208</v>
      </c>
      <c r="E2641" s="4" t="s">
        <v>63</v>
      </c>
      <c r="F2641" s="4" t="s">
        <v>63</v>
      </c>
      <c r="G2641" s="4" t="s">
        <v>2157</v>
      </c>
      <c r="H2641" s="4"/>
      <c r="I2641" s="4" t="n">
        <v>0.0365</v>
      </c>
      <c r="J2641" s="4" t="str">
        <f aca="false">TRIM(E2641) &amp; TRIM(C2641) &amp; TRIM(D2641)</f>
        <v>First ReviewCreator Gen Text SafetyCO</v>
      </c>
      <c r="K2641" s="4" t="n">
        <f aca="false">IFERROR(I2641*60,"")</f>
        <v>2.19</v>
      </c>
    </row>
    <row r="2642" customFormat="false" ht="15" hidden="false" customHeight="false" outlineLevel="0" collapsed="false">
      <c r="A2642" s="4" t="s">
        <v>15</v>
      </c>
      <c r="B2642" s="4" t="s">
        <v>2019</v>
      </c>
      <c r="C2642" s="4" t="s">
        <v>2024</v>
      </c>
      <c r="D2642" s="4" t="s">
        <v>284</v>
      </c>
      <c r="E2642" s="4" t="s">
        <v>63</v>
      </c>
      <c r="F2642" s="4" t="s">
        <v>63</v>
      </c>
      <c r="G2642" s="4" t="s">
        <v>2158</v>
      </c>
      <c r="H2642" s="4"/>
      <c r="I2642" s="4" t="n">
        <v>0.0552</v>
      </c>
      <c r="J2642" s="4" t="str">
        <f aca="false">TRIM(E2642) &amp; TRIM(C2642) &amp; TRIM(D2642)</f>
        <v>First ReviewCreator Gen Image Tiktok RequirementTR</v>
      </c>
      <c r="K2642" s="4" t="n">
        <f aca="false">IFERROR(I2642*60,"")</f>
        <v>3.312</v>
      </c>
    </row>
    <row r="2643" customFormat="false" ht="15" hidden="false" customHeight="false" outlineLevel="0" collapsed="false">
      <c r="A2643" s="4" t="s">
        <v>15</v>
      </c>
      <c r="B2643" s="4" t="s">
        <v>2019</v>
      </c>
      <c r="C2643" s="4" t="s">
        <v>2028</v>
      </c>
      <c r="D2643" s="4" t="s">
        <v>117</v>
      </c>
      <c r="E2643" s="4" t="s">
        <v>63</v>
      </c>
      <c r="F2643" s="4" t="s">
        <v>63</v>
      </c>
      <c r="G2643" s="4" t="s">
        <v>2159</v>
      </c>
      <c r="H2643" s="4"/>
      <c r="I2643" s="4" t="n">
        <v>0.3841</v>
      </c>
      <c r="J2643" s="4" t="str">
        <f aca="false">TRIM(E2643) &amp; TRIM(C2643) &amp; TRIM(D2643)</f>
        <v>First ReviewCreator Gen Image SafetyAR</v>
      </c>
      <c r="K2643" s="4" t="n">
        <f aca="false">IFERROR(I2643*60,"")</f>
        <v>23.046</v>
      </c>
    </row>
    <row r="2644" customFormat="false" ht="15" hidden="false" customHeight="false" outlineLevel="0" collapsed="false">
      <c r="A2644" s="4" t="s">
        <v>15</v>
      </c>
      <c r="B2644" s="4" t="s">
        <v>2019</v>
      </c>
      <c r="C2644" s="4" t="s">
        <v>2040</v>
      </c>
      <c r="D2644" s="4" t="s">
        <v>95</v>
      </c>
      <c r="E2644" s="4" t="s">
        <v>63</v>
      </c>
      <c r="F2644" s="4" t="s">
        <v>63</v>
      </c>
      <c r="G2644" s="4" t="s">
        <v>2160</v>
      </c>
      <c r="H2644" s="4"/>
      <c r="I2644" s="4" t="n">
        <v>0.2217</v>
      </c>
      <c r="J2644" s="4" t="str">
        <f aca="false">TRIM(E2644) &amp; TRIM(C2644) &amp; TRIM(D2644)</f>
        <v>First ReviewCreator Gen Text SafetyVN</v>
      </c>
      <c r="K2644" s="4" t="n">
        <f aca="false">IFERROR(I2644*60,"")</f>
        <v>13.302</v>
      </c>
    </row>
    <row r="2645" customFormat="false" ht="15" hidden="false" customHeight="false" outlineLevel="0" collapsed="false">
      <c r="A2645" s="4" t="s">
        <v>15</v>
      </c>
      <c r="B2645" s="4" t="s">
        <v>2019</v>
      </c>
      <c r="C2645" s="4" t="s">
        <v>2026</v>
      </c>
      <c r="D2645" s="4" t="s">
        <v>154</v>
      </c>
      <c r="E2645" s="4" t="s">
        <v>63</v>
      </c>
      <c r="F2645" s="4" t="s">
        <v>63</v>
      </c>
      <c r="G2645" s="4" t="s">
        <v>2161</v>
      </c>
      <c r="H2645" s="4"/>
      <c r="I2645" s="4" t="n">
        <v>0.1001</v>
      </c>
      <c r="J2645" s="4" t="str">
        <f aca="false">TRIM(E2645) &amp; TRIM(C2645) &amp; TRIM(D2645)</f>
        <v>First ReviewCreator Gen Video Tiktok RequirementES</v>
      </c>
      <c r="K2645" s="4" t="n">
        <f aca="false">IFERROR(I2645*60,"")</f>
        <v>6.006</v>
      </c>
    </row>
    <row r="2646" customFormat="false" ht="15" hidden="false" customHeight="false" outlineLevel="0" collapsed="false">
      <c r="A2646" s="4" t="s">
        <v>15</v>
      </c>
      <c r="B2646" s="4" t="s">
        <v>2019</v>
      </c>
      <c r="C2646" s="4" t="s">
        <v>2030</v>
      </c>
      <c r="D2646" s="4" t="s">
        <v>115</v>
      </c>
      <c r="E2646" s="4" t="s">
        <v>63</v>
      </c>
      <c r="F2646" s="4" t="s">
        <v>63</v>
      </c>
      <c r="G2646" s="4" t="s">
        <v>2162</v>
      </c>
      <c r="H2646" s="4"/>
      <c r="I2646" s="4" t="n">
        <v>1.2596</v>
      </c>
      <c r="J2646" s="4" t="str">
        <f aca="false">TRIM(E2646) &amp; TRIM(C2646) &amp; TRIM(D2646)</f>
        <v>First ReviewCreator Gen Video SafetyAT</v>
      </c>
      <c r="K2646" s="4" t="n">
        <f aca="false">IFERROR(I2646*60,"")</f>
        <v>75.576</v>
      </c>
    </row>
    <row r="2647" customFormat="false" ht="15" hidden="false" customHeight="false" outlineLevel="0" collapsed="false">
      <c r="A2647" s="4" t="s">
        <v>15</v>
      </c>
      <c r="B2647" s="4" t="s">
        <v>2019</v>
      </c>
      <c r="C2647" s="4" t="s">
        <v>2022</v>
      </c>
      <c r="D2647" s="4" t="s">
        <v>113</v>
      </c>
      <c r="E2647" s="4" t="s">
        <v>63</v>
      </c>
      <c r="F2647" s="4" t="s">
        <v>63</v>
      </c>
      <c r="G2647" s="4" t="s">
        <v>2163</v>
      </c>
      <c r="H2647" s="4"/>
      <c r="I2647" s="4" t="n">
        <v>0.0318</v>
      </c>
      <c r="J2647" s="4" t="str">
        <f aca="false">TRIM(E2647) &amp; TRIM(C2647) &amp; TRIM(D2647)</f>
        <v>First ReviewCreator Gen Text Tiktok RequirementNL</v>
      </c>
      <c r="K2647" s="4" t="n">
        <f aca="false">IFERROR(I2647*60,"")</f>
        <v>1.908</v>
      </c>
    </row>
    <row r="2648" customFormat="false" ht="15" hidden="false" customHeight="false" outlineLevel="0" collapsed="false">
      <c r="A2648" s="4" t="s">
        <v>15</v>
      </c>
      <c r="B2648" s="4" t="s">
        <v>2019</v>
      </c>
      <c r="C2648" s="4" t="s">
        <v>2030</v>
      </c>
      <c r="D2648" s="4" t="s">
        <v>126</v>
      </c>
      <c r="E2648" s="4" t="s">
        <v>63</v>
      </c>
      <c r="F2648" s="4" t="s">
        <v>63</v>
      </c>
      <c r="G2648" s="4" t="s">
        <v>2164</v>
      </c>
      <c r="H2648" s="4"/>
      <c r="I2648" s="4" t="n">
        <v>0.5788</v>
      </c>
      <c r="J2648" s="4" t="str">
        <f aca="false">TRIM(E2648) &amp; TRIM(C2648) &amp; TRIM(D2648)</f>
        <v>First ReviewCreator Gen Video SafetyMX</v>
      </c>
      <c r="K2648" s="4" t="n">
        <f aca="false">IFERROR(I2648*60,"")</f>
        <v>34.728</v>
      </c>
    </row>
    <row r="2649" customFormat="false" ht="15" hidden="false" customHeight="false" outlineLevel="0" collapsed="false">
      <c r="A2649" s="4" t="s">
        <v>15</v>
      </c>
      <c r="B2649" s="4" t="s">
        <v>2019</v>
      </c>
      <c r="C2649" s="4" t="s">
        <v>2026</v>
      </c>
      <c r="D2649" s="4" t="s">
        <v>87</v>
      </c>
      <c r="E2649" s="4" t="s">
        <v>63</v>
      </c>
      <c r="F2649" s="4" t="s">
        <v>63</v>
      </c>
      <c r="G2649" s="4" t="s">
        <v>2165</v>
      </c>
      <c r="H2649" s="4"/>
      <c r="I2649" s="4" t="n">
        <v>0.5423</v>
      </c>
      <c r="J2649" s="4" t="str">
        <f aca="false">TRIM(E2649) &amp; TRIM(C2649) &amp; TRIM(D2649)</f>
        <v>First ReviewCreator Gen Video Tiktok RequirementAE</v>
      </c>
      <c r="K2649" s="4" t="n">
        <f aca="false">IFERROR(I2649*60,"")</f>
        <v>32.538</v>
      </c>
    </row>
    <row r="2650" customFormat="false" ht="15" hidden="false" customHeight="false" outlineLevel="0" collapsed="false">
      <c r="A2650" s="4" t="s">
        <v>15</v>
      </c>
      <c r="B2650" s="4" t="s">
        <v>2019</v>
      </c>
      <c r="C2650" s="4" t="s">
        <v>2024</v>
      </c>
      <c r="D2650" s="4" t="s">
        <v>150</v>
      </c>
      <c r="E2650" s="4" t="s">
        <v>63</v>
      </c>
      <c r="F2650" s="4" t="s">
        <v>63</v>
      </c>
      <c r="G2650" s="4" t="s">
        <v>2166</v>
      </c>
      <c r="H2650" s="4"/>
      <c r="I2650" s="4" t="n">
        <v>0.1954</v>
      </c>
      <c r="J2650" s="4" t="str">
        <f aca="false">TRIM(E2650) &amp; TRIM(C2650) &amp; TRIM(D2650)</f>
        <v>First ReviewCreator Gen Image Tiktok RequirementDE</v>
      </c>
      <c r="K2650" s="4" t="n">
        <f aca="false">IFERROR(I2650*60,"")</f>
        <v>11.724</v>
      </c>
    </row>
    <row r="2651" customFormat="false" ht="15" hidden="false" customHeight="false" outlineLevel="0" collapsed="false">
      <c r="A2651" s="4" t="s">
        <v>15</v>
      </c>
      <c r="B2651" s="4" t="s">
        <v>2019</v>
      </c>
      <c r="C2651" s="4" t="s">
        <v>2040</v>
      </c>
      <c r="D2651" s="4" t="s">
        <v>79</v>
      </c>
      <c r="E2651" s="4" t="s">
        <v>63</v>
      </c>
      <c r="F2651" s="4" t="s">
        <v>63</v>
      </c>
      <c r="G2651" s="4" t="s">
        <v>2167</v>
      </c>
      <c r="H2651" s="4"/>
      <c r="I2651" s="4" t="n">
        <v>0.2089</v>
      </c>
      <c r="J2651" s="4" t="str">
        <f aca="false">TRIM(E2651) &amp; TRIM(C2651) &amp; TRIM(D2651)</f>
        <v>First ReviewCreator Gen Text SafetyZA</v>
      </c>
      <c r="K2651" s="4" t="n">
        <f aca="false">IFERROR(I2651*60,"")</f>
        <v>12.534</v>
      </c>
    </row>
    <row r="2652" customFormat="false" ht="15" hidden="false" customHeight="false" outlineLevel="0" collapsed="false">
      <c r="A2652" s="4" t="s">
        <v>15</v>
      </c>
      <c r="B2652" s="4" t="s">
        <v>2019</v>
      </c>
      <c r="C2652" s="4" t="s">
        <v>2028</v>
      </c>
      <c r="D2652" s="4" t="s">
        <v>139</v>
      </c>
      <c r="E2652" s="4" t="s">
        <v>63</v>
      </c>
      <c r="F2652" s="4" t="s">
        <v>63</v>
      </c>
      <c r="G2652" s="4" t="s">
        <v>2168</v>
      </c>
      <c r="H2652" s="4"/>
      <c r="I2652" s="4" t="n">
        <v>0.0265</v>
      </c>
      <c r="J2652" s="4" t="str">
        <f aca="false">TRIM(E2652) &amp; TRIM(C2652) &amp; TRIM(D2652)</f>
        <v>First ReviewCreator Gen Image SafetyEG</v>
      </c>
      <c r="K2652" s="4" t="n">
        <f aca="false">IFERROR(I2652*60,"")</f>
        <v>1.59</v>
      </c>
    </row>
    <row r="2653" customFormat="false" ht="15" hidden="false" customHeight="false" outlineLevel="0" collapsed="false">
      <c r="A2653" s="4" t="s">
        <v>15</v>
      </c>
      <c r="B2653" s="4" t="s">
        <v>2019</v>
      </c>
      <c r="C2653" s="4" t="s">
        <v>2028</v>
      </c>
      <c r="D2653" s="4" t="s">
        <v>100</v>
      </c>
      <c r="E2653" s="4" t="s">
        <v>63</v>
      </c>
      <c r="F2653" s="4" t="s">
        <v>63</v>
      </c>
      <c r="G2653" s="4" t="s">
        <v>2169</v>
      </c>
      <c r="H2653" s="4"/>
      <c r="I2653" s="4" t="n">
        <v>0.3358</v>
      </c>
      <c r="J2653" s="4" t="str">
        <f aca="false">TRIM(E2653) &amp; TRIM(C2653) &amp; TRIM(D2653)</f>
        <v>First ReviewCreator Gen Image SafetyAU</v>
      </c>
      <c r="K2653" s="4" t="n">
        <f aca="false">IFERROR(I2653*60,"")</f>
        <v>20.148</v>
      </c>
    </row>
    <row r="2654" customFormat="false" ht="15" hidden="false" customHeight="false" outlineLevel="0" collapsed="false">
      <c r="A2654" s="4" t="s">
        <v>15</v>
      </c>
      <c r="B2654" s="4" t="s">
        <v>2019</v>
      </c>
      <c r="C2654" s="4" t="s">
        <v>2024</v>
      </c>
      <c r="D2654" s="4" t="s">
        <v>267</v>
      </c>
      <c r="E2654" s="4" t="s">
        <v>63</v>
      </c>
      <c r="F2654" s="4" t="s">
        <v>63</v>
      </c>
      <c r="G2654" s="4" t="s">
        <v>2170</v>
      </c>
      <c r="H2654" s="4"/>
      <c r="I2654" s="4" t="n">
        <v>0.5862</v>
      </c>
      <c r="J2654" s="4" t="str">
        <f aca="false">TRIM(E2654) &amp; TRIM(C2654) &amp; TRIM(D2654)</f>
        <v>First ReviewCreator Gen Image Tiktok RequirementID</v>
      </c>
      <c r="K2654" s="4" t="n">
        <f aca="false">IFERROR(I2654*60,"")</f>
        <v>35.172</v>
      </c>
    </row>
    <row r="2655" customFormat="false" ht="15" hidden="false" customHeight="false" outlineLevel="0" collapsed="false">
      <c r="A2655" s="4" t="s">
        <v>15</v>
      </c>
      <c r="B2655" s="4" t="s">
        <v>2019</v>
      </c>
      <c r="C2655" s="4" t="s">
        <v>2024</v>
      </c>
      <c r="D2655" s="4" t="s">
        <v>251</v>
      </c>
      <c r="E2655" s="4" t="s">
        <v>63</v>
      </c>
      <c r="F2655" s="4" t="s">
        <v>63</v>
      </c>
      <c r="G2655" s="4" t="s">
        <v>2171</v>
      </c>
      <c r="H2655" s="4"/>
      <c r="I2655" s="4" t="n">
        <v>0.0776</v>
      </c>
      <c r="J2655" s="4" t="str">
        <f aca="false">TRIM(E2655) &amp; TRIM(C2655) &amp; TRIM(D2655)</f>
        <v>First ReviewCreator Gen Image Tiktok RequirementRO</v>
      </c>
      <c r="K2655" s="4" t="n">
        <f aca="false">IFERROR(I2655*60,"")</f>
        <v>4.656</v>
      </c>
    </row>
    <row r="2656" customFormat="false" ht="15" hidden="false" customHeight="false" outlineLevel="0" collapsed="false">
      <c r="A2656" s="4" t="s">
        <v>15</v>
      </c>
      <c r="B2656" s="4" t="s">
        <v>2019</v>
      </c>
      <c r="C2656" s="4" t="s">
        <v>2022</v>
      </c>
      <c r="D2656" s="4" t="s">
        <v>235</v>
      </c>
      <c r="E2656" s="4" t="s">
        <v>63</v>
      </c>
      <c r="F2656" s="4" t="s">
        <v>63</v>
      </c>
      <c r="G2656" s="4" t="s">
        <v>2172</v>
      </c>
      <c r="H2656" s="4"/>
      <c r="I2656" s="4" t="n">
        <v>0.2428</v>
      </c>
      <c r="J2656" s="4" t="str">
        <f aca="false">TRIM(E2656) &amp; TRIM(C2656) &amp; TRIM(D2656)</f>
        <v>First ReviewCreator Gen Text Tiktok RequirementJP</v>
      </c>
      <c r="K2656" s="4" t="n">
        <f aca="false">IFERROR(I2656*60,"")</f>
        <v>14.568</v>
      </c>
    </row>
    <row r="2657" customFormat="false" ht="15" hidden="false" customHeight="false" outlineLevel="0" collapsed="false">
      <c r="A2657" s="4" t="s">
        <v>15</v>
      </c>
      <c r="B2657" s="4" t="s">
        <v>2019</v>
      </c>
      <c r="C2657" s="4" t="s">
        <v>2040</v>
      </c>
      <c r="D2657" s="4" t="s">
        <v>306</v>
      </c>
      <c r="E2657" s="4" t="s">
        <v>63</v>
      </c>
      <c r="F2657" s="4" t="s">
        <v>63</v>
      </c>
      <c r="G2657" s="4" t="s">
        <v>2173</v>
      </c>
      <c r="H2657" s="4"/>
      <c r="I2657" s="4" t="n">
        <v>0.0692</v>
      </c>
      <c r="J2657" s="4" t="str">
        <f aca="false">TRIM(E2657) &amp; TRIM(C2657) &amp; TRIM(D2657)</f>
        <v>First ReviewCreator Gen Text SafetyTH</v>
      </c>
      <c r="K2657" s="4" t="n">
        <f aca="false">IFERROR(I2657*60,"")</f>
        <v>4.152</v>
      </c>
    </row>
    <row r="2658" customFormat="false" ht="15" hidden="false" customHeight="false" outlineLevel="0" collapsed="false">
      <c r="A2658" s="4" t="s">
        <v>15</v>
      </c>
      <c r="B2658" s="4" t="s">
        <v>2019</v>
      </c>
      <c r="C2658" s="4" t="s">
        <v>2037</v>
      </c>
      <c r="D2658" s="4" t="s">
        <v>306</v>
      </c>
      <c r="E2658" s="4" t="s">
        <v>63</v>
      </c>
      <c r="F2658" s="4" t="s">
        <v>63</v>
      </c>
      <c r="G2658" s="4" t="s">
        <v>2174</v>
      </c>
      <c r="H2658" s="4"/>
      <c r="I2658" s="4" t="n">
        <v>1.5163</v>
      </c>
      <c r="J2658" s="4" t="str">
        <f aca="false">TRIM(E2658) &amp; TRIM(C2658) &amp; TRIM(D2658)</f>
        <v>First ReviewCreator Gen Video EP RequirementTH</v>
      </c>
      <c r="K2658" s="4" t="n">
        <f aca="false">IFERROR(I2658*60,"")</f>
        <v>90.978</v>
      </c>
    </row>
    <row r="2659" customFormat="false" ht="15" hidden="false" customHeight="false" outlineLevel="0" collapsed="false">
      <c r="A2659" s="4" t="s">
        <v>15</v>
      </c>
      <c r="B2659" s="4" t="s">
        <v>2019</v>
      </c>
      <c r="C2659" s="4" t="s">
        <v>2022</v>
      </c>
      <c r="D2659" s="4" t="s">
        <v>111</v>
      </c>
      <c r="E2659" s="4" t="s">
        <v>63</v>
      </c>
      <c r="F2659" s="4" t="s">
        <v>63</v>
      </c>
      <c r="G2659" s="4" t="s">
        <v>2175</v>
      </c>
      <c r="H2659" s="4"/>
      <c r="I2659" s="4" t="n">
        <v>0.1876</v>
      </c>
      <c r="J2659" s="4" t="str">
        <f aca="false">TRIM(E2659) &amp; TRIM(C2659) &amp; TRIM(D2659)</f>
        <v>First ReviewCreator Gen Text Tiktok RequirementUS</v>
      </c>
      <c r="K2659" s="4" t="n">
        <f aca="false">IFERROR(I2659*60,"")</f>
        <v>11.256</v>
      </c>
    </row>
    <row r="2660" customFormat="false" ht="15" hidden="false" customHeight="false" outlineLevel="0" collapsed="false">
      <c r="A2660" s="4" t="s">
        <v>15</v>
      </c>
      <c r="B2660" s="4" t="s">
        <v>2019</v>
      </c>
      <c r="C2660" s="4" t="s">
        <v>2030</v>
      </c>
      <c r="D2660" s="4" t="s">
        <v>306</v>
      </c>
      <c r="E2660" s="4" t="s">
        <v>63</v>
      </c>
      <c r="F2660" s="4" t="s">
        <v>63</v>
      </c>
      <c r="G2660" s="4" t="s">
        <v>2176</v>
      </c>
      <c r="H2660" s="4"/>
      <c r="I2660" s="4" t="n">
        <v>0.9659</v>
      </c>
      <c r="J2660" s="4" t="str">
        <f aca="false">TRIM(E2660) &amp; TRIM(C2660) &amp; TRIM(D2660)</f>
        <v>First ReviewCreator Gen Video SafetyTH</v>
      </c>
      <c r="K2660" s="4" t="n">
        <f aca="false">IFERROR(I2660*60,"")</f>
        <v>57.954</v>
      </c>
    </row>
    <row r="2661" customFormat="false" ht="15" hidden="false" customHeight="false" outlineLevel="0" collapsed="false">
      <c r="A2661" s="4" t="s">
        <v>15</v>
      </c>
      <c r="B2661" s="4" t="s">
        <v>2019</v>
      </c>
      <c r="C2661" s="4" t="s">
        <v>2030</v>
      </c>
      <c r="D2661" s="4" t="s">
        <v>195</v>
      </c>
      <c r="E2661" s="4" t="s">
        <v>63</v>
      </c>
      <c r="F2661" s="4" t="s">
        <v>63</v>
      </c>
      <c r="G2661" s="4" t="s">
        <v>2177</v>
      </c>
      <c r="H2661" s="4"/>
      <c r="I2661" s="4" t="n">
        <v>0.1746</v>
      </c>
      <c r="J2661" s="4" t="str">
        <f aca="false">TRIM(E2661) &amp; TRIM(C2661) &amp; TRIM(D2661)</f>
        <v>First ReviewCreator Gen Video SafetyIT</v>
      </c>
      <c r="K2661" s="4" t="n">
        <f aca="false">IFERROR(I2661*60,"")</f>
        <v>10.476</v>
      </c>
    </row>
    <row r="2662" customFormat="false" ht="15" hidden="false" customHeight="false" outlineLevel="0" collapsed="false">
      <c r="A2662" s="4" t="s">
        <v>15</v>
      </c>
      <c r="B2662" s="4" t="s">
        <v>2019</v>
      </c>
      <c r="C2662" s="4" t="s">
        <v>2026</v>
      </c>
      <c r="D2662" s="4" t="s">
        <v>157</v>
      </c>
      <c r="E2662" s="4" t="s">
        <v>63</v>
      </c>
      <c r="F2662" s="4" t="s">
        <v>63</v>
      </c>
      <c r="G2662" s="4" t="s">
        <v>2178</v>
      </c>
      <c r="H2662" s="4"/>
      <c r="I2662" s="4" t="n">
        <v>0.5767</v>
      </c>
      <c r="J2662" s="4" t="str">
        <f aca="false">TRIM(E2662) &amp; TRIM(C2662) &amp; TRIM(D2662)</f>
        <v>First ReviewCreator Gen Video Tiktok RequirementSA</v>
      </c>
      <c r="K2662" s="4" t="n">
        <f aca="false">IFERROR(I2662*60,"")</f>
        <v>34.602</v>
      </c>
    </row>
    <row r="2663" customFormat="false" ht="15" hidden="false" customHeight="false" outlineLevel="0" collapsed="false">
      <c r="A2663" s="4" t="s">
        <v>15</v>
      </c>
      <c r="B2663" s="4" t="s">
        <v>2019</v>
      </c>
      <c r="C2663" s="4" t="s">
        <v>2020</v>
      </c>
      <c r="D2663" s="4" t="s">
        <v>190</v>
      </c>
      <c r="E2663" s="4" t="s">
        <v>63</v>
      </c>
      <c r="F2663" s="4" t="s">
        <v>63</v>
      </c>
      <c r="G2663" s="4" t="s">
        <v>2179</v>
      </c>
      <c r="H2663" s="4"/>
      <c r="I2663" s="4" t="n">
        <v>0.0161</v>
      </c>
      <c r="J2663" s="4" t="str">
        <f aca="false">TRIM(E2663) &amp; TRIM(C2663) &amp; TRIM(D2663)</f>
        <v>First ReviewCreator Gen Text EP RequirementPH</v>
      </c>
      <c r="K2663" s="4" t="n">
        <f aca="false">IFERROR(I2663*60,"")</f>
        <v>0.966</v>
      </c>
    </row>
    <row r="2664" customFormat="false" ht="15" hidden="false" customHeight="false" outlineLevel="0" collapsed="false">
      <c r="A2664" s="4" t="s">
        <v>15</v>
      </c>
      <c r="B2664" s="4" t="s">
        <v>2019</v>
      </c>
      <c r="C2664" s="4" t="s">
        <v>2037</v>
      </c>
      <c r="D2664" s="4" t="s">
        <v>104</v>
      </c>
      <c r="E2664" s="4" t="s">
        <v>63</v>
      </c>
      <c r="F2664" s="4" t="s">
        <v>63</v>
      </c>
      <c r="G2664" s="4" t="s">
        <v>2180</v>
      </c>
      <c r="H2664" s="4"/>
      <c r="I2664" s="4" t="n">
        <v>1.1735</v>
      </c>
      <c r="J2664" s="4" t="str">
        <f aca="false">TRIM(E2664) &amp; TRIM(C2664) &amp; TRIM(D2664)</f>
        <v>First ReviewCreator Gen Video EP RequirementIE</v>
      </c>
      <c r="K2664" s="4" t="n">
        <f aca="false">IFERROR(I2664*60,"")</f>
        <v>70.41</v>
      </c>
    </row>
    <row r="2665" customFormat="false" ht="15" hidden="false" customHeight="false" outlineLevel="0" collapsed="false">
      <c r="A2665" s="4" t="s">
        <v>15</v>
      </c>
      <c r="B2665" s="4" t="s">
        <v>2019</v>
      </c>
      <c r="C2665" s="4" t="s">
        <v>2024</v>
      </c>
      <c r="D2665" s="4" t="s">
        <v>203</v>
      </c>
      <c r="E2665" s="4" t="s">
        <v>63</v>
      </c>
      <c r="F2665" s="4" t="s">
        <v>63</v>
      </c>
      <c r="G2665" s="4" t="s">
        <v>2181</v>
      </c>
      <c r="H2665" s="4"/>
      <c r="I2665" s="4" t="n">
        <v>0.2864</v>
      </c>
      <c r="J2665" s="4" t="str">
        <f aca="false">TRIM(E2665) &amp; TRIM(C2665) &amp; TRIM(D2665)</f>
        <v>First ReviewCreator Gen Image Tiktok RequirementCA</v>
      </c>
      <c r="K2665" s="4" t="n">
        <f aca="false">IFERROR(I2665*60,"")</f>
        <v>17.184</v>
      </c>
    </row>
    <row r="2666" customFormat="false" ht="15" hidden="false" customHeight="false" outlineLevel="0" collapsed="false">
      <c r="A2666" s="4" t="s">
        <v>15</v>
      </c>
      <c r="B2666" s="4" t="s">
        <v>2019</v>
      </c>
      <c r="C2666" s="4" t="s">
        <v>2030</v>
      </c>
      <c r="D2666" s="4" t="s">
        <v>235</v>
      </c>
      <c r="E2666" s="4" t="s">
        <v>63</v>
      </c>
      <c r="F2666" s="4" t="s">
        <v>63</v>
      </c>
      <c r="G2666" s="4" t="s">
        <v>2182</v>
      </c>
      <c r="H2666" s="4"/>
      <c r="I2666" s="4" t="n">
        <v>1.1489</v>
      </c>
      <c r="J2666" s="4" t="str">
        <f aca="false">TRIM(E2666) &amp; TRIM(C2666) &amp; TRIM(D2666)</f>
        <v>First ReviewCreator Gen Video SafetyJP</v>
      </c>
      <c r="K2666" s="4" t="n">
        <f aca="false">IFERROR(I2666*60,"")</f>
        <v>68.934</v>
      </c>
    </row>
    <row r="2667" customFormat="false" ht="15" hidden="false" customHeight="false" outlineLevel="0" collapsed="false">
      <c r="A2667" s="4" t="s">
        <v>15</v>
      </c>
      <c r="B2667" s="4" t="s">
        <v>2019</v>
      </c>
      <c r="C2667" s="4" t="s">
        <v>2022</v>
      </c>
      <c r="D2667" s="4" t="s">
        <v>203</v>
      </c>
      <c r="E2667" s="4" t="s">
        <v>63</v>
      </c>
      <c r="F2667" s="4" t="s">
        <v>63</v>
      </c>
      <c r="G2667" s="4" t="s">
        <v>2183</v>
      </c>
      <c r="H2667" s="4"/>
      <c r="I2667" s="4" t="n">
        <v>0.1789</v>
      </c>
      <c r="J2667" s="4" t="str">
        <f aca="false">TRIM(E2667) &amp; TRIM(C2667) &amp; TRIM(D2667)</f>
        <v>First ReviewCreator Gen Text Tiktok RequirementCA</v>
      </c>
      <c r="K2667" s="4" t="n">
        <f aca="false">IFERROR(I2667*60,"")</f>
        <v>10.734</v>
      </c>
    </row>
    <row r="2668" customFormat="false" ht="15" hidden="false" customHeight="false" outlineLevel="0" collapsed="false">
      <c r="A2668" s="4" t="s">
        <v>15</v>
      </c>
      <c r="B2668" s="4" t="s">
        <v>2019</v>
      </c>
      <c r="C2668" s="4" t="s">
        <v>2034</v>
      </c>
      <c r="D2668" s="4" t="s">
        <v>190</v>
      </c>
      <c r="E2668" s="4" t="s">
        <v>63</v>
      </c>
      <c r="F2668" s="4" t="s">
        <v>63</v>
      </c>
      <c r="G2668" s="4" t="s">
        <v>2184</v>
      </c>
      <c r="H2668" s="4"/>
      <c r="I2668" s="4" t="n">
        <v>0.0348</v>
      </c>
      <c r="J2668" s="4" t="str">
        <f aca="false">TRIM(E2668) &amp; TRIM(C2668) &amp; TRIM(D2668)</f>
        <v>First ReviewCreator Gen Image EP RequirementPH</v>
      </c>
      <c r="K2668" s="4" t="n">
        <f aca="false">IFERROR(I2668*60,"")</f>
        <v>2.088</v>
      </c>
    </row>
    <row r="2669" customFormat="false" ht="15" hidden="false" customHeight="false" outlineLevel="0" collapsed="false">
      <c r="A2669" s="4" t="s">
        <v>15</v>
      </c>
      <c r="B2669" s="4" t="s">
        <v>2019</v>
      </c>
      <c r="C2669" s="4" t="s">
        <v>2030</v>
      </c>
      <c r="D2669" s="4" t="s">
        <v>208</v>
      </c>
      <c r="E2669" s="4" t="s">
        <v>63</v>
      </c>
      <c r="F2669" s="4" t="s">
        <v>63</v>
      </c>
      <c r="G2669" s="4" t="s">
        <v>2185</v>
      </c>
      <c r="H2669" s="4"/>
      <c r="I2669" s="4" t="n">
        <v>0.5956</v>
      </c>
      <c r="J2669" s="4" t="str">
        <f aca="false">TRIM(E2669) &amp; TRIM(C2669) &amp; TRIM(D2669)</f>
        <v>First ReviewCreator Gen Video SafetyCO</v>
      </c>
      <c r="K2669" s="4" t="n">
        <f aca="false">IFERROR(I2669*60,"")</f>
        <v>35.736</v>
      </c>
    </row>
    <row r="2670" customFormat="false" ht="15" hidden="false" customHeight="false" outlineLevel="0" collapsed="false">
      <c r="A2670" s="4" t="s">
        <v>15</v>
      </c>
      <c r="B2670" s="4" t="s">
        <v>2019</v>
      </c>
      <c r="C2670" s="4" t="s">
        <v>2030</v>
      </c>
      <c r="D2670" s="4" t="s">
        <v>70</v>
      </c>
      <c r="E2670" s="4" t="s">
        <v>63</v>
      </c>
      <c r="F2670" s="4" t="s">
        <v>63</v>
      </c>
      <c r="G2670" s="4" t="s">
        <v>2186</v>
      </c>
      <c r="H2670" s="4"/>
      <c r="I2670" s="4" t="n">
        <v>0.0617</v>
      </c>
      <c r="J2670" s="4" t="str">
        <f aca="false">TRIM(E2670) &amp; TRIM(C2670) &amp; TRIM(D2670)</f>
        <v>First ReviewCreator Gen Video SafetyBE</v>
      </c>
      <c r="K2670" s="4" t="n">
        <f aca="false">IFERROR(I2670*60,"")</f>
        <v>3.702</v>
      </c>
    </row>
    <row r="2671" customFormat="false" ht="15" hidden="false" customHeight="false" outlineLevel="0" collapsed="false">
      <c r="A2671" s="4" t="s">
        <v>15</v>
      </c>
      <c r="B2671" s="4" t="s">
        <v>2019</v>
      </c>
      <c r="C2671" s="4" t="s">
        <v>2030</v>
      </c>
      <c r="D2671" s="4" t="s">
        <v>79</v>
      </c>
      <c r="E2671" s="4" t="s">
        <v>63</v>
      </c>
      <c r="F2671" s="4" t="s">
        <v>63</v>
      </c>
      <c r="G2671" s="4" t="s">
        <v>2187</v>
      </c>
      <c r="H2671" s="4"/>
      <c r="I2671" s="4" t="n">
        <v>1.1098</v>
      </c>
      <c r="J2671" s="4" t="str">
        <f aca="false">TRIM(E2671) &amp; TRIM(C2671) &amp; TRIM(D2671)</f>
        <v>First ReviewCreator Gen Video SafetyZA</v>
      </c>
      <c r="K2671" s="4" t="n">
        <f aca="false">IFERROR(I2671*60,"")</f>
        <v>66.588</v>
      </c>
    </row>
    <row r="2672" customFormat="false" ht="15" hidden="false" customHeight="false" outlineLevel="0" collapsed="false">
      <c r="A2672" s="4" t="s">
        <v>15</v>
      </c>
      <c r="B2672" s="4" t="s">
        <v>2019</v>
      </c>
      <c r="C2672" s="4" t="s">
        <v>2026</v>
      </c>
      <c r="D2672" s="4" t="s">
        <v>113</v>
      </c>
      <c r="E2672" s="4" t="s">
        <v>63</v>
      </c>
      <c r="F2672" s="4" t="s">
        <v>63</v>
      </c>
      <c r="G2672" s="4" t="s">
        <v>2188</v>
      </c>
      <c r="H2672" s="4"/>
      <c r="I2672" s="4" t="n">
        <v>0.6966</v>
      </c>
      <c r="J2672" s="4" t="str">
        <f aca="false">TRIM(E2672) &amp; TRIM(C2672) &amp; TRIM(D2672)</f>
        <v>First ReviewCreator Gen Video Tiktok RequirementNL</v>
      </c>
      <c r="K2672" s="4" t="n">
        <f aca="false">IFERROR(I2672*60,"")</f>
        <v>41.796</v>
      </c>
    </row>
    <row r="2673" customFormat="false" ht="15" hidden="false" customHeight="false" outlineLevel="0" collapsed="false">
      <c r="A2673" s="4" t="s">
        <v>15</v>
      </c>
      <c r="B2673" s="4" t="s">
        <v>2019</v>
      </c>
      <c r="C2673" s="4" t="s">
        <v>2022</v>
      </c>
      <c r="D2673" s="4" t="s">
        <v>139</v>
      </c>
      <c r="E2673" s="4" t="s">
        <v>63</v>
      </c>
      <c r="F2673" s="4" t="s">
        <v>63</v>
      </c>
      <c r="G2673" s="4" t="s">
        <v>2189</v>
      </c>
      <c r="H2673" s="4"/>
      <c r="I2673" s="4" t="n">
        <v>0.0781</v>
      </c>
      <c r="J2673" s="4" t="str">
        <f aca="false">TRIM(E2673) &amp; TRIM(C2673) &amp; TRIM(D2673)</f>
        <v>First ReviewCreator Gen Text Tiktok RequirementEG</v>
      </c>
      <c r="K2673" s="4" t="n">
        <f aca="false">IFERROR(I2673*60,"")</f>
        <v>4.686</v>
      </c>
    </row>
    <row r="2674" customFormat="false" ht="15" hidden="false" customHeight="false" outlineLevel="0" collapsed="false">
      <c r="A2674" s="4" t="s">
        <v>15</v>
      </c>
      <c r="B2674" s="4" t="s">
        <v>2019</v>
      </c>
      <c r="C2674" s="4" t="s">
        <v>2030</v>
      </c>
      <c r="D2674" s="4" t="s">
        <v>121</v>
      </c>
      <c r="E2674" s="4" t="s">
        <v>63</v>
      </c>
      <c r="F2674" s="4" t="s">
        <v>63</v>
      </c>
      <c r="G2674" s="4" t="s">
        <v>2190</v>
      </c>
      <c r="H2674" s="4"/>
      <c r="I2674" s="4" t="n">
        <v>0.8417</v>
      </c>
      <c r="J2674" s="4" t="str">
        <f aca="false">TRIM(E2674) &amp; TRIM(C2674) &amp; TRIM(D2674)</f>
        <v>First ReviewCreator Gen Video SafetyKR</v>
      </c>
      <c r="K2674" s="4" t="n">
        <f aca="false">IFERROR(I2674*60,"")</f>
        <v>50.502</v>
      </c>
    </row>
    <row r="2675" customFormat="false" ht="15" hidden="false" customHeight="false" outlineLevel="0" collapsed="false">
      <c r="A2675" s="4" t="s">
        <v>15</v>
      </c>
      <c r="B2675" s="4" t="s">
        <v>2019</v>
      </c>
      <c r="C2675" s="4" t="s">
        <v>2028</v>
      </c>
      <c r="D2675" s="4" t="s">
        <v>62</v>
      </c>
      <c r="E2675" s="4" t="s">
        <v>63</v>
      </c>
      <c r="F2675" s="4" t="s">
        <v>63</v>
      </c>
      <c r="G2675" s="4" t="s">
        <v>2191</v>
      </c>
      <c r="H2675" s="4"/>
      <c r="I2675" s="4" t="n">
        <v>0.2439</v>
      </c>
      <c r="J2675" s="4" t="str">
        <f aca="false">TRIM(E2675) &amp; TRIM(C2675) &amp; TRIM(D2675)</f>
        <v>First ReviewCreator Gen Image SafetyCL</v>
      </c>
      <c r="K2675" s="4" t="n">
        <f aca="false">IFERROR(I2675*60,"")</f>
        <v>14.634</v>
      </c>
    </row>
    <row r="2676" customFormat="false" ht="15" hidden="false" customHeight="false" outlineLevel="0" collapsed="false">
      <c r="A2676" s="4" t="s">
        <v>15</v>
      </c>
      <c r="B2676" s="4" t="s">
        <v>2019</v>
      </c>
      <c r="C2676" s="4" t="s">
        <v>2028</v>
      </c>
      <c r="D2676" s="4" t="s">
        <v>157</v>
      </c>
      <c r="E2676" s="4" t="s">
        <v>63</v>
      </c>
      <c r="F2676" s="4" t="s">
        <v>63</v>
      </c>
      <c r="G2676" s="4" t="s">
        <v>2192</v>
      </c>
      <c r="H2676" s="4"/>
      <c r="I2676" s="4" t="n">
        <v>0.0354</v>
      </c>
      <c r="J2676" s="4" t="str">
        <f aca="false">TRIM(E2676) &amp; TRIM(C2676) &amp; TRIM(D2676)</f>
        <v>First ReviewCreator Gen Image SafetySA</v>
      </c>
      <c r="K2676" s="4" t="n">
        <f aca="false">IFERROR(I2676*60,"")</f>
        <v>2.124</v>
      </c>
    </row>
    <row r="2677" customFormat="false" ht="15" hidden="false" customHeight="false" outlineLevel="0" collapsed="false">
      <c r="A2677" s="4" t="s">
        <v>15</v>
      </c>
      <c r="B2677" s="4" t="s">
        <v>2019</v>
      </c>
      <c r="C2677" s="4" t="s">
        <v>2024</v>
      </c>
      <c r="D2677" s="4" t="s">
        <v>113</v>
      </c>
      <c r="E2677" s="4" t="s">
        <v>63</v>
      </c>
      <c r="F2677" s="4" t="s">
        <v>63</v>
      </c>
      <c r="G2677" s="4" t="s">
        <v>2193</v>
      </c>
      <c r="H2677" s="4"/>
      <c r="I2677" s="4" t="n">
        <v>0.4592</v>
      </c>
      <c r="J2677" s="4" t="str">
        <f aca="false">TRIM(E2677) &amp; TRIM(C2677) &amp; TRIM(D2677)</f>
        <v>First ReviewCreator Gen Image Tiktok RequirementNL</v>
      </c>
      <c r="K2677" s="4" t="n">
        <f aca="false">IFERROR(I2677*60,"")</f>
        <v>27.552</v>
      </c>
    </row>
    <row r="2678" customFormat="false" ht="15" hidden="false" customHeight="false" outlineLevel="0" collapsed="false">
      <c r="A2678" s="4" t="s">
        <v>15</v>
      </c>
      <c r="B2678" s="4" t="s">
        <v>2019</v>
      </c>
      <c r="C2678" s="4" t="s">
        <v>2040</v>
      </c>
      <c r="D2678" s="4" t="s">
        <v>106</v>
      </c>
      <c r="E2678" s="4" t="s">
        <v>63</v>
      </c>
      <c r="F2678" s="4" t="s">
        <v>63</v>
      </c>
      <c r="G2678" s="4" t="s">
        <v>2194</v>
      </c>
      <c r="H2678" s="4"/>
      <c r="I2678" s="4" t="n">
        <v>0.1431</v>
      </c>
      <c r="J2678" s="4" t="str">
        <f aca="false">TRIM(E2678) &amp; TRIM(C2678) &amp; TRIM(D2678)</f>
        <v>First ReviewCreator Gen Text SafetyMY</v>
      </c>
      <c r="K2678" s="4" t="n">
        <f aca="false">IFERROR(I2678*60,"")</f>
        <v>8.586</v>
      </c>
    </row>
    <row r="2679" customFormat="false" ht="15" hidden="false" customHeight="false" outlineLevel="0" collapsed="false">
      <c r="A2679" s="4" t="s">
        <v>15</v>
      </c>
      <c r="B2679" s="4" t="s">
        <v>2195</v>
      </c>
      <c r="C2679" s="4" t="s">
        <v>1309</v>
      </c>
      <c r="D2679" s="4"/>
      <c r="E2679" s="4" t="s">
        <v>2196</v>
      </c>
      <c r="F2679" s="4" t="s">
        <v>2196</v>
      </c>
      <c r="G2679" s="4" t="s">
        <v>1335</v>
      </c>
      <c r="H2679" s="4"/>
      <c r="I2679" s="4" t="n">
        <v>1.0641</v>
      </c>
      <c r="J2679" s="4" t="str">
        <f aca="false">TRIM(E2679) &amp; TRIM(C2679) &amp; TRIM(D2679)</f>
        <v>AppealCFC</v>
      </c>
      <c r="K2679" s="4" t="n">
        <f aca="false">IFERROR(I2679*60,"")</f>
        <v>63.846</v>
      </c>
    </row>
    <row r="2680" customFormat="false" ht="15" hidden="false" customHeight="false" outlineLevel="0" collapsed="false">
      <c r="A2680" s="4" t="s">
        <v>15</v>
      </c>
      <c r="B2680" s="4" t="s">
        <v>2195</v>
      </c>
      <c r="C2680" s="4" t="s">
        <v>1309</v>
      </c>
      <c r="D2680" s="4"/>
      <c r="E2680" s="4" t="s">
        <v>2196</v>
      </c>
      <c r="F2680" s="4" t="s">
        <v>2196</v>
      </c>
      <c r="G2680" s="4" t="s">
        <v>1320</v>
      </c>
      <c r="H2680" s="4"/>
      <c r="I2680" s="4" t="n">
        <v>0.3503</v>
      </c>
      <c r="J2680" s="4" t="str">
        <f aca="false">TRIM(E2680) &amp; TRIM(C2680) &amp; TRIM(D2680)</f>
        <v>AppealCFC</v>
      </c>
      <c r="K2680" s="4" t="n">
        <f aca="false">IFERROR(I2680*60,"")</f>
        <v>21.018</v>
      </c>
    </row>
    <row r="2681" customFormat="false" ht="15" hidden="false" customHeight="false" outlineLevel="0" collapsed="false">
      <c r="A2681" s="4" t="s">
        <v>15</v>
      </c>
      <c r="B2681" s="4" t="s">
        <v>56</v>
      </c>
      <c r="C2681" s="4" t="s">
        <v>2197</v>
      </c>
      <c r="D2681" s="4"/>
      <c r="E2681" s="4" t="s">
        <v>63</v>
      </c>
      <c r="F2681" s="4" t="s">
        <v>63</v>
      </c>
      <c r="G2681" s="4" t="s">
        <v>748</v>
      </c>
      <c r="H2681" s="4"/>
      <c r="I2681" s="4" t="n">
        <v>2.2092</v>
      </c>
      <c r="J2681" s="4" t="str">
        <f aca="false">TRIM(E2681) &amp; TRIM(C2681) &amp; TRIM(D2681)</f>
        <v>First Reviewbid_all</v>
      </c>
      <c r="K2681" s="4" t="n">
        <f aca="false">IFERROR(I2681*60,"")</f>
        <v>132.552</v>
      </c>
    </row>
    <row r="2682" customFormat="false" ht="15" hidden="false" customHeight="false" outlineLevel="0" collapsed="false">
      <c r="A2682" s="4" t="s">
        <v>15</v>
      </c>
      <c r="B2682" s="4" t="s">
        <v>1356</v>
      </c>
      <c r="C2682" s="4" t="s">
        <v>1365</v>
      </c>
      <c r="D2682" s="4"/>
      <c r="E2682" s="4" t="s">
        <v>63</v>
      </c>
      <c r="F2682" s="4" t="s">
        <v>63</v>
      </c>
      <c r="G2682" s="4" t="s">
        <v>2198</v>
      </c>
      <c r="H2682" s="4"/>
      <c r="I2682" s="4" t="n">
        <v>0.323</v>
      </c>
      <c r="J2682" s="4" t="str">
        <f aca="false">TRIM(E2682) &amp; TRIM(C2682) &amp; TRIM(D2682)</f>
        <v>First ReviewCreative Hub App Download Anchor</v>
      </c>
      <c r="K2682" s="4" t="n">
        <f aca="false">IFERROR(I2682*60,"")</f>
        <v>19.38</v>
      </c>
    </row>
    <row r="2683" customFormat="false" ht="15" hidden="false" customHeight="false" outlineLevel="0" collapsed="false">
      <c r="A2683" s="4" t="s">
        <v>15</v>
      </c>
      <c r="B2683" s="4" t="s">
        <v>1356</v>
      </c>
      <c r="C2683" s="4" t="s">
        <v>1361</v>
      </c>
      <c r="D2683" s="4"/>
      <c r="E2683" s="4" t="s">
        <v>63</v>
      </c>
      <c r="F2683" s="4" t="s">
        <v>63</v>
      </c>
      <c r="G2683" s="4" t="s">
        <v>2199</v>
      </c>
      <c r="H2683" s="4"/>
      <c r="I2683" s="4" t="n">
        <v>1.7794</v>
      </c>
      <c r="J2683" s="4" t="str">
        <f aca="false">TRIM(E2683) &amp; TRIM(C2683) &amp; TRIM(D2683)</f>
        <v>First ReviewCreative Hub Campaign</v>
      </c>
      <c r="K2683" s="4" t="n">
        <f aca="false">IFERROR(I2683*60,"")</f>
        <v>106.764</v>
      </c>
    </row>
    <row r="2684" customFormat="false" ht="15" hidden="false" customHeight="false" outlineLevel="0" collapsed="false">
      <c r="A2684" s="4" t="s">
        <v>15</v>
      </c>
      <c r="B2684" s="4" t="s">
        <v>1356</v>
      </c>
      <c r="C2684" s="4" t="s">
        <v>1368</v>
      </c>
      <c r="D2684" s="4"/>
      <c r="E2684" s="4" t="s">
        <v>63</v>
      </c>
      <c r="F2684" s="4" t="s">
        <v>63</v>
      </c>
      <c r="G2684" s="4" t="s">
        <v>2200</v>
      </c>
      <c r="H2684" s="4"/>
      <c r="I2684" s="4" t="n">
        <v>1.161</v>
      </c>
      <c r="J2684" s="4" t="str">
        <f aca="false">TRIM(E2684) &amp; TRIM(C2684) &amp; TRIM(D2684)</f>
        <v>First ReviewCreative Hub Community Video</v>
      </c>
      <c r="K2684" s="4" t="n">
        <f aca="false">IFERROR(I2684*60,"")</f>
        <v>69.66</v>
      </c>
    </row>
    <row r="2685" customFormat="false" ht="15" hidden="false" customHeight="false" outlineLevel="0" collapsed="false">
      <c r="A2685" s="4" t="s">
        <v>15</v>
      </c>
      <c r="B2685" s="4" t="s">
        <v>1356</v>
      </c>
      <c r="C2685" s="4" t="s">
        <v>1368</v>
      </c>
      <c r="D2685" s="4"/>
      <c r="E2685" s="4" t="s">
        <v>63</v>
      </c>
      <c r="F2685" s="4" t="s">
        <v>63</v>
      </c>
      <c r="G2685" s="4" t="s">
        <v>2201</v>
      </c>
      <c r="H2685" s="4"/>
      <c r="I2685" s="4" t="n">
        <v>0.8934</v>
      </c>
      <c r="J2685" s="4" t="str">
        <f aca="false">TRIM(E2685) &amp; TRIM(C2685) &amp; TRIM(D2685)</f>
        <v>First ReviewCreative Hub Community Video</v>
      </c>
      <c r="K2685" s="4" t="n">
        <f aca="false">IFERROR(I2685*60,"")</f>
        <v>53.604</v>
      </c>
    </row>
    <row r="2686" customFormat="false" ht="15" hidden="false" customHeight="false" outlineLevel="0" collapsed="false">
      <c r="A2686" s="4" t="s">
        <v>15</v>
      </c>
      <c r="B2686" s="4" t="s">
        <v>1356</v>
      </c>
      <c r="C2686" s="4" t="s">
        <v>1357</v>
      </c>
      <c r="D2686" s="4"/>
      <c r="E2686" s="4" t="s">
        <v>63</v>
      </c>
      <c r="F2686" s="4" t="s">
        <v>63</v>
      </c>
      <c r="G2686" s="4" t="s">
        <v>2202</v>
      </c>
      <c r="H2686" s="4"/>
      <c r="I2686" s="4" t="n">
        <v>0.7449</v>
      </c>
      <c r="J2686" s="4" t="str">
        <f aca="false">TRIM(E2686) &amp; TRIM(C2686) &amp; TRIM(D2686)</f>
        <v>First ReviewCreative Hub Video Safety</v>
      </c>
      <c r="K2686" s="4" t="n">
        <f aca="false">IFERROR(I2686*60,"")</f>
        <v>44.694</v>
      </c>
    </row>
    <row r="2687" customFormat="false" ht="15" hidden="false" customHeight="false" outlineLevel="0" collapsed="false">
      <c r="A2687" s="4" t="s">
        <v>15</v>
      </c>
      <c r="B2687" s="4" t="s">
        <v>1356</v>
      </c>
      <c r="C2687" s="4" t="s">
        <v>1357</v>
      </c>
      <c r="D2687" s="4"/>
      <c r="E2687" s="4" t="s">
        <v>63</v>
      </c>
      <c r="F2687" s="4" t="s">
        <v>63</v>
      </c>
      <c r="G2687" s="4" t="s">
        <v>2203</v>
      </c>
      <c r="H2687" s="4"/>
      <c r="I2687" s="4" t="n">
        <v>0.8181</v>
      </c>
      <c r="J2687" s="4" t="str">
        <f aca="false">TRIM(E2687) &amp; TRIM(C2687) &amp; TRIM(D2687)</f>
        <v>First ReviewCreative Hub Video Safety</v>
      </c>
      <c r="K2687" s="4" t="n">
        <f aca="false">IFERROR(I2687*60,"")</f>
        <v>49.086</v>
      </c>
    </row>
    <row r="2688" customFormat="false" ht="15" hidden="false" customHeight="false" outlineLevel="0" collapsed="false">
      <c r="A2688" s="4" t="s">
        <v>15</v>
      </c>
      <c r="B2688" s="4" t="s">
        <v>2195</v>
      </c>
      <c r="C2688" s="4" t="s">
        <v>973</v>
      </c>
      <c r="D2688" s="4"/>
      <c r="E2688" s="4" t="s">
        <v>63</v>
      </c>
      <c r="F2688" s="4" t="s">
        <v>63</v>
      </c>
      <c r="G2688" s="4" t="s">
        <v>2204</v>
      </c>
      <c r="H2688" s="4"/>
      <c r="I2688" s="4" t="n">
        <v>10.499</v>
      </c>
      <c r="J2688" s="4" t="str">
        <f aca="false">TRIM(E2688) &amp; TRIM(C2688) &amp; TRIM(D2688)</f>
        <v>First ReviewFeature Ads</v>
      </c>
      <c r="K2688" s="4" t="n">
        <f aca="false">IFERROR(I2688*60,"")</f>
        <v>629.94</v>
      </c>
    </row>
    <row r="2689" customFormat="false" ht="15" hidden="false" customHeight="false" outlineLevel="0" collapsed="false">
      <c r="A2689" s="4" t="s">
        <v>15</v>
      </c>
      <c r="B2689" s="4" t="s">
        <v>2195</v>
      </c>
      <c r="C2689" s="4" t="s">
        <v>973</v>
      </c>
      <c r="D2689" s="4"/>
      <c r="E2689" s="4" t="s">
        <v>63</v>
      </c>
      <c r="F2689" s="4" t="s">
        <v>63</v>
      </c>
      <c r="G2689" s="4" t="s">
        <v>2205</v>
      </c>
      <c r="H2689" s="4"/>
      <c r="I2689" s="4" t="n">
        <v>9.0178</v>
      </c>
      <c r="J2689" s="4" t="str">
        <f aca="false">TRIM(E2689) &amp; TRIM(C2689) &amp; TRIM(D2689)</f>
        <v>First ReviewFeature Ads</v>
      </c>
      <c r="K2689" s="4" t="n">
        <f aca="false">IFERROR(I2689*60,"")</f>
        <v>541.068</v>
      </c>
    </row>
    <row r="2690" customFormat="false" ht="15" hidden="false" customHeight="false" outlineLevel="0" collapsed="false">
      <c r="A2690" s="4" t="s">
        <v>15</v>
      </c>
      <c r="B2690" s="4" t="s">
        <v>2195</v>
      </c>
      <c r="C2690" s="4" t="s">
        <v>973</v>
      </c>
      <c r="D2690" s="4"/>
      <c r="E2690" s="4" t="s">
        <v>63</v>
      </c>
      <c r="F2690" s="4" t="s">
        <v>63</v>
      </c>
      <c r="G2690" s="4" t="s">
        <v>2206</v>
      </c>
      <c r="H2690" s="4"/>
      <c r="I2690" s="4" t="n">
        <v>3.1283</v>
      </c>
      <c r="J2690" s="4" t="str">
        <f aca="false">TRIM(E2690) &amp; TRIM(C2690) &amp; TRIM(D2690)</f>
        <v>First ReviewFeature Ads</v>
      </c>
      <c r="K2690" s="4" t="n">
        <f aca="false">IFERROR(I2690*60,"")</f>
        <v>187.698</v>
      </c>
    </row>
    <row r="2691" customFormat="false" ht="15" hidden="false" customHeight="false" outlineLevel="0" collapsed="false">
      <c r="A2691" s="4" t="s">
        <v>15</v>
      </c>
      <c r="B2691" s="4" t="s">
        <v>2195</v>
      </c>
      <c r="C2691" s="4" t="s">
        <v>973</v>
      </c>
      <c r="D2691" s="4"/>
      <c r="E2691" s="4" t="s">
        <v>63</v>
      </c>
      <c r="F2691" s="4" t="s">
        <v>63</v>
      </c>
      <c r="G2691" s="4" t="s">
        <v>2207</v>
      </c>
      <c r="H2691" s="4"/>
      <c r="I2691" s="4" t="n">
        <v>3.2036</v>
      </c>
      <c r="J2691" s="4" t="str">
        <f aca="false">TRIM(E2691) &amp; TRIM(C2691) &amp; TRIM(D2691)</f>
        <v>First ReviewFeature Ads</v>
      </c>
      <c r="K2691" s="4" t="n">
        <f aca="false">IFERROR(I2691*60,"")</f>
        <v>192.216</v>
      </c>
    </row>
    <row r="2692" customFormat="false" ht="15" hidden="false" customHeight="false" outlineLevel="0" collapsed="false">
      <c r="A2692" s="4" t="s">
        <v>15</v>
      </c>
      <c r="B2692" s="4" t="s">
        <v>2195</v>
      </c>
      <c r="C2692" s="4" t="s">
        <v>973</v>
      </c>
      <c r="D2692" s="4"/>
      <c r="E2692" s="4" t="s">
        <v>63</v>
      </c>
      <c r="F2692" s="4" t="s">
        <v>63</v>
      </c>
      <c r="G2692" s="4" t="s">
        <v>2208</v>
      </c>
      <c r="H2692" s="4"/>
      <c r="I2692" s="4" t="n">
        <v>7.2483</v>
      </c>
      <c r="J2692" s="4" t="str">
        <f aca="false">TRIM(E2692) &amp; TRIM(C2692) &amp; TRIM(D2692)</f>
        <v>First ReviewFeature Ads</v>
      </c>
      <c r="K2692" s="4" t="n">
        <f aca="false">IFERROR(I2692*60,"")</f>
        <v>434.898</v>
      </c>
    </row>
    <row r="2693" customFormat="false" ht="15" hidden="false" customHeight="false" outlineLevel="0" collapsed="false">
      <c r="A2693" s="4" t="s">
        <v>15</v>
      </c>
      <c r="B2693" s="4" t="s">
        <v>2195</v>
      </c>
      <c r="C2693" s="4" t="s">
        <v>973</v>
      </c>
      <c r="D2693" s="4"/>
      <c r="E2693" s="4" t="s">
        <v>63</v>
      </c>
      <c r="F2693" s="4" t="s">
        <v>63</v>
      </c>
      <c r="G2693" s="4" t="s">
        <v>2209</v>
      </c>
      <c r="H2693" s="4"/>
      <c r="I2693" s="4" t="n">
        <v>2.9803</v>
      </c>
      <c r="J2693" s="4" t="str">
        <f aca="false">TRIM(E2693) &amp; TRIM(C2693) &amp; TRIM(D2693)</f>
        <v>First ReviewFeature Ads</v>
      </c>
      <c r="K2693" s="4" t="n">
        <f aca="false">IFERROR(I2693*60,"")</f>
        <v>178.818</v>
      </c>
    </row>
    <row r="2694" customFormat="false" ht="15" hidden="false" customHeight="false" outlineLevel="0" collapsed="false">
      <c r="A2694" s="4" t="s">
        <v>15</v>
      </c>
      <c r="B2694" s="4" t="s">
        <v>2195</v>
      </c>
      <c r="C2694" s="4" t="s">
        <v>973</v>
      </c>
      <c r="D2694" s="4"/>
      <c r="E2694" s="4" t="s">
        <v>63</v>
      </c>
      <c r="F2694" s="4" t="s">
        <v>63</v>
      </c>
      <c r="G2694" s="4" t="s">
        <v>2210</v>
      </c>
      <c r="H2694" s="4"/>
      <c r="I2694" s="4" t="n">
        <v>3.4017</v>
      </c>
      <c r="J2694" s="4" t="str">
        <f aca="false">TRIM(E2694) &amp; TRIM(C2694) &amp; TRIM(D2694)</f>
        <v>First ReviewFeature Ads</v>
      </c>
      <c r="K2694" s="4" t="n">
        <f aca="false">IFERROR(I2694*60,"")</f>
        <v>204.102</v>
      </c>
    </row>
    <row r="2695" customFormat="false" ht="15" hidden="false" customHeight="false" outlineLevel="0" collapsed="false">
      <c r="A2695" s="4" t="s">
        <v>15</v>
      </c>
      <c r="B2695" s="4" t="s">
        <v>2195</v>
      </c>
      <c r="C2695" s="4" t="s">
        <v>973</v>
      </c>
      <c r="D2695" s="4"/>
      <c r="E2695" s="4" t="s">
        <v>63</v>
      </c>
      <c r="F2695" s="4" t="s">
        <v>63</v>
      </c>
      <c r="G2695" s="4" t="s">
        <v>2211</v>
      </c>
      <c r="H2695" s="4"/>
      <c r="I2695" s="4" t="n">
        <v>3.9652</v>
      </c>
      <c r="J2695" s="4" t="str">
        <f aca="false">TRIM(E2695) &amp; TRIM(C2695) &amp; TRIM(D2695)</f>
        <v>First ReviewFeature Ads</v>
      </c>
      <c r="K2695" s="4" t="n">
        <f aca="false">IFERROR(I2695*60,"")</f>
        <v>237.912</v>
      </c>
    </row>
    <row r="2696" customFormat="false" ht="15" hidden="false" customHeight="false" outlineLevel="0" collapsed="false">
      <c r="A2696" s="4" t="s">
        <v>15</v>
      </c>
      <c r="B2696" s="4" t="s">
        <v>2195</v>
      </c>
      <c r="C2696" s="4" t="s">
        <v>973</v>
      </c>
      <c r="D2696" s="4"/>
      <c r="E2696" s="4" t="s">
        <v>63</v>
      </c>
      <c r="F2696" s="4" t="s">
        <v>63</v>
      </c>
      <c r="G2696" s="4" t="s">
        <v>2212</v>
      </c>
      <c r="H2696" s="4"/>
      <c r="I2696" s="4" t="n">
        <v>1.0369</v>
      </c>
      <c r="J2696" s="4" t="str">
        <f aca="false">TRIM(E2696) &amp; TRIM(C2696) &amp; TRIM(D2696)</f>
        <v>First ReviewFeature Ads</v>
      </c>
      <c r="K2696" s="4" t="n">
        <f aca="false">IFERROR(I2696*60,"")</f>
        <v>62.214</v>
      </c>
    </row>
    <row r="2697" customFormat="false" ht="15" hidden="false" customHeight="false" outlineLevel="0" collapsed="false">
      <c r="A2697" s="4" t="s">
        <v>15</v>
      </c>
      <c r="B2697" s="4" t="s">
        <v>2195</v>
      </c>
      <c r="C2697" s="4" t="s">
        <v>973</v>
      </c>
      <c r="D2697" s="4"/>
      <c r="E2697" s="4" t="s">
        <v>63</v>
      </c>
      <c r="F2697" s="4" t="s">
        <v>63</v>
      </c>
      <c r="G2697" s="4" t="s">
        <v>2213</v>
      </c>
      <c r="H2697" s="4"/>
      <c r="I2697" s="4" t="n">
        <v>8.6574</v>
      </c>
      <c r="J2697" s="4" t="str">
        <f aca="false">TRIM(E2697) &amp; TRIM(C2697) &amp; TRIM(D2697)</f>
        <v>First ReviewFeature Ads</v>
      </c>
      <c r="K2697" s="4" t="n">
        <f aca="false">IFERROR(I2697*60,"")</f>
        <v>519.444</v>
      </c>
    </row>
    <row r="2698" customFormat="false" ht="15" hidden="false" customHeight="false" outlineLevel="0" collapsed="false">
      <c r="A2698" s="4" t="s">
        <v>15</v>
      </c>
      <c r="B2698" s="4" t="s">
        <v>2195</v>
      </c>
      <c r="C2698" s="4" t="s">
        <v>973</v>
      </c>
      <c r="D2698" s="4"/>
      <c r="E2698" s="4" t="s">
        <v>63</v>
      </c>
      <c r="F2698" s="4" t="s">
        <v>63</v>
      </c>
      <c r="G2698" s="4" t="s">
        <v>2214</v>
      </c>
      <c r="H2698" s="4"/>
      <c r="I2698" s="4" t="n">
        <v>6.4567</v>
      </c>
      <c r="J2698" s="4" t="str">
        <f aca="false">TRIM(E2698) &amp; TRIM(C2698) &amp; TRIM(D2698)</f>
        <v>First ReviewFeature Ads</v>
      </c>
      <c r="K2698" s="4" t="n">
        <f aca="false">IFERROR(I2698*60,"")</f>
        <v>387.402</v>
      </c>
    </row>
    <row r="2699" customFormat="false" ht="15" hidden="false" customHeight="false" outlineLevel="0" collapsed="false">
      <c r="A2699" s="4" t="s">
        <v>15</v>
      </c>
      <c r="B2699" s="4" t="s">
        <v>2195</v>
      </c>
      <c r="C2699" s="4" t="s">
        <v>973</v>
      </c>
      <c r="D2699" s="4"/>
      <c r="E2699" s="4" t="s">
        <v>63</v>
      </c>
      <c r="F2699" s="4" t="s">
        <v>63</v>
      </c>
      <c r="G2699" s="4" t="s">
        <v>2215</v>
      </c>
      <c r="H2699" s="4"/>
      <c r="I2699" s="4" t="n">
        <v>9.5305</v>
      </c>
      <c r="J2699" s="4" t="str">
        <f aca="false">TRIM(E2699) &amp; TRIM(C2699) &amp; TRIM(D2699)</f>
        <v>First ReviewFeature Ads</v>
      </c>
      <c r="K2699" s="4" t="n">
        <f aca="false">IFERROR(I2699*60,"")</f>
        <v>571.83</v>
      </c>
    </row>
    <row r="2700" customFormat="false" ht="15" hidden="false" customHeight="false" outlineLevel="0" collapsed="false">
      <c r="A2700" s="4" t="s">
        <v>15</v>
      </c>
      <c r="B2700" s="4" t="s">
        <v>2195</v>
      </c>
      <c r="C2700" s="4" t="s">
        <v>973</v>
      </c>
      <c r="D2700" s="4"/>
      <c r="E2700" s="4" t="s">
        <v>63</v>
      </c>
      <c r="F2700" s="4" t="s">
        <v>63</v>
      </c>
      <c r="G2700" s="4" t="s">
        <v>2216</v>
      </c>
      <c r="H2700" s="4"/>
      <c r="I2700" s="4" t="n">
        <v>7.2948</v>
      </c>
      <c r="J2700" s="4" t="str">
        <f aca="false">TRIM(E2700) &amp; TRIM(C2700) &amp; TRIM(D2700)</f>
        <v>First ReviewFeature Ads</v>
      </c>
      <c r="K2700" s="4" t="n">
        <f aca="false">IFERROR(I2700*60,"")</f>
        <v>437.688</v>
      </c>
    </row>
    <row r="2701" customFormat="false" ht="15" hidden="false" customHeight="false" outlineLevel="0" collapsed="false">
      <c r="A2701" s="4" t="s">
        <v>15</v>
      </c>
      <c r="B2701" s="4" t="s">
        <v>2195</v>
      </c>
      <c r="C2701" s="4" t="s">
        <v>2217</v>
      </c>
      <c r="D2701" s="4"/>
      <c r="E2701" s="4" t="s">
        <v>63</v>
      </c>
      <c r="F2701" s="4" t="s">
        <v>63</v>
      </c>
      <c r="G2701" s="4" t="s">
        <v>2218</v>
      </c>
      <c r="H2701" s="4"/>
      <c r="I2701" s="4" t="n">
        <v>2.5467</v>
      </c>
      <c r="J2701" s="4" t="str">
        <f aca="false">TRIM(E2701) &amp; TRIM(C2701) &amp; TRIM(D2701)</f>
        <v>First Reviewfx_studio</v>
      </c>
      <c r="K2701" s="4" t="n">
        <f aca="false">IFERROR(I2701*60,"")</f>
        <v>152.802</v>
      </c>
    </row>
    <row r="2702" customFormat="false" ht="15" hidden="false" customHeight="false" outlineLevel="0" collapsed="false">
      <c r="A2702" s="4" t="s">
        <v>15</v>
      </c>
      <c r="B2702" s="4" t="s">
        <v>2195</v>
      </c>
      <c r="C2702" s="4" t="s">
        <v>2217</v>
      </c>
      <c r="D2702" s="4"/>
      <c r="E2702" s="4" t="s">
        <v>63</v>
      </c>
      <c r="F2702" s="4" t="s">
        <v>63</v>
      </c>
      <c r="G2702" s="4" t="s">
        <v>2219</v>
      </c>
      <c r="H2702" s="4"/>
      <c r="I2702" s="4" t="n">
        <v>15.5803</v>
      </c>
      <c r="J2702" s="4" t="str">
        <f aca="false">TRIM(E2702) &amp; TRIM(C2702) &amp; TRIM(D2702)</f>
        <v>First Reviewfx_studio</v>
      </c>
      <c r="K2702" s="4" t="n">
        <f aca="false">IFERROR(I2702*60,"")</f>
        <v>934.818</v>
      </c>
    </row>
    <row r="2703" customFormat="false" ht="15" hidden="false" customHeight="false" outlineLevel="0" collapsed="false">
      <c r="A2703" s="4" t="s">
        <v>15</v>
      </c>
      <c r="B2703" s="4" t="s">
        <v>2195</v>
      </c>
      <c r="C2703" s="4" t="s">
        <v>2217</v>
      </c>
      <c r="D2703" s="4"/>
      <c r="E2703" s="4" t="s">
        <v>63</v>
      </c>
      <c r="F2703" s="4" t="s">
        <v>63</v>
      </c>
      <c r="G2703" s="4" t="s">
        <v>2220</v>
      </c>
      <c r="H2703" s="4"/>
      <c r="I2703" s="4" t="n">
        <v>13.5813</v>
      </c>
      <c r="J2703" s="4" t="str">
        <f aca="false">TRIM(E2703) &amp; TRIM(C2703) &amp; TRIM(D2703)</f>
        <v>First Reviewfx_studio</v>
      </c>
      <c r="K2703" s="4" t="n">
        <f aca="false">IFERROR(I2703*60,"")</f>
        <v>814.878</v>
      </c>
    </row>
    <row r="2704" customFormat="false" ht="15" hidden="false" customHeight="false" outlineLevel="0" collapsed="false">
      <c r="A2704" s="4" t="s">
        <v>15</v>
      </c>
      <c r="B2704" s="4" t="s">
        <v>2195</v>
      </c>
      <c r="C2704" s="4" t="s">
        <v>2217</v>
      </c>
      <c r="D2704" s="4"/>
      <c r="E2704" s="4" t="s">
        <v>63</v>
      </c>
      <c r="F2704" s="4" t="s">
        <v>63</v>
      </c>
      <c r="G2704" s="4" t="s">
        <v>2221</v>
      </c>
      <c r="H2704" s="4"/>
      <c r="I2704" s="4" t="n">
        <v>1.9277</v>
      </c>
      <c r="J2704" s="4" t="str">
        <f aca="false">TRIM(E2704) &amp; TRIM(C2704) &amp; TRIM(D2704)</f>
        <v>First Reviewfx_studio</v>
      </c>
      <c r="K2704" s="4" t="n">
        <f aca="false">IFERROR(I2704*60,"")</f>
        <v>115.662</v>
      </c>
    </row>
    <row r="2705" customFormat="false" ht="15" hidden="false" customHeight="false" outlineLevel="0" collapsed="false">
      <c r="A2705" s="4" t="s">
        <v>15</v>
      </c>
      <c r="B2705" s="4" t="s">
        <v>2195</v>
      </c>
      <c r="C2705" s="4" t="s">
        <v>2217</v>
      </c>
      <c r="D2705" s="4"/>
      <c r="E2705" s="4" t="s">
        <v>63</v>
      </c>
      <c r="F2705" s="4" t="s">
        <v>63</v>
      </c>
      <c r="G2705" s="4" t="s">
        <v>2222</v>
      </c>
      <c r="H2705" s="4"/>
      <c r="I2705" s="4" t="n">
        <v>12.3028</v>
      </c>
      <c r="J2705" s="4" t="str">
        <f aca="false">TRIM(E2705) &amp; TRIM(C2705) &amp; TRIM(D2705)</f>
        <v>First Reviewfx_studio</v>
      </c>
      <c r="K2705" s="4" t="n">
        <f aca="false">IFERROR(I2705*60,"")</f>
        <v>738.168</v>
      </c>
    </row>
    <row r="2706" customFormat="false" ht="15" hidden="false" customHeight="false" outlineLevel="0" collapsed="false">
      <c r="A2706" s="4" t="s">
        <v>15</v>
      </c>
      <c r="B2706" s="4" t="s">
        <v>2195</v>
      </c>
      <c r="C2706" s="4" t="s">
        <v>2217</v>
      </c>
      <c r="D2706" s="4"/>
      <c r="E2706" s="4" t="s">
        <v>63</v>
      </c>
      <c r="F2706" s="4" t="s">
        <v>63</v>
      </c>
      <c r="G2706" s="4" t="s">
        <v>2223</v>
      </c>
      <c r="H2706" s="4"/>
      <c r="I2706" s="4" t="n">
        <v>2.3348</v>
      </c>
      <c r="J2706" s="4" t="str">
        <f aca="false">TRIM(E2706) &amp; TRIM(C2706) &amp; TRIM(D2706)</f>
        <v>First Reviewfx_studio</v>
      </c>
      <c r="K2706" s="4" t="n">
        <f aca="false">IFERROR(I2706*60,"")</f>
        <v>140.088</v>
      </c>
    </row>
    <row r="2707" customFormat="false" ht="15" hidden="false" customHeight="false" outlineLevel="0" collapsed="false">
      <c r="A2707" s="4" t="s">
        <v>15</v>
      </c>
      <c r="B2707" s="4" t="s">
        <v>2195</v>
      </c>
      <c r="C2707" s="4" t="s">
        <v>2217</v>
      </c>
      <c r="D2707" s="4"/>
      <c r="E2707" s="4" t="s">
        <v>63</v>
      </c>
      <c r="F2707" s="4" t="s">
        <v>63</v>
      </c>
      <c r="G2707" s="4" t="s">
        <v>2224</v>
      </c>
      <c r="H2707" s="4"/>
      <c r="I2707" s="4" t="n">
        <v>1.969</v>
      </c>
      <c r="J2707" s="4" t="str">
        <f aca="false">TRIM(E2707) &amp; TRIM(C2707) &amp; TRIM(D2707)</f>
        <v>First Reviewfx_studio</v>
      </c>
      <c r="K2707" s="4" t="n">
        <f aca="false">IFERROR(I2707*60,"")</f>
        <v>118.14</v>
      </c>
    </row>
    <row r="2708" customFormat="false" ht="15" hidden="false" customHeight="false" outlineLevel="0" collapsed="false">
      <c r="A2708" s="4" t="s">
        <v>15</v>
      </c>
      <c r="B2708" s="4" t="s">
        <v>2195</v>
      </c>
      <c r="C2708" s="4" t="s">
        <v>2217</v>
      </c>
      <c r="D2708" s="4"/>
      <c r="E2708" s="4" t="s">
        <v>63</v>
      </c>
      <c r="F2708" s="4" t="s">
        <v>63</v>
      </c>
      <c r="G2708" s="4" t="s">
        <v>2225</v>
      </c>
      <c r="H2708" s="4"/>
      <c r="I2708" s="4" t="n">
        <v>0.9598</v>
      </c>
      <c r="J2708" s="4" t="str">
        <f aca="false">TRIM(E2708) &amp; TRIM(C2708) &amp; TRIM(D2708)</f>
        <v>First Reviewfx_studio</v>
      </c>
      <c r="K2708" s="4" t="n">
        <f aca="false">IFERROR(I2708*60,"")</f>
        <v>57.588</v>
      </c>
    </row>
    <row r="2709" customFormat="false" ht="15" hidden="false" customHeight="false" outlineLevel="0" collapsed="false">
      <c r="A2709" s="4" t="s">
        <v>15</v>
      </c>
      <c r="B2709" s="4" t="s">
        <v>2195</v>
      </c>
      <c r="C2709" s="4" t="s">
        <v>2217</v>
      </c>
      <c r="D2709" s="4"/>
      <c r="E2709" s="4" t="s">
        <v>63</v>
      </c>
      <c r="F2709" s="4" t="s">
        <v>63</v>
      </c>
      <c r="G2709" s="4" t="s">
        <v>2226</v>
      </c>
      <c r="H2709" s="4"/>
      <c r="I2709" s="4" t="n">
        <v>1.1007</v>
      </c>
      <c r="J2709" s="4" t="str">
        <f aca="false">TRIM(E2709) &amp; TRIM(C2709) &amp; TRIM(D2709)</f>
        <v>First Reviewfx_studio</v>
      </c>
      <c r="K2709" s="4" t="n">
        <f aca="false">IFERROR(I2709*60,"")</f>
        <v>66.042</v>
      </c>
    </row>
    <row r="2710" customFormat="false" ht="15" hidden="false" customHeight="false" outlineLevel="0" collapsed="false">
      <c r="A2710" s="4" t="s">
        <v>15</v>
      </c>
      <c r="B2710" s="4" t="s">
        <v>2195</v>
      </c>
      <c r="C2710" s="4" t="s">
        <v>2217</v>
      </c>
      <c r="D2710" s="4"/>
      <c r="E2710" s="4" t="s">
        <v>63</v>
      </c>
      <c r="F2710" s="4" t="s">
        <v>63</v>
      </c>
      <c r="G2710" s="4" t="s">
        <v>2227</v>
      </c>
      <c r="H2710" s="4"/>
      <c r="I2710" s="4" t="n">
        <v>5.998</v>
      </c>
      <c r="J2710" s="4" t="str">
        <f aca="false">TRIM(E2710) &amp; TRIM(C2710) &amp; TRIM(D2710)</f>
        <v>First Reviewfx_studio</v>
      </c>
      <c r="K2710" s="4" t="n">
        <f aca="false">IFERROR(I2710*60,"")</f>
        <v>359.88</v>
      </c>
    </row>
    <row r="2711" customFormat="false" ht="15" hidden="false" customHeight="false" outlineLevel="0" collapsed="false">
      <c r="A2711" s="4" t="s">
        <v>15</v>
      </c>
      <c r="B2711" s="4" t="s">
        <v>2195</v>
      </c>
      <c r="C2711" s="4" t="s">
        <v>2217</v>
      </c>
      <c r="D2711" s="4"/>
      <c r="E2711" s="4" t="s">
        <v>63</v>
      </c>
      <c r="F2711" s="4" t="s">
        <v>63</v>
      </c>
      <c r="G2711" s="4" t="s">
        <v>2228</v>
      </c>
      <c r="H2711" s="4"/>
      <c r="I2711" s="4" t="n">
        <v>8.338</v>
      </c>
      <c r="J2711" s="4" t="str">
        <f aca="false">TRIM(E2711) &amp; TRIM(C2711) &amp; TRIM(D2711)</f>
        <v>First Reviewfx_studio</v>
      </c>
      <c r="K2711" s="4" t="n">
        <f aca="false">IFERROR(I2711*60,"")</f>
        <v>500.28</v>
      </c>
    </row>
    <row r="2712" customFormat="false" ht="15" hidden="false" customHeight="false" outlineLevel="0" collapsed="false">
      <c r="A2712" s="4" t="s">
        <v>15</v>
      </c>
      <c r="B2712" s="4" t="s">
        <v>2195</v>
      </c>
      <c r="C2712" s="4" t="s">
        <v>2217</v>
      </c>
      <c r="D2712" s="4"/>
      <c r="E2712" s="4" t="s">
        <v>63</v>
      </c>
      <c r="F2712" s="4" t="s">
        <v>63</v>
      </c>
      <c r="G2712" s="4" t="s">
        <v>2229</v>
      </c>
      <c r="H2712" s="4"/>
      <c r="I2712" s="4" t="n">
        <v>0.9183</v>
      </c>
      <c r="J2712" s="4" t="str">
        <f aca="false">TRIM(E2712) &amp; TRIM(C2712) &amp; TRIM(D2712)</f>
        <v>First Reviewfx_studio</v>
      </c>
      <c r="K2712" s="4" t="n">
        <f aca="false">IFERROR(I2712*60,"")</f>
        <v>55.098</v>
      </c>
    </row>
    <row r="2713" customFormat="false" ht="15" hidden="false" customHeight="false" outlineLevel="0" collapsed="false">
      <c r="A2713" s="4" t="s">
        <v>15</v>
      </c>
      <c r="B2713" s="4" t="s">
        <v>2195</v>
      </c>
      <c r="C2713" s="4" t="s">
        <v>2217</v>
      </c>
      <c r="D2713" s="4"/>
      <c r="E2713" s="4" t="s">
        <v>63</v>
      </c>
      <c r="F2713" s="4" t="s">
        <v>63</v>
      </c>
      <c r="G2713" s="4" t="s">
        <v>2230</v>
      </c>
      <c r="H2713" s="4"/>
      <c r="I2713" s="4" t="n">
        <v>0.6546</v>
      </c>
      <c r="J2713" s="4" t="str">
        <f aca="false">TRIM(E2713) &amp; TRIM(C2713) &amp; TRIM(D2713)</f>
        <v>First Reviewfx_studio</v>
      </c>
      <c r="K2713" s="4" t="n">
        <f aca="false">IFERROR(I2713*60,"")</f>
        <v>39.276</v>
      </c>
    </row>
    <row r="2714" customFormat="false" ht="15" hidden="false" customHeight="false" outlineLevel="0" collapsed="false">
      <c r="A2714" s="4" t="s">
        <v>15</v>
      </c>
      <c r="B2714" s="4" t="s">
        <v>2195</v>
      </c>
      <c r="C2714" s="4" t="s">
        <v>2231</v>
      </c>
      <c r="D2714" s="4"/>
      <c r="E2714" s="4" t="s">
        <v>63</v>
      </c>
      <c r="F2714" s="4" t="s">
        <v>63</v>
      </c>
      <c r="G2714" s="4" t="s">
        <v>2232</v>
      </c>
      <c r="H2714" s="4"/>
      <c r="I2714" s="4" t="n">
        <v>1.8877</v>
      </c>
      <c r="J2714" s="4" t="str">
        <f aca="false">TRIM(E2714) &amp; TRIM(C2714) &amp; TRIM(D2714)</f>
        <v>First ReviewPre-appproval auction ads</v>
      </c>
      <c r="K2714" s="4" t="n">
        <f aca="false">IFERROR(I2714*60,"")</f>
        <v>113.262</v>
      </c>
    </row>
    <row r="2715" customFormat="false" ht="15" hidden="false" customHeight="false" outlineLevel="0" collapsed="false">
      <c r="A2715" s="4" t="s">
        <v>15</v>
      </c>
      <c r="B2715" s="4" t="s">
        <v>2195</v>
      </c>
      <c r="C2715" s="4" t="s">
        <v>2231</v>
      </c>
      <c r="D2715" s="4"/>
      <c r="E2715" s="4" t="s">
        <v>63</v>
      </c>
      <c r="F2715" s="4" t="s">
        <v>63</v>
      </c>
      <c r="G2715" s="4" t="s">
        <v>2233</v>
      </c>
      <c r="H2715" s="4"/>
      <c r="I2715" s="4" t="n">
        <v>0.3257</v>
      </c>
      <c r="J2715" s="4" t="str">
        <f aca="false">TRIM(E2715) &amp; TRIM(C2715) &amp; TRIM(D2715)</f>
        <v>First ReviewPre-appproval auction ads</v>
      </c>
      <c r="K2715" s="4" t="n">
        <f aca="false">IFERROR(I2715*60,"")</f>
        <v>19.542</v>
      </c>
    </row>
    <row r="2716" customFormat="false" ht="15" hidden="false" customHeight="false" outlineLevel="0" collapsed="false">
      <c r="A2716" s="4" t="s">
        <v>15</v>
      </c>
      <c r="B2716" s="4" t="s">
        <v>2195</v>
      </c>
      <c r="C2716" s="4" t="s">
        <v>2234</v>
      </c>
      <c r="D2716" s="4"/>
      <c r="E2716" s="4" t="s">
        <v>63</v>
      </c>
      <c r="F2716" s="4" t="s">
        <v>63</v>
      </c>
      <c r="G2716" s="4" t="s">
        <v>2235</v>
      </c>
      <c r="H2716" s="4"/>
      <c r="I2716" s="4" t="n">
        <v>7.9858</v>
      </c>
      <c r="J2716" s="4" t="str">
        <f aca="false">TRIM(E2716) &amp; TRIM(C2716) &amp; TRIM(D2716)</f>
        <v>First ReviewPre-appproval reservation ads</v>
      </c>
      <c r="K2716" s="4" t="n">
        <f aca="false">IFERROR(I2716*60,"")</f>
        <v>479.148</v>
      </c>
    </row>
    <row r="2717" customFormat="false" ht="15" hidden="false" customHeight="false" outlineLevel="0" collapsed="false">
      <c r="A2717" s="4" t="s">
        <v>15</v>
      </c>
      <c r="B2717" s="4" t="s">
        <v>2195</v>
      </c>
      <c r="C2717" s="4" t="s">
        <v>2234</v>
      </c>
      <c r="D2717" s="4"/>
      <c r="E2717" s="4" t="s">
        <v>63</v>
      </c>
      <c r="F2717" s="4" t="s">
        <v>63</v>
      </c>
      <c r="G2717" s="4" t="s">
        <v>2236</v>
      </c>
      <c r="H2717" s="4"/>
      <c r="I2717" s="4" t="n">
        <v>12.4365</v>
      </c>
      <c r="J2717" s="4" t="str">
        <f aca="false">TRIM(E2717) &amp; TRIM(C2717) &amp; TRIM(D2717)</f>
        <v>First ReviewPre-appproval reservation ads</v>
      </c>
      <c r="K2717" s="4" t="n">
        <f aca="false">IFERROR(I2717*60,"")</f>
        <v>746.19</v>
      </c>
    </row>
    <row r="2718" customFormat="false" ht="15" hidden="false" customHeight="false" outlineLevel="0" collapsed="false">
      <c r="A2718" s="4" t="s">
        <v>15</v>
      </c>
      <c r="B2718" s="4" t="s">
        <v>2195</v>
      </c>
      <c r="C2718" s="4" t="s">
        <v>2234</v>
      </c>
      <c r="D2718" s="4"/>
      <c r="E2718" s="4" t="s">
        <v>63</v>
      </c>
      <c r="F2718" s="4" t="s">
        <v>63</v>
      </c>
      <c r="G2718" s="4" t="s">
        <v>2237</v>
      </c>
      <c r="H2718" s="4"/>
      <c r="I2718" s="4" t="n">
        <v>11.1968</v>
      </c>
      <c r="J2718" s="4" t="str">
        <f aca="false">TRIM(E2718) &amp; TRIM(C2718) &amp; TRIM(D2718)</f>
        <v>First ReviewPre-appproval reservation ads</v>
      </c>
      <c r="K2718" s="4" t="n">
        <f aca="false">IFERROR(I2718*60,"")</f>
        <v>671.808</v>
      </c>
    </row>
    <row r="2719" customFormat="false" ht="15" hidden="false" customHeight="false" outlineLevel="0" collapsed="false">
      <c r="A2719" s="4" t="s">
        <v>15</v>
      </c>
      <c r="B2719" s="4" t="s">
        <v>2195</v>
      </c>
      <c r="C2719" s="4" t="s">
        <v>2234</v>
      </c>
      <c r="D2719" s="4"/>
      <c r="E2719" s="4" t="s">
        <v>63</v>
      </c>
      <c r="F2719" s="4" t="s">
        <v>63</v>
      </c>
      <c r="G2719" s="4" t="s">
        <v>2238</v>
      </c>
      <c r="H2719" s="4"/>
      <c r="I2719" s="4" t="n">
        <v>4.0077</v>
      </c>
      <c r="J2719" s="4" t="str">
        <f aca="false">TRIM(E2719) &amp; TRIM(C2719) &amp; TRIM(D2719)</f>
        <v>First ReviewPre-appproval reservation ads</v>
      </c>
      <c r="K2719" s="4" t="n">
        <f aca="false">IFERROR(I2719*60,"")</f>
        <v>240.462</v>
      </c>
    </row>
    <row r="2720" customFormat="false" ht="15" hidden="false" customHeight="false" outlineLevel="0" collapsed="false">
      <c r="A2720" s="4" t="s">
        <v>15</v>
      </c>
      <c r="B2720" s="4" t="s">
        <v>2195</v>
      </c>
      <c r="C2720" s="4" t="s">
        <v>2234</v>
      </c>
      <c r="D2720" s="4"/>
      <c r="E2720" s="4" t="s">
        <v>63</v>
      </c>
      <c r="F2720" s="4" t="s">
        <v>63</v>
      </c>
      <c r="G2720" s="4" t="s">
        <v>2239</v>
      </c>
      <c r="H2720" s="4"/>
      <c r="I2720" s="4" t="n">
        <v>5.024</v>
      </c>
      <c r="J2720" s="4" t="str">
        <f aca="false">TRIM(E2720) &amp; TRIM(C2720) &amp; TRIM(D2720)</f>
        <v>First ReviewPre-appproval reservation ads</v>
      </c>
      <c r="K2720" s="4" t="n">
        <f aca="false">IFERROR(I2720*60,"")</f>
        <v>301.44</v>
      </c>
    </row>
    <row r="2721" customFormat="false" ht="15" hidden="false" customHeight="false" outlineLevel="0" collapsed="false">
      <c r="A2721" s="4" t="s">
        <v>15</v>
      </c>
      <c r="B2721" s="4" t="s">
        <v>2195</v>
      </c>
      <c r="C2721" s="4" t="s">
        <v>2234</v>
      </c>
      <c r="D2721" s="4"/>
      <c r="E2721" s="4" t="s">
        <v>63</v>
      </c>
      <c r="F2721" s="4" t="s">
        <v>63</v>
      </c>
      <c r="G2721" s="4" t="s">
        <v>2240</v>
      </c>
      <c r="H2721" s="4"/>
      <c r="I2721" s="4" t="n">
        <v>17.7277</v>
      </c>
      <c r="J2721" s="4" t="str">
        <f aca="false">TRIM(E2721) &amp; TRIM(C2721) &amp; TRIM(D2721)</f>
        <v>First ReviewPre-appproval reservation ads</v>
      </c>
      <c r="K2721" s="4" t="n">
        <f aca="false">IFERROR(I2721*60,"")</f>
        <v>1063.662</v>
      </c>
    </row>
    <row r="2722" customFormat="false" ht="15" hidden="false" customHeight="false" outlineLevel="0" collapsed="false">
      <c r="A2722" s="4" t="s">
        <v>15</v>
      </c>
      <c r="B2722" s="4" t="s">
        <v>2195</v>
      </c>
      <c r="C2722" s="4" t="s">
        <v>2234</v>
      </c>
      <c r="D2722" s="4"/>
      <c r="E2722" s="4" t="s">
        <v>63</v>
      </c>
      <c r="F2722" s="4" t="s">
        <v>63</v>
      </c>
      <c r="G2722" s="4" t="s">
        <v>2241</v>
      </c>
      <c r="H2722" s="4"/>
      <c r="I2722" s="4" t="n">
        <v>3.0071</v>
      </c>
      <c r="J2722" s="4" t="str">
        <f aca="false">TRIM(E2722) &amp; TRIM(C2722) &amp; TRIM(D2722)</f>
        <v>First ReviewPre-appproval reservation ads</v>
      </c>
      <c r="K2722" s="4" t="n">
        <f aca="false">IFERROR(I2722*60,"")</f>
        <v>180.426</v>
      </c>
    </row>
    <row r="2723" customFormat="false" ht="15" hidden="false" customHeight="false" outlineLevel="0" collapsed="false">
      <c r="A2723" s="4" t="s">
        <v>15</v>
      </c>
      <c r="B2723" s="4" t="s">
        <v>2195</v>
      </c>
      <c r="C2723" s="4" t="s">
        <v>2234</v>
      </c>
      <c r="D2723" s="4"/>
      <c r="E2723" s="4" t="s">
        <v>63</v>
      </c>
      <c r="F2723" s="4" t="s">
        <v>63</v>
      </c>
      <c r="G2723" s="4" t="s">
        <v>2242</v>
      </c>
      <c r="H2723" s="4"/>
      <c r="I2723" s="4" t="n">
        <v>1.6809</v>
      </c>
      <c r="J2723" s="4" t="str">
        <f aca="false">TRIM(E2723) &amp; TRIM(C2723) &amp; TRIM(D2723)</f>
        <v>First ReviewPre-appproval reservation ads</v>
      </c>
      <c r="K2723" s="4" t="n">
        <f aca="false">IFERROR(I2723*60,"")</f>
        <v>100.854</v>
      </c>
    </row>
    <row r="2724" customFormat="false" ht="15" hidden="false" customHeight="false" outlineLevel="0" collapsed="false">
      <c r="A2724" s="4" t="s">
        <v>15</v>
      </c>
      <c r="B2724" s="4" t="s">
        <v>2195</v>
      </c>
      <c r="C2724" s="4" t="s">
        <v>2234</v>
      </c>
      <c r="D2724" s="4"/>
      <c r="E2724" s="4" t="s">
        <v>63</v>
      </c>
      <c r="F2724" s="4" t="s">
        <v>63</v>
      </c>
      <c r="G2724" s="4" t="s">
        <v>2243</v>
      </c>
      <c r="H2724" s="4"/>
      <c r="I2724" s="4" t="n">
        <v>2.6054</v>
      </c>
      <c r="J2724" s="4" t="str">
        <f aca="false">TRIM(E2724) &amp; TRIM(C2724) &amp; TRIM(D2724)</f>
        <v>First ReviewPre-appproval reservation ads</v>
      </c>
      <c r="K2724" s="4" t="n">
        <f aca="false">IFERROR(I2724*60,"")</f>
        <v>156.324</v>
      </c>
    </row>
    <row r="2725" customFormat="false" ht="15" hidden="false" customHeight="false" outlineLevel="0" collapsed="false">
      <c r="A2725" s="4" t="s">
        <v>15</v>
      </c>
      <c r="B2725" s="4" t="s">
        <v>2195</v>
      </c>
      <c r="C2725" s="4" t="s">
        <v>2234</v>
      </c>
      <c r="D2725" s="4"/>
      <c r="E2725" s="4" t="s">
        <v>63</v>
      </c>
      <c r="F2725" s="4" t="s">
        <v>63</v>
      </c>
      <c r="G2725" s="4" t="s">
        <v>2244</v>
      </c>
      <c r="H2725" s="4"/>
      <c r="I2725" s="4" t="n">
        <v>2.2432</v>
      </c>
      <c r="J2725" s="4" t="str">
        <f aca="false">TRIM(E2725) &amp; TRIM(C2725) &amp; TRIM(D2725)</f>
        <v>First ReviewPre-appproval reservation ads</v>
      </c>
      <c r="K2725" s="4" t="n">
        <f aca="false">IFERROR(I2725*60,"")</f>
        <v>134.592</v>
      </c>
    </row>
    <row r="2726" customFormat="false" ht="15" hidden="false" customHeight="false" outlineLevel="0" collapsed="false">
      <c r="A2726" s="4" t="s">
        <v>15</v>
      </c>
      <c r="B2726" s="4" t="s">
        <v>2195</v>
      </c>
      <c r="C2726" s="4" t="s">
        <v>2234</v>
      </c>
      <c r="D2726" s="4"/>
      <c r="E2726" s="4" t="s">
        <v>63</v>
      </c>
      <c r="F2726" s="4" t="s">
        <v>63</v>
      </c>
      <c r="G2726" s="4" t="s">
        <v>2245</v>
      </c>
      <c r="H2726" s="4"/>
      <c r="I2726" s="4" t="n">
        <v>2.9861</v>
      </c>
      <c r="J2726" s="4" t="str">
        <f aca="false">TRIM(E2726) &amp; TRIM(C2726) &amp; TRIM(D2726)</f>
        <v>First ReviewPre-appproval reservation ads</v>
      </c>
      <c r="K2726" s="4" t="n">
        <f aca="false">IFERROR(I2726*60,"")</f>
        <v>179.166</v>
      </c>
    </row>
    <row r="2727" customFormat="false" ht="15" hidden="false" customHeight="false" outlineLevel="0" collapsed="false">
      <c r="A2727" s="4" t="s">
        <v>15</v>
      </c>
      <c r="B2727" s="4" t="s">
        <v>2195</v>
      </c>
      <c r="C2727" s="4" t="s">
        <v>1804</v>
      </c>
      <c r="D2727" s="4"/>
      <c r="E2727" s="4" t="s">
        <v>63</v>
      </c>
      <c r="F2727" s="4" t="s">
        <v>63</v>
      </c>
      <c r="G2727" s="4" t="s">
        <v>2246</v>
      </c>
      <c r="H2727" s="4"/>
      <c r="I2727" s="4" t="n">
        <v>1.9824</v>
      </c>
      <c r="J2727" s="4" t="str">
        <f aca="false">TRIM(E2727) &amp; TRIM(C2727) &amp; TRIM(D2727)</f>
        <v>First ReviewR&amp;F</v>
      </c>
      <c r="K2727" s="4" t="n">
        <f aca="false">IFERROR(I2727*60,"")</f>
        <v>118.944</v>
      </c>
    </row>
    <row r="2728" customFormat="false" ht="15" hidden="false" customHeight="false" outlineLevel="0" collapsed="false">
      <c r="A2728" s="4" t="s">
        <v>15</v>
      </c>
      <c r="B2728" s="4" t="s">
        <v>2247</v>
      </c>
      <c r="C2728" s="4" t="s">
        <v>2248</v>
      </c>
      <c r="D2728" s="4"/>
      <c r="E2728" s="4" t="s">
        <v>63</v>
      </c>
      <c r="F2728" s="4" t="s">
        <v>63</v>
      </c>
      <c r="G2728" s="4" t="s">
        <v>2249</v>
      </c>
      <c r="H2728" s="4"/>
      <c r="I2728" s="4" t="n">
        <v>0.1886</v>
      </c>
      <c r="J2728" s="4" t="str">
        <f aca="false">TRIM(E2728) &amp; TRIM(C2728) &amp; TRIM(D2728)</f>
        <v>First ReviewPVIL 1st round</v>
      </c>
      <c r="K2728" s="4" t="n">
        <f aca="false">IFERROR(I2728*60,"")</f>
        <v>11.316</v>
      </c>
    </row>
    <row r="2729" customFormat="false" ht="15" hidden="false" customHeight="false" outlineLevel="0" collapsed="false">
      <c r="A2729" s="4" t="s">
        <v>15</v>
      </c>
      <c r="B2729" s="4" t="s">
        <v>2247</v>
      </c>
      <c r="C2729" s="4" t="s">
        <v>2248</v>
      </c>
      <c r="D2729" s="4"/>
      <c r="E2729" s="4" t="s">
        <v>63</v>
      </c>
      <c r="F2729" s="4" t="s">
        <v>63</v>
      </c>
      <c r="G2729" s="4" t="s">
        <v>2250</v>
      </c>
      <c r="H2729" s="4"/>
      <c r="I2729" s="4" t="n">
        <v>6.0238</v>
      </c>
      <c r="J2729" s="4" t="str">
        <f aca="false">TRIM(E2729) &amp; TRIM(C2729) &amp; TRIM(D2729)</f>
        <v>First ReviewPVIL 1st round</v>
      </c>
      <c r="K2729" s="4" t="n">
        <f aca="false">IFERROR(I2729*60,"")</f>
        <v>361.428</v>
      </c>
    </row>
    <row r="2730" customFormat="false" ht="15" hidden="false" customHeight="false" outlineLevel="0" collapsed="false">
      <c r="A2730" s="4" t="s">
        <v>15</v>
      </c>
      <c r="B2730" s="4" t="s">
        <v>2247</v>
      </c>
      <c r="C2730" s="4" t="s">
        <v>2248</v>
      </c>
      <c r="D2730" s="4"/>
      <c r="E2730" s="4" t="s">
        <v>63</v>
      </c>
      <c r="F2730" s="4" t="s">
        <v>63</v>
      </c>
      <c r="G2730" s="4" t="s">
        <v>2251</v>
      </c>
      <c r="H2730" s="4"/>
      <c r="I2730" s="4" t="n">
        <v>0.761</v>
      </c>
      <c r="J2730" s="4" t="str">
        <f aca="false">TRIM(E2730) &amp; TRIM(C2730) &amp; TRIM(D2730)</f>
        <v>First ReviewPVIL 1st round</v>
      </c>
      <c r="K2730" s="4" t="n">
        <f aca="false">IFERROR(I2730*60,"")</f>
        <v>45.66</v>
      </c>
    </row>
    <row r="2731" customFormat="false" ht="15" hidden="false" customHeight="false" outlineLevel="0" collapsed="false">
      <c r="A2731" s="4" t="s">
        <v>15</v>
      </c>
      <c r="B2731" s="4" t="s">
        <v>2252</v>
      </c>
      <c r="C2731" s="4" t="s">
        <v>2253</v>
      </c>
      <c r="D2731" s="4"/>
      <c r="E2731" s="4" t="s">
        <v>63</v>
      </c>
      <c r="F2731" s="4" t="s">
        <v>63</v>
      </c>
      <c r="G2731" s="4" t="s">
        <v>2254</v>
      </c>
      <c r="H2731" s="4"/>
      <c r="I2731" s="4" t="n">
        <v>0.8661</v>
      </c>
      <c r="J2731" s="4" t="str">
        <f aca="false">TRIM(E2731) &amp; TRIM(C2731) &amp; TRIM(D2731)</f>
        <v>First ReviewCompany Verification</v>
      </c>
      <c r="K2731" s="4" t="n">
        <f aca="false">IFERROR(I2731*60,"")</f>
        <v>51.966</v>
      </c>
    </row>
    <row r="2732" customFormat="false" ht="15" hidden="false" customHeight="false" outlineLevel="0" collapsed="false">
      <c r="A2732" s="4" t="s">
        <v>15</v>
      </c>
      <c r="B2732" s="4" t="s">
        <v>2255</v>
      </c>
      <c r="C2732" s="4" t="s">
        <v>2256</v>
      </c>
      <c r="D2732" s="4"/>
      <c r="E2732" s="4" t="s">
        <v>63</v>
      </c>
      <c r="F2732" s="4" t="s">
        <v>63</v>
      </c>
      <c r="G2732" s="4" t="s">
        <v>2257</v>
      </c>
      <c r="H2732" s="4"/>
      <c r="I2732" s="4" t="n">
        <v>4.8217</v>
      </c>
      <c r="J2732" s="4" t="str">
        <f aca="false">TRIM(E2732) &amp; TRIM(C2732) &amp; TRIM(D2732)</f>
        <v>First ReviewUnknown</v>
      </c>
      <c r="K2732" s="4" t="n">
        <f aca="false">IFERROR(I2732*60,"")</f>
        <v>289.302</v>
      </c>
    </row>
    <row r="2733" customFormat="false" ht="15" hidden="false" customHeight="false" outlineLevel="0" collapsed="false">
      <c r="A2733" s="4" t="s">
        <v>15</v>
      </c>
      <c r="B2733" s="4" t="s">
        <v>2255</v>
      </c>
      <c r="C2733" s="4" t="s">
        <v>2256</v>
      </c>
      <c r="D2733" s="4"/>
      <c r="E2733" s="4" t="s">
        <v>63</v>
      </c>
      <c r="F2733" s="4" t="s">
        <v>63</v>
      </c>
      <c r="G2733" s="4" t="s">
        <v>2257</v>
      </c>
      <c r="H2733" s="4"/>
      <c r="I2733" s="4" t="n">
        <v>6.3484</v>
      </c>
      <c r="J2733" s="4" t="str">
        <f aca="false">TRIM(E2733) &amp; TRIM(C2733) &amp; TRIM(D2733)</f>
        <v>First ReviewUnknown</v>
      </c>
      <c r="K2733" s="4" t="n">
        <f aca="false">IFERROR(I2733*60,"")</f>
        <v>380.904</v>
      </c>
    </row>
    <row r="2734" customFormat="false" ht="15" hidden="false" customHeight="false" outlineLevel="0" collapsed="false">
      <c r="A2734" s="4" t="s">
        <v>15</v>
      </c>
      <c r="B2734" s="4" t="s">
        <v>2195</v>
      </c>
      <c r="C2734" s="4" t="s">
        <v>1424</v>
      </c>
      <c r="D2734" s="4"/>
      <c r="E2734" s="4" t="s">
        <v>63</v>
      </c>
      <c r="F2734" s="4" t="s">
        <v>63</v>
      </c>
      <c r="G2734" s="4" t="s">
        <v>2258</v>
      </c>
      <c r="H2734" s="4"/>
      <c r="I2734" s="4" t="n">
        <v>0.0407</v>
      </c>
      <c r="J2734" s="4" t="str">
        <f aca="false">TRIM(E2734) &amp; TRIM(C2734) &amp; TRIM(D2734)</f>
        <v>First ReviewIBK</v>
      </c>
      <c r="K2734" s="4" t="n">
        <f aca="false">IFERROR(I2734*60,"")</f>
        <v>2.442</v>
      </c>
    </row>
    <row r="2735" customFormat="false" ht="15" hidden="false" customHeight="false" outlineLevel="0" collapsed="false">
      <c r="A2735" s="4" t="s">
        <v>15</v>
      </c>
      <c r="B2735" s="4" t="s">
        <v>2259</v>
      </c>
      <c r="C2735" s="4" t="s">
        <v>2260</v>
      </c>
      <c r="D2735" s="4"/>
      <c r="E2735" s="4" t="s">
        <v>63</v>
      </c>
      <c r="F2735" s="4" t="s">
        <v>63</v>
      </c>
      <c r="G2735" s="4" t="s">
        <v>2261</v>
      </c>
      <c r="H2735" s="4"/>
      <c r="I2735" s="4" t="n">
        <v>0.9363</v>
      </c>
      <c r="J2735" s="4" t="str">
        <f aca="false">TRIM(E2735) &amp; TRIM(C2735) &amp; TRIM(D2735)</f>
        <v>First ReviewActor Integrity - Actor Review</v>
      </c>
      <c r="K2735" s="4" t="n">
        <f aca="false">IFERROR(I2735*60,"")</f>
        <v>56.178</v>
      </c>
    </row>
    <row r="2736" customFormat="false" ht="15" hidden="false" customHeight="false" outlineLevel="0" collapsed="false">
      <c r="A2736" s="4" t="s">
        <v>15</v>
      </c>
      <c r="B2736" s="4" t="s">
        <v>2259</v>
      </c>
      <c r="C2736" s="4" t="s">
        <v>2260</v>
      </c>
      <c r="D2736" s="4"/>
      <c r="E2736" s="4" t="s">
        <v>63</v>
      </c>
      <c r="F2736" s="4" t="s">
        <v>63</v>
      </c>
      <c r="G2736" s="4" t="s">
        <v>2262</v>
      </c>
      <c r="H2736" s="4"/>
      <c r="I2736" s="4" t="n">
        <v>1.4826</v>
      </c>
      <c r="J2736" s="4" t="str">
        <f aca="false">TRIM(E2736) &amp; TRIM(C2736) &amp; TRIM(D2736)</f>
        <v>First ReviewActor Integrity - Actor Review</v>
      </c>
      <c r="K2736" s="4" t="n">
        <f aca="false">IFERROR(I2736*60,"")</f>
        <v>88.956</v>
      </c>
    </row>
    <row r="2737" customFormat="false" ht="15" hidden="false" customHeight="false" outlineLevel="0" collapsed="false">
      <c r="A2737" s="4" t="s">
        <v>15</v>
      </c>
      <c r="B2737" s="4" t="s">
        <v>2259</v>
      </c>
      <c r="C2737" s="4" t="s">
        <v>2260</v>
      </c>
      <c r="D2737" s="4"/>
      <c r="E2737" s="4" t="s">
        <v>63</v>
      </c>
      <c r="F2737" s="4" t="s">
        <v>63</v>
      </c>
      <c r="G2737" s="4" t="s">
        <v>2263</v>
      </c>
      <c r="H2737" s="4"/>
      <c r="I2737" s="4" t="n">
        <v>0.6249</v>
      </c>
      <c r="J2737" s="4" t="str">
        <f aca="false">TRIM(E2737) &amp; TRIM(C2737) &amp; TRIM(D2737)</f>
        <v>First ReviewActor Integrity - Actor Review</v>
      </c>
      <c r="K2737" s="4" t="n">
        <f aca="false">IFERROR(I2737*60,"")</f>
        <v>37.494</v>
      </c>
    </row>
    <row r="2738" customFormat="false" ht="15" hidden="false" customHeight="false" outlineLevel="0" collapsed="false">
      <c r="A2738" s="4" t="s">
        <v>15</v>
      </c>
      <c r="B2738" s="4" t="s">
        <v>2259</v>
      </c>
      <c r="C2738" s="4" t="s">
        <v>2260</v>
      </c>
      <c r="D2738" s="4"/>
      <c r="E2738" s="4" t="s">
        <v>63</v>
      </c>
      <c r="F2738" s="4" t="s">
        <v>63</v>
      </c>
      <c r="G2738" s="4" t="s">
        <v>2264</v>
      </c>
      <c r="H2738" s="4"/>
      <c r="I2738" s="4" t="n">
        <v>0.5264</v>
      </c>
      <c r="J2738" s="4" t="str">
        <f aca="false">TRIM(E2738) &amp; TRIM(C2738) &amp; TRIM(D2738)</f>
        <v>First ReviewActor Integrity - Actor Review</v>
      </c>
      <c r="K2738" s="4" t="n">
        <f aca="false">IFERROR(I2738*60,"")</f>
        <v>31.584</v>
      </c>
    </row>
    <row r="2739" customFormat="false" ht="15" hidden="false" customHeight="false" outlineLevel="0" collapsed="false">
      <c r="A2739" s="4" t="s">
        <v>15</v>
      </c>
      <c r="B2739" s="4" t="s">
        <v>2259</v>
      </c>
      <c r="C2739" s="4" t="s">
        <v>2260</v>
      </c>
      <c r="D2739" s="4"/>
      <c r="E2739" s="4" t="s">
        <v>63</v>
      </c>
      <c r="F2739" s="4" t="s">
        <v>63</v>
      </c>
      <c r="G2739" s="4" t="s">
        <v>2265</v>
      </c>
      <c r="H2739" s="4"/>
      <c r="I2739" s="4" t="n">
        <v>0.4047</v>
      </c>
      <c r="J2739" s="4" t="str">
        <f aca="false">TRIM(E2739) &amp; TRIM(C2739) &amp; TRIM(D2739)</f>
        <v>First ReviewActor Integrity - Actor Review</v>
      </c>
      <c r="K2739" s="4" t="n">
        <f aca="false">IFERROR(I2739*60,"")</f>
        <v>24.282</v>
      </c>
    </row>
    <row r="2740" customFormat="false" ht="15" hidden="false" customHeight="false" outlineLevel="0" collapsed="false">
      <c r="A2740" s="4" t="s">
        <v>15</v>
      </c>
      <c r="B2740" s="4" t="s">
        <v>2259</v>
      </c>
      <c r="C2740" s="4" t="s">
        <v>2260</v>
      </c>
      <c r="D2740" s="4"/>
      <c r="E2740" s="4" t="s">
        <v>63</v>
      </c>
      <c r="F2740" s="4" t="s">
        <v>63</v>
      </c>
      <c r="G2740" s="4" t="s">
        <v>2266</v>
      </c>
      <c r="H2740" s="4"/>
      <c r="I2740" s="4" t="n">
        <v>0.7952</v>
      </c>
      <c r="J2740" s="4" t="str">
        <f aca="false">TRIM(E2740) &amp; TRIM(C2740) &amp; TRIM(D2740)</f>
        <v>First ReviewActor Integrity - Actor Review</v>
      </c>
      <c r="K2740" s="4" t="n">
        <f aca="false">IFERROR(I2740*60,"")</f>
        <v>47.712</v>
      </c>
    </row>
    <row r="2741" customFormat="false" ht="15" hidden="false" customHeight="false" outlineLevel="0" collapsed="false">
      <c r="A2741" s="4" t="s">
        <v>15</v>
      </c>
      <c r="B2741" s="4" t="s">
        <v>2259</v>
      </c>
      <c r="C2741" s="4" t="s">
        <v>2260</v>
      </c>
      <c r="D2741" s="4"/>
      <c r="E2741" s="4" t="s">
        <v>63</v>
      </c>
      <c r="F2741" s="4" t="s">
        <v>63</v>
      </c>
      <c r="G2741" s="4" t="s">
        <v>2267</v>
      </c>
      <c r="H2741" s="4"/>
      <c r="I2741" s="4" t="n">
        <v>0.6913</v>
      </c>
      <c r="J2741" s="4" t="str">
        <f aca="false">TRIM(E2741) &amp; TRIM(C2741) &amp; TRIM(D2741)</f>
        <v>First ReviewActor Integrity - Actor Review</v>
      </c>
      <c r="K2741" s="4" t="n">
        <f aca="false">IFERROR(I2741*60,"")</f>
        <v>41.478</v>
      </c>
    </row>
    <row r="2742" customFormat="false" ht="15" hidden="false" customHeight="false" outlineLevel="0" collapsed="false">
      <c r="A2742" s="4" t="s">
        <v>15</v>
      </c>
      <c r="B2742" s="4" t="s">
        <v>2259</v>
      </c>
      <c r="C2742" s="4" t="s">
        <v>2260</v>
      </c>
      <c r="D2742" s="4"/>
      <c r="E2742" s="4" t="s">
        <v>63</v>
      </c>
      <c r="F2742" s="4" t="s">
        <v>63</v>
      </c>
      <c r="G2742" s="4" t="s">
        <v>2268</v>
      </c>
      <c r="H2742" s="4"/>
      <c r="I2742" s="4" t="n">
        <v>1.0842</v>
      </c>
      <c r="J2742" s="4" t="str">
        <f aca="false">TRIM(E2742) &amp; TRIM(C2742) &amp; TRIM(D2742)</f>
        <v>First ReviewActor Integrity - Actor Review</v>
      </c>
      <c r="K2742" s="4" t="n">
        <f aca="false">IFERROR(I2742*60,"")</f>
        <v>65.052</v>
      </c>
    </row>
    <row r="2743" customFormat="false" ht="15" hidden="false" customHeight="false" outlineLevel="0" collapsed="false">
      <c r="A2743" s="4" t="s">
        <v>15</v>
      </c>
      <c r="B2743" s="4" t="s">
        <v>2259</v>
      </c>
      <c r="C2743" s="4" t="s">
        <v>2260</v>
      </c>
      <c r="D2743" s="4"/>
      <c r="E2743" s="4" t="s">
        <v>63</v>
      </c>
      <c r="F2743" s="4" t="s">
        <v>63</v>
      </c>
      <c r="G2743" s="4" t="s">
        <v>2269</v>
      </c>
      <c r="H2743" s="4"/>
      <c r="I2743" s="4" t="n">
        <v>0.6803</v>
      </c>
      <c r="J2743" s="4" t="str">
        <f aca="false">TRIM(E2743) &amp; TRIM(C2743) &amp; TRIM(D2743)</f>
        <v>First ReviewActor Integrity - Actor Review</v>
      </c>
      <c r="K2743" s="4" t="n">
        <f aca="false">IFERROR(I2743*60,"")</f>
        <v>40.818</v>
      </c>
    </row>
    <row r="2744" customFormat="false" ht="15" hidden="false" customHeight="false" outlineLevel="0" collapsed="false">
      <c r="A2744" s="4" t="s">
        <v>15</v>
      </c>
      <c r="B2744" s="4" t="s">
        <v>2259</v>
      </c>
      <c r="C2744" s="4" t="s">
        <v>2260</v>
      </c>
      <c r="D2744" s="4"/>
      <c r="E2744" s="4" t="s">
        <v>63</v>
      </c>
      <c r="F2744" s="4" t="s">
        <v>63</v>
      </c>
      <c r="G2744" s="4" t="s">
        <v>2270</v>
      </c>
      <c r="H2744" s="4"/>
      <c r="I2744" s="4" t="n">
        <v>0.2851</v>
      </c>
      <c r="J2744" s="4" t="str">
        <f aca="false">TRIM(E2744) &amp; TRIM(C2744) &amp; TRIM(D2744)</f>
        <v>First ReviewActor Integrity - Actor Review</v>
      </c>
      <c r="K2744" s="4" t="n">
        <f aca="false">IFERROR(I2744*60,"")</f>
        <v>17.106</v>
      </c>
    </row>
    <row r="2745" customFormat="false" ht="15" hidden="false" customHeight="false" outlineLevel="0" collapsed="false">
      <c r="A2745" s="4" t="s">
        <v>15</v>
      </c>
      <c r="B2745" s="4" t="s">
        <v>2259</v>
      </c>
      <c r="C2745" s="4" t="s">
        <v>2260</v>
      </c>
      <c r="D2745" s="4"/>
      <c r="E2745" s="4" t="s">
        <v>63</v>
      </c>
      <c r="F2745" s="4" t="s">
        <v>63</v>
      </c>
      <c r="G2745" s="4" t="s">
        <v>2271</v>
      </c>
      <c r="H2745" s="4"/>
      <c r="I2745" s="4" t="n">
        <v>0.5429</v>
      </c>
      <c r="J2745" s="4" t="str">
        <f aca="false">TRIM(E2745) &amp; TRIM(C2745) &amp; TRIM(D2745)</f>
        <v>First ReviewActor Integrity - Actor Review</v>
      </c>
      <c r="K2745" s="4" t="n">
        <f aca="false">IFERROR(I2745*60,"")</f>
        <v>32.574</v>
      </c>
    </row>
    <row r="2746" customFormat="false" ht="15" hidden="false" customHeight="false" outlineLevel="0" collapsed="false">
      <c r="A2746" s="4" t="s">
        <v>15</v>
      </c>
      <c r="B2746" s="4" t="s">
        <v>2259</v>
      </c>
      <c r="C2746" s="4" t="s">
        <v>2260</v>
      </c>
      <c r="D2746" s="4"/>
      <c r="E2746" s="4" t="s">
        <v>63</v>
      </c>
      <c r="F2746" s="4" t="s">
        <v>63</v>
      </c>
      <c r="G2746" s="4" t="s">
        <v>2272</v>
      </c>
      <c r="H2746" s="4"/>
      <c r="I2746" s="4" t="n">
        <v>0.7271</v>
      </c>
      <c r="J2746" s="4" t="str">
        <f aca="false">TRIM(E2746) &amp; TRIM(C2746) &amp; TRIM(D2746)</f>
        <v>First ReviewActor Integrity - Actor Review</v>
      </c>
      <c r="K2746" s="4" t="n">
        <f aca="false">IFERROR(I2746*60,"")</f>
        <v>43.626</v>
      </c>
    </row>
    <row r="2747" customFormat="false" ht="15" hidden="false" customHeight="false" outlineLevel="0" collapsed="false">
      <c r="A2747" s="4" t="s">
        <v>15</v>
      </c>
      <c r="B2747" s="4" t="s">
        <v>2259</v>
      </c>
      <c r="C2747" s="4" t="s">
        <v>2260</v>
      </c>
      <c r="D2747" s="4"/>
      <c r="E2747" s="4" t="s">
        <v>63</v>
      </c>
      <c r="F2747" s="4" t="s">
        <v>63</v>
      </c>
      <c r="G2747" s="4" t="s">
        <v>2273</v>
      </c>
      <c r="H2747" s="4"/>
      <c r="I2747" s="4" t="n">
        <v>0.166</v>
      </c>
      <c r="J2747" s="4" t="str">
        <f aca="false">TRIM(E2747) &amp; TRIM(C2747) &amp; TRIM(D2747)</f>
        <v>First ReviewActor Integrity - Actor Review</v>
      </c>
      <c r="K2747" s="4" t="n">
        <f aca="false">IFERROR(I2747*60,"")</f>
        <v>9.96</v>
      </c>
    </row>
    <row r="2748" customFormat="false" ht="15" hidden="false" customHeight="false" outlineLevel="0" collapsed="false">
      <c r="A2748" s="4" t="s">
        <v>15</v>
      </c>
      <c r="B2748" s="4" t="s">
        <v>2259</v>
      </c>
      <c r="C2748" s="4" t="s">
        <v>2260</v>
      </c>
      <c r="D2748" s="4"/>
      <c r="E2748" s="4" t="s">
        <v>63</v>
      </c>
      <c r="F2748" s="4" t="s">
        <v>63</v>
      </c>
      <c r="G2748" s="4" t="s">
        <v>2274</v>
      </c>
      <c r="H2748" s="4"/>
      <c r="I2748" s="4" t="n">
        <v>2.938</v>
      </c>
      <c r="J2748" s="4" t="str">
        <f aca="false">TRIM(E2748) &amp; TRIM(C2748) &amp; TRIM(D2748)</f>
        <v>First ReviewActor Integrity - Actor Review</v>
      </c>
      <c r="K2748" s="4" t="n">
        <f aca="false">IFERROR(I2748*60,"")</f>
        <v>176.28</v>
      </c>
    </row>
    <row r="2749" customFormat="false" ht="15" hidden="false" customHeight="false" outlineLevel="0" collapsed="false">
      <c r="A2749" s="4" t="s">
        <v>15</v>
      </c>
      <c r="B2749" s="4" t="s">
        <v>2259</v>
      </c>
      <c r="C2749" s="4" t="s">
        <v>2260</v>
      </c>
      <c r="D2749" s="4"/>
      <c r="E2749" s="4" t="s">
        <v>63</v>
      </c>
      <c r="F2749" s="4" t="s">
        <v>63</v>
      </c>
      <c r="G2749" s="4" t="s">
        <v>2275</v>
      </c>
      <c r="H2749" s="4"/>
      <c r="I2749" s="4" t="n">
        <v>0.4788</v>
      </c>
      <c r="J2749" s="4" t="str">
        <f aca="false">TRIM(E2749) &amp; TRIM(C2749) &amp; TRIM(D2749)</f>
        <v>First ReviewActor Integrity - Actor Review</v>
      </c>
      <c r="K2749" s="4" t="n">
        <f aca="false">IFERROR(I2749*60,"")</f>
        <v>28.728</v>
      </c>
    </row>
    <row r="2750" customFormat="false" ht="15" hidden="false" customHeight="false" outlineLevel="0" collapsed="false">
      <c r="A2750" s="4" t="s">
        <v>15</v>
      </c>
      <c r="B2750" s="4" t="s">
        <v>2259</v>
      </c>
      <c r="C2750" s="4" t="s">
        <v>2260</v>
      </c>
      <c r="D2750" s="4"/>
      <c r="E2750" s="4" t="s">
        <v>63</v>
      </c>
      <c r="F2750" s="4" t="s">
        <v>63</v>
      </c>
      <c r="G2750" s="4" t="s">
        <v>2276</v>
      </c>
      <c r="H2750" s="4"/>
      <c r="I2750" s="4" t="n">
        <v>0.6987</v>
      </c>
      <c r="J2750" s="4" t="str">
        <f aca="false">TRIM(E2750) &amp; TRIM(C2750) &amp; TRIM(D2750)</f>
        <v>First ReviewActor Integrity - Actor Review</v>
      </c>
      <c r="K2750" s="4" t="n">
        <f aca="false">IFERROR(I2750*60,"")</f>
        <v>41.922</v>
      </c>
    </row>
    <row r="2751" customFormat="false" ht="15" hidden="false" customHeight="false" outlineLevel="0" collapsed="false">
      <c r="A2751" s="4" t="s">
        <v>15</v>
      </c>
      <c r="B2751" s="4" t="s">
        <v>2259</v>
      </c>
      <c r="C2751" s="4" t="s">
        <v>2260</v>
      </c>
      <c r="D2751" s="4"/>
      <c r="E2751" s="4" t="s">
        <v>63</v>
      </c>
      <c r="F2751" s="4" t="s">
        <v>63</v>
      </c>
      <c r="G2751" s="4" t="s">
        <v>2277</v>
      </c>
      <c r="H2751" s="4"/>
      <c r="I2751" s="4" t="n">
        <v>0.7965</v>
      </c>
      <c r="J2751" s="4" t="str">
        <f aca="false">TRIM(E2751) &amp; TRIM(C2751) &amp; TRIM(D2751)</f>
        <v>First ReviewActor Integrity - Actor Review</v>
      </c>
      <c r="K2751" s="4" t="n">
        <f aca="false">IFERROR(I2751*60,"")</f>
        <v>47.79</v>
      </c>
    </row>
    <row r="2752" customFormat="false" ht="15" hidden="false" customHeight="false" outlineLevel="0" collapsed="false">
      <c r="A2752" s="4" t="s">
        <v>15</v>
      </c>
      <c r="B2752" s="4" t="s">
        <v>2259</v>
      </c>
      <c r="C2752" s="4" t="s">
        <v>2260</v>
      </c>
      <c r="D2752" s="4"/>
      <c r="E2752" s="4" t="s">
        <v>63</v>
      </c>
      <c r="F2752" s="4" t="s">
        <v>63</v>
      </c>
      <c r="G2752" s="4" t="s">
        <v>2278</v>
      </c>
      <c r="H2752" s="4"/>
      <c r="I2752" s="4" t="n">
        <v>1.1363</v>
      </c>
      <c r="J2752" s="4" t="str">
        <f aca="false">TRIM(E2752) &amp; TRIM(C2752) &amp; TRIM(D2752)</f>
        <v>First ReviewActor Integrity - Actor Review</v>
      </c>
      <c r="K2752" s="4" t="n">
        <f aca="false">IFERROR(I2752*60,"")</f>
        <v>68.178</v>
      </c>
    </row>
    <row r="2753" customFormat="false" ht="15" hidden="false" customHeight="false" outlineLevel="0" collapsed="false">
      <c r="A2753" s="4" t="s">
        <v>15</v>
      </c>
      <c r="B2753" s="4" t="s">
        <v>2259</v>
      </c>
      <c r="C2753" s="4" t="s">
        <v>2260</v>
      </c>
      <c r="D2753" s="4"/>
      <c r="E2753" s="4" t="s">
        <v>63</v>
      </c>
      <c r="F2753" s="4" t="s">
        <v>63</v>
      </c>
      <c r="G2753" s="4" t="s">
        <v>2279</v>
      </c>
      <c r="H2753" s="4"/>
      <c r="I2753" s="4" t="n">
        <v>0.6387</v>
      </c>
      <c r="J2753" s="4" t="str">
        <f aca="false">TRIM(E2753) &amp; TRIM(C2753) &amp; TRIM(D2753)</f>
        <v>First ReviewActor Integrity - Actor Review</v>
      </c>
      <c r="K2753" s="4" t="n">
        <f aca="false">IFERROR(I2753*60,"")</f>
        <v>38.322</v>
      </c>
    </row>
    <row r="2754" customFormat="false" ht="15" hidden="false" customHeight="false" outlineLevel="0" collapsed="false">
      <c r="A2754" s="4" t="s">
        <v>15</v>
      </c>
      <c r="B2754" s="4" t="s">
        <v>2259</v>
      </c>
      <c r="C2754" s="4" t="s">
        <v>2260</v>
      </c>
      <c r="D2754" s="4"/>
      <c r="E2754" s="4" t="s">
        <v>63</v>
      </c>
      <c r="F2754" s="4" t="s">
        <v>63</v>
      </c>
      <c r="G2754" s="4" t="s">
        <v>2280</v>
      </c>
      <c r="H2754" s="4"/>
      <c r="I2754" s="4" t="n">
        <v>0.8623</v>
      </c>
      <c r="J2754" s="4" t="str">
        <f aca="false">TRIM(E2754) &amp; TRIM(C2754) &amp; TRIM(D2754)</f>
        <v>First ReviewActor Integrity - Actor Review</v>
      </c>
      <c r="K2754" s="4" t="n">
        <f aca="false">IFERROR(I2754*60,"")</f>
        <v>51.738</v>
      </c>
    </row>
    <row r="2755" customFormat="false" ht="15" hidden="false" customHeight="false" outlineLevel="0" collapsed="false">
      <c r="A2755" s="4" t="s">
        <v>15</v>
      </c>
      <c r="B2755" s="4" t="s">
        <v>2259</v>
      </c>
      <c r="C2755" s="4" t="s">
        <v>2260</v>
      </c>
      <c r="D2755" s="4"/>
      <c r="E2755" s="4" t="s">
        <v>63</v>
      </c>
      <c r="F2755" s="4" t="s">
        <v>63</v>
      </c>
      <c r="G2755" s="4" t="s">
        <v>2281</v>
      </c>
      <c r="H2755" s="4"/>
      <c r="I2755" s="4" t="n">
        <v>0.3188</v>
      </c>
      <c r="J2755" s="4" t="str">
        <f aca="false">TRIM(E2755) &amp; TRIM(C2755) &amp; TRIM(D2755)</f>
        <v>First ReviewActor Integrity - Actor Review</v>
      </c>
      <c r="K2755" s="4" t="n">
        <f aca="false">IFERROR(I2755*60,"")</f>
        <v>19.128</v>
      </c>
    </row>
    <row r="2756" customFormat="false" ht="15" hidden="false" customHeight="false" outlineLevel="0" collapsed="false">
      <c r="A2756" s="4" t="s">
        <v>15</v>
      </c>
      <c r="B2756" s="4" t="s">
        <v>2259</v>
      </c>
      <c r="C2756" s="4" t="s">
        <v>2260</v>
      </c>
      <c r="D2756" s="4"/>
      <c r="E2756" s="4" t="s">
        <v>63</v>
      </c>
      <c r="F2756" s="4" t="s">
        <v>63</v>
      </c>
      <c r="G2756" s="4" t="s">
        <v>2282</v>
      </c>
      <c r="H2756" s="4"/>
      <c r="I2756" s="4" t="n">
        <v>0.7441</v>
      </c>
      <c r="J2756" s="4" t="str">
        <f aca="false">TRIM(E2756) &amp; TRIM(C2756) &amp; TRIM(D2756)</f>
        <v>First ReviewActor Integrity - Actor Review</v>
      </c>
      <c r="K2756" s="4" t="n">
        <f aca="false">IFERROR(I2756*60,"")</f>
        <v>44.646</v>
      </c>
    </row>
    <row r="2757" customFormat="false" ht="15" hidden="false" customHeight="false" outlineLevel="0" collapsed="false">
      <c r="A2757" s="4" t="s">
        <v>15</v>
      </c>
      <c r="B2757" s="4" t="s">
        <v>2259</v>
      </c>
      <c r="C2757" s="4" t="s">
        <v>2260</v>
      </c>
      <c r="D2757" s="4"/>
      <c r="E2757" s="4" t="s">
        <v>63</v>
      </c>
      <c r="F2757" s="4" t="s">
        <v>63</v>
      </c>
      <c r="G2757" s="4" t="s">
        <v>2283</v>
      </c>
      <c r="H2757" s="4"/>
      <c r="I2757" s="4" t="n">
        <v>0.6867</v>
      </c>
      <c r="J2757" s="4" t="str">
        <f aca="false">TRIM(E2757) &amp; TRIM(C2757) &amp; TRIM(D2757)</f>
        <v>First ReviewActor Integrity - Actor Review</v>
      </c>
      <c r="K2757" s="4" t="n">
        <f aca="false">IFERROR(I2757*60,"")</f>
        <v>41.202</v>
      </c>
    </row>
    <row r="2758" customFormat="false" ht="15" hidden="false" customHeight="false" outlineLevel="0" collapsed="false">
      <c r="A2758" s="4" t="s">
        <v>15</v>
      </c>
      <c r="B2758" s="4" t="s">
        <v>2259</v>
      </c>
      <c r="C2758" s="4" t="s">
        <v>2260</v>
      </c>
      <c r="D2758" s="4"/>
      <c r="E2758" s="4" t="s">
        <v>63</v>
      </c>
      <c r="F2758" s="4" t="s">
        <v>63</v>
      </c>
      <c r="G2758" s="4" t="s">
        <v>2284</v>
      </c>
      <c r="H2758" s="4"/>
      <c r="I2758" s="4" t="n">
        <v>0.6686</v>
      </c>
      <c r="J2758" s="4" t="str">
        <f aca="false">TRIM(E2758) &amp; TRIM(C2758) &amp; TRIM(D2758)</f>
        <v>First ReviewActor Integrity - Actor Review</v>
      </c>
      <c r="K2758" s="4" t="n">
        <f aca="false">IFERROR(I2758*60,"")</f>
        <v>40.116</v>
      </c>
    </row>
    <row r="2759" customFormat="false" ht="15" hidden="false" customHeight="false" outlineLevel="0" collapsed="false">
      <c r="A2759" s="4" t="s">
        <v>15</v>
      </c>
      <c r="B2759" s="4" t="s">
        <v>2259</v>
      </c>
      <c r="C2759" s="4" t="s">
        <v>2260</v>
      </c>
      <c r="D2759" s="4"/>
      <c r="E2759" s="4" t="s">
        <v>63</v>
      </c>
      <c r="F2759" s="4" t="s">
        <v>63</v>
      </c>
      <c r="G2759" s="4" t="s">
        <v>2285</v>
      </c>
      <c r="H2759" s="4"/>
      <c r="I2759" s="4" t="n">
        <v>1.095</v>
      </c>
      <c r="J2759" s="4" t="str">
        <f aca="false">TRIM(E2759) &amp; TRIM(C2759) &amp; TRIM(D2759)</f>
        <v>First ReviewActor Integrity - Actor Review</v>
      </c>
      <c r="K2759" s="4" t="n">
        <f aca="false">IFERROR(I2759*60,"")</f>
        <v>65.7</v>
      </c>
    </row>
    <row r="2760" customFormat="false" ht="15" hidden="false" customHeight="false" outlineLevel="0" collapsed="false">
      <c r="A2760" s="4" t="s">
        <v>15</v>
      </c>
      <c r="B2760" s="4" t="s">
        <v>2259</v>
      </c>
      <c r="C2760" s="4" t="s">
        <v>2260</v>
      </c>
      <c r="D2760" s="4"/>
      <c r="E2760" s="4" t="s">
        <v>63</v>
      </c>
      <c r="F2760" s="4" t="s">
        <v>63</v>
      </c>
      <c r="G2760" s="4" t="s">
        <v>2286</v>
      </c>
      <c r="H2760" s="4"/>
      <c r="I2760" s="4" t="n">
        <v>0.7781</v>
      </c>
      <c r="J2760" s="4" t="str">
        <f aca="false">TRIM(E2760) &amp; TRIM(C2760) &amp; TRIM(D2760)</f>
        <v>First ReviewActor Integrity - Actor Review</v>
      </c>
      <c r="K2760" s="4" t="n">
        <f aca="false">IFERROR(I2760*60,"")</f>
        <v>46.686</v>
      </c>
    </row>
    <row r="2761" customFormat="false" ht="15" hidden="false" customHeight="false" outlineLevel="0" collapsed="false">
      <c r="A2761" s="4" t="s">
        <v>15</v>
      </c>
      <c r="B2761" s="4" t="s">
        <v>2259</v>
      </c>
      <c r="C2761" s="4" t="s">
        <v>2260</v>
      </c>
      <c r="D2761" s="4"/>
      <c r="E2761" s="4" t="s">
        <v>63</v>
      </c>
      <c r="F2761" s="4" t="s">
        <v>63</v>
      </c>
      <c r="G2761" s="4" t="s">
        <v>2287</v>
      </c>
      <c r="H2761" s="4"/>
      <c r="I2761" s="4" t="n">
        <v>0.9877</v>
      </c>
      <c r="J2761" s="4" t="str">
        <f aca="false">TRIM(E2761) &amp; TRIM(C2761) &amp; TRIM(D2761)</f>
        <v>First ReviewActor Integrity - Actor Review</v>
      </c>
      <c r="K2761" s="4" t="n">
        <f aca="false">IFERROR(I2761*60,"")</f>
        <v>59.262</v>
      </c>
    </row>
    <row r="2762" customFormat="false" ht="15" hidden="false" customHeight="false" outlineLevel="0" collapsed="false">
      <c r="A2762" s="4" t="s">
        <v>15</v>
      </c>
      <c r="B2762" s="4" t="s">
        <v>2259</v>
      </c>
      <c r="C2762" s="4" t="s">
        <v>2260</v>
      </c>
      <c r="D2762" s="4"/>
      <c r="E2762" s="4" t="s">
        <v>63</v>
      </c>
      <c r="F2762" s="4" t="s">
        <v>63</v>
      </c>
      <c r="G2762" s="4" t="s">
        <v>2288</v>
      </c>
      <c r="H2762" s="4"/>
      <c r="I2762" s="4" t="n">
        <v>0.268</v>
      </c>
      <c r="J2762" s="4" t="str">
        <f aca="false">TRIM(E2762) &amp; TRIM(C2762) &amp; TRIM(D2762)</f>
        <v>First ReviewActor Integrity - Actor Review</v>
      </c>
      <c r="K2762" s="4" t="n">
        <f aca="false">IFERROR(I2762*60,"")</f>
        <v>16.08</v>
      </c>
    </row>
    <row r="2763" customFormat="false" ht="15" hidden="false" customHeight="false" outlineLevel="0" collapsed="false">
      <c r="A2763" s="4" t="s">
        <v>15</v>
      </c>
      <c r="B2763" s="4" t="s">
        <v>2259</v>
      </c>
      <c r="C2763" s="4" t="s">
        <v>2260</v>
      </c>
      <c r="D2763" s="4"/>
      <c r="E2763" s="4" t="s">
        <v>63</v>
      </c>
      <c r="F2763" s="4" t="s">
        <v>63</v>
      </c>
      <c r="G2763" s="4" t="s">
        <v>2289</v>
      </c>
      <c r="H2763" s="4"/>
      <c r="I2763" s="4" t="n">
        <v>1.0478</v>
      </c>
      <c r="J2763" s="4" t="str">
        <f aca="false">TRIM(E2763) &amp; TRIM(C2763) &amp; TRIM(D2763)</f>
        <v>First ReviewActor Integrity - Actor Review</v>
      </c>
      <c r="K2763" s="4" t="n">
        <f aca="false">IFERROR(I2763*60,"")</f>
        <v>62.868</v>
      </c>
    </row>
    <row r="2764" customFormat="false" ht="15" hidden="false" customHeight="false" outlineLevel="0" collapsed="false">
      <c r="A2764" s="4" t="s">
        <v>15</v>
      </c>
      <c r="B2764" s="4" t="s">
        <v>2259</v>
      </c>
      <c r="C2764" s="4" t="s">
        <v>2260</v>
      </c>
      <c r="D2764" s="4"/>
      <c r="E2764" s="4" t="s">
        <v>63</v>
      </c>
      <c r="F2764" s="4" t="s">
        <v>63</v>
      </c>
      <c r="G2764" s="4" t="s">
        <v>2290</v>
      </c>
      <c r="H2764" s="4"/>
      <c r="I2764" s="4" t="n">
        <v>1.0381</v>
      </c>
      <c r="J2764" s="4" t="str">
        <f aca="false">TRIM(E2764) &amp; TRIM(C2764) &amp; TRIM(D2764)</f>
        <v>First ReviewActor Integrity - Actor Review</v>
      </c>
      <c r="K2764" s="4" t="n">
        <f aca="false">IFERROR(I2764*60,"")</f>
        <v>62.286</v>
      </c>
    </row>
    <row r="2765" customFormat="false" ht="15" hidden="false" customHeight="false" outlineLevel="0" collapsed="false">
      <c r="A2765" s="4" t="s">
        <v>15</v>
      </c>
      <c r="B2765" s="4" t="s">
        <v>2259</v>
      </c>
      <c r="C2765" s="4" t="s">
        <v>2260</v>
      </c>
      <c r="D2765" s="4"/>
      <c r="E2765" s="4" t="s">
        <v>63</v>
      </c>
      <c r="F2765" s="4" t="s">
        <v>63</v>
      </c>
      <c r="G2765" s="4" t="s">
        <v>2291</v>
      </c>
      <c r="H2765" s="4"/>
      <c r="I2765" s="4" t="n">
        <v>0.7635</v>
      </c>
      <c r="J2765" s="4" t="str">
        <f aca="false">TRIM(E2765) &amp; TRIM(C2765) &amp; TRIM(D2765)</f>
        <v>First ReviewActor Integrity - Actor Review</v>
      </c>
      <c r="K2765" s="4" t="n">
        <f aca="false">IFERROR(I2765*60,"")</f>
        <v>45.81</v>
      </c>
    </row>
    <row r="2766" customFormat="false" ht="15" hidden="false" customHeight="false" outlineLevel="0" collapsed="false">
      <c r="A2766" s="4" t="s">
        <v>15</v>
      </c>
      <c r="B2766" s="4" t="s">
        <v>2259</v>
      </c>
      <c r="C2766" s="4" t="s">
        <v>2260</v>
      </c>
      <c r="D2766" s="4"/>
      <c r="E2766" s="4" t="s">
        <v>63</v>
      </c>
      <c r="F2766" s="4" t="s">
        <v>63</v>
      </c>
      <c r="G2766" s="4" t="s">
        <v>2292</v>
      </c>
      <c r="H2766" s="4"/>
      <c r="I2766" s="4" t="n">
        <v>1.843</v>
      </c>
      <c r="J2766" s="4" t="str">
        <f aca="false">TRIM(E2766) &amp; TRIM(C2766) &amp; TRIM(D2766)</f>
        <v>First ReviewActor Integrity - Actor Review</v>
      </c>
      <c r="K2766" s="4" t="n">
        <f aca="false">IFERROR(I2766*60,"")</f>
        <v>110.58</v>
      </c>
    </row>
    <row r="2767" customFormat="false" ht="15" hidden="false" customHeight="false" outlineLevel="0" collapsed="false">
      <c r="A2767" s="4" t="s">
        <v>15</v>
      </c>
      <c r="B2767" s="4" t="s">
        <v>2259</v>
      </c>
      <c r="C2767" s="4" t="s">
        <v>2260</v>
      </c>
      <c r="D2767" s="4"/>
      <c r="E2767" s="4" t="s">
        <v>63</v>
      </c>
      <c r="F2767" s="4" t="s">
        <v>63</v>
      </c>
      <c r="G2767" s="4" t="s">
        <v>2293</v>
      </c>
      <c r="H2767" s="4"/>
      <c r="I2767" s="4" t="n">
        <v>0.767</v>
      </c>
      <c r="J2767" s="4" t="str">
        <f aca="false">TRIM(E2767) &amp; TRIM(C2767) &amp; TRIM(D2767)</f>
        <v>First ReviewActor Integrity - Actor Review</v>
      </c>
      <c r="K2767" s="4" t="n">
        <f aca="false">IFERROR(I2767*60,"")</f>
        <v>46.02</v>
      </c>
    </row>
    <row r="2768" customFormat="false" ht="15" hidden="false" customHeight="false" outlineLevel="0" collapsed="false">
      <c r="A2768" s="4" t="s">
        <v>15</v>
      </c>
      <c r="B2768" s="4" t="s">
        <v>2259</v>
      </c>
      <c r="C2768" s="4" t="s">
        <v>2260</v>
      </c>
      <c r="D2768" s="4"/>
      <c r="E2768" s="4" t="s">
        <v>63</v>
      </c>
      <c r="F2768" s="4" t="s">
        <v>63</v>
      </c>
      <c r="G2768" s="4" t="s">
        <v>2294</v>
      </c>
      <c r="H2768" s="4"/>
      <c r="I2768" s="4" t="n">
        <v>0.6594</v>
      </c>
      <c r="J2768" s="4" t="str">
        <f aca="false">TRIM(E2768) &amp; TRIM(C2768) &amp; TRIM(D2768)</f>
        <v>First ReviewActor Integrity - Actor Review</v>
      </c>
      <c r="K2768" s="4" t="n">
        <f aca="false">IFERROR(I2768*60,"")</f>
        <v>39.564</v>
      </c>
    </row>
    <row r="2769" customFormat="false" ht="15" hidden="false" customHeight="false" outlineLevel="0" collapsed="false">
      <c r="A2769" s="4" t="s">
        <v>15</v>
      </c>
      <c r="B2769" s="4" t="s">
        <v>2259</v>
      </c>
      <c r="C2769" s="4" t="s">
        <v>2260</v>
      </c>
      <c r="D2769" s="4"/>
      <c r="E2769" s="4" t="s">
        <v>63</v>
      </c>
      <c r="F2769" s="4" t="s">
        <v>63</v>
      </c>
      <c r="G2769" s="4" t="s">
        <v>2295</v>
      </c>
      <c r="H2769" s="4"/>
      <c r="I2769" s="4" t="n">
        <v>0.6564</v>
      </c>
      <c r="J2769" s="4" t="str">
        <f aca="false">TRIM(E2769) &amp; TRIM(C2769) &amp; TRIM(D2769)</f>
        <v>First ReviewActor Integrity - Actor Review</v>
      </c>
      <c r="K2769" s="4" t="n">
        <f aca="false">IFERROR(I2769*60,"")</f>
        <v>39.384</v>
      </c>
    </row>
    <row r="2770" customFormat="false" ht="15" hidden="false" customHeight="false" outlineLevel="0" collapsed="false">
      <c r="A2770" s="4" t="s">
        <v>15</v>
      </c>
      <c r="B2770" s="4" t="s">
        <v>2259</v>
      </c>
      <c r="C2770" s="4" t="s">
        <v>2254</v>
      </c>
      <c r="D2770" s="4"/>
      <c r="E2770" s="4" t="s">
        <v>63</v>
      </c>
      <c r="F2770" s="4" t="s">
        <v>63</v>
      </c>
      <c r="G2770" s="4" t="s">
        <v>2296</v>
      </c>
      <c r="H2770" s="4"/>
      <c r="I2770" s="4" t="n">
        <v>0.507</v>
      </c>
      <c r="J2770" s="4" t="str">
        <f aca="false">TRIM(E2770) &amp; TRIM(C2770) &amp; TRIM(D2770)</f>
        <v>First ReviewN/A</v>
      </c>
      <c r="K2770" s="4" t="n">
        <f aca="false">IFERROR(I2770*60,"")</f>
        <v>30.42</v>
      </c>
    </row>
    <row r="2771" customFormat="false" ht="15" hidden="false" customHeight="false" outlineLevel="0" collapsed="false">
      <c r="A2771" s="4" t="s">
        <v>15</v>
      </c>
      <c r="B2771" s="4" t="s">
        <v>1136</v>
      </c>
      <c r="C2771" s="4" t="s">
        <v>1148</v>
      </c>
      <c r="D2771" s="4"/>
      <c r="E2771" s="4" t="s">
        <v>67</v>
      </c>
      <c r="F2771" s="4" t="s">
        <v>67</v>
      </c>
      <c r="G2771" s="4" t="s">
        <v>1260</v>
      </c>
      <c r="H2771" s="4"/>
      <c r="I2771" s="4" t="n">
        <v>1.9701</v>
      </c>
      <c r="J2771" s="4" t="str">
        <f aca="false">TRIM(E2771) &amp; TRIM(C2771) &amp; TRIM(D2771)</f>
        <v>RecallPro Account Product</v>
      </c>
      <c r="K2771" s="4" t="n">
        <f aca="false">IFERROR(I2771*60,"")</f>
        <v>118.206</v>
      </c>
    </row>
    <row r="2772" customFormat="false" ht="15" hidden="false" customHeight="false" outlineLevel="0" collapsed="false">
      <c r="A2772" s="4" t="s">
        <v>15</v>
      </c>
      <c r="B2772" s="4" t="s">
        <v>1136</v>
      </c>
      <c r="C2772" s="4" t="s">
        <v>1148</v>
      </c>
      <c r="D2772" s="4"/>
      <c r="E2772" s="4" t="s">
        <v>67</v>
      </c>
      <c r="F2772" s="4" t="s">
        <v>67</v>
      </c>
      <c r="G2772" s="4" t="s">
        <v>1262</v>
      </c>
      <c r="H2772" s="4"/>
      <c r="I2772" s="4" t="n">
        <v>2.2004</v>
      </c>
      <c r="J2772" s="4" t="str">
        <f aca="false">TRIM(E2772) &amp; TRIM(C2772) &amp; TRIM(D2772)</f>
        <v>RecallPro Account Product</v>
      </c>
      <c r="K2772" s="4" t="n">
        <f aca="false">IFERROR(I2772*60,"")</f>
        <v>132.024</v>
      </c>
    </row>
    <row r="2773" customFormat="false" ht="15" hidden="false" customHeight="false" outlineLevel="0" collapsed="false">
      <c r="A2773" s="4" t="s">
        <v>15</v>
      </c>
      <c r="B2773" s="4" t="s">
        <v>1136</v>
      </c>
      <c r="C2773" s="4" t="s">
        <v>1148</v>
      </c>
      <c r="D2773" s="4"/>
      <c r="E2773" s="4" t="s">
        <v>67</v>
      </c>
      <c r="F2773" s="4" t="s">
        <v>67</v>
      </c>
      <c r="G2773" s="4" t="s">
        <v>1197</v>
      </c>
      <c r="H2773" s="4"/>
      <c r="I2773" s="4" t="n">
        <v>2.048</v>
      </c>
      <c r="J2773" s="4" t="str">
        <f aca="false">TRIM(E2773) &amp; TRIM(C2773) &amp; TRIM(D2773)</f>
        <v>RecallPro Account Product</v>
      </c>
      <c r="K2773" s="4" t="n">
        <f aca="false">IFERROR(I2773*60,"")</f>
        <v>122.88</v>
      </c>
    </row>
    <row r="2774" customFormat="false" ht="15" hidden="false" customHeight="false" outlineLevel="0" collapsed="false">
      <c r="A2774" s="4" t="s">
        <v>15</v>
      </c>
      <c r="B2774" s="4" t="s">
        <v>1136</v>
      </c>
      <c r="C2774" s="4" t="s">
        <v>1139</v>
      </c>
      <c r="D2774" s="4"/>
      <c r="E2774" s="4" t="s">
        <v>67</v>
      </c>
      <c r="F2774" s="4" t="s">
        <v>67</v>
      </c>
      <c r="G2774" s="4" t="s">
        <v>1147</v>
      </c>
      <c r="H2774" s="4"/>
      <c r="I2774" s="4" t="n">
        <v>2.0576</v>
      </c>
      <c r="J2774" s="4" t="str">
        <f aca="false">TRIM(E2774) &amp; TRIM(C2774) &amp; TRIM(D2774)</f>
        <v>RecallPro Account ROI2 Video</v>
      </c>
      <c r="K2774" s="4" t="n">
        <f aca="false">IFERROR(I2774*60,"")</f>
        <v>123.456</v>
      </c>
    </row>
    <row r="2775" customFormat="false" ht="15" hidden="false" customHeight="false" outlineLevel="0" collapsed="false">
      <c r="A2775" s="4" t="s">
        <v>15</v>
      </c>
      <c r="B2775" s="4" t="s">
        <v>2195</v>
      </c>
      <c r="C2775" s="4" t="s">
        <v>2297</v>
      </c>
      <c r="D2775" s="4"/>
      <c r="E2775" s="4" t="s">
        <v>67</v>
      </c>
      <c r="F2775" s="4" t="s">
        <v>67</v>
      </c>
      <c r="G2775" s="4" t="s">
        <v>1235</v>
      </c>
      <c r="H2775" s="4"/>
      <c r="I2775" s="4" t="n">
        <v>1.0771</v>
      </c>
      <c r="J2775" s="4" t="str">
        <f aca="false">TRIM(E2775) &amp; TRIM(C2775) &amp; TRIM(D2775)</f>
        <v>Recallba_community_video</v>
      </c>
      <c r="K2775" s="4" t="n">
        <f aca="false">IFERROR(I2775*60,"")</f>
        <v>64.626</v>
      </c>
    </row>
    <row r="2776" customFormat="false" ht="15" hidden="false" customHeight="false" outlineLevel="0" collapsed="false">
      <c r="A2776" s="4" t="s">
        <v>15</v>
      </c>
      <c r="B2776" s="4" t="s">
        <v>2195</v>
      </c>
      <c r="C2776" s="4" t="s">
        <v>2297</v>
      </c>
      <c r="D2776" s="4"/>
      <c r="E2776" s="4" t="s">
        <v>67</v>
      </c>
      <c r="F2776" s="4" t="s">
        <v>67</v>
      </c>
      <c r="G2776" s="4" t="s">
        <v>1155</v>
      </c>
      <c r="H2776" s="4"/>
      <c r="I2776" s="4" t="n">
        <v>1.2749</v>
      </c>
      <c r="J2776" s="4" t="str">
        <f aca="false">TRIM(E2776) &amp; TRIM(C2776) &amp; TRIM(D2776)</f>
        <v>Recallba_community_video</v>
      </c>
      <c r="K2776" s="4" t="n">
        <f aca="false">IFERROR(I2776*60,"")</f>
        <v>76.494</v>
      </c>
    </row>
    <row r="2777" customFormat="false" ht="15" hidden="false" customHeight="false" outlineLevel="0" collapsed="false">
      <c r="A2777" s="4" t="s">
        <v>15</v>
      </c>
      <c r="B2777" s="4" t="s">
        <v>2195</v>
      </c>
      <c r="C2777" s="4" t="s">
        <v>2298</v>
      </c>
      <c r="D2777" s="4"/>
      <c r="E2777" s="4" t="s">
        <v>67</v>
      </c>
      <c r="F2777" s="4" t="s">
        <v>67</v>
      </c>
      <c r="G2777" s="4" t="s">
        <v>2299</v>
      </c>
      <c r="H2777" s="4"/>
      <c r="I2777" s="4" t="n">
        <v>1.2007</v>
      </c>
      <c r="J2777" s="4" t="str">
        <f aca="false">TRIM(E2777) &amp; TRIM(C2777) &amp; TRIM(D2777)</f>
        <v>RecallBrand Content</v>
      </c>
      <c r="K2777" s="4" t="n">
        <f aca="false">IFERROR(I2777*60,"")</f>
        <v>72.042</v>
      </c>
    </row>
    <row r="2778" customFormat="false" ht="15" hidden="false" customHeight="false" outlineLevel="0" collapsed="false">
      <c r="A2778" s="4" t="s">
        <v>15</v>
      </c>
      <c r="B2778" s="4" t="s">
        <v>2259</v>
      </c>
      <c r="C2778" s="4" t="s">
        <v>2300</v>
      </c>
      <c r="D2778" s="4"/>
      <c r="E2778" s="4" t="s">
        <v>67</v>
      </c>
      <c r="F2778" s="4" t="s">
        <v>67</v>
      </c>
      <c r="G2778" s="4" t="s">
        <v>373</v>
      </c>
      <c r="H2778" s="4"/>
      <c r="I2778" s="4" t="n">
        <v>1.6484</v>
      </c>
      <c r="J2778" s="4" t="str">
        <f aca="false">TRIM(E2778) &amp; TRIM(C2778) &amp; TRIM(D2778)</f>
        <v>RecallAd Group Recall (Merged)</v>
      </c>
      <c r="K2778" s="4" t="n">
        <f aca="false">IFERROR(I2778*60,"")</f>
        <v>98.904</v>
      </c>
    </row>
    <row r="2779" customFormat="false" ht="15" hidden="false" customHeight="false" outlineLevel="0" collapsed="false">
      <c r="A2779" s="4" t="s">
        <v>15</v>
      </c>
      <c r="B2779" s="4" t="s">
        <v>2259</v>
      </c>
      <c r="C2779" s="4" t="s">
        <v>2301</v>
      </c>
      <c r="D2779" s="4"/>
      <c r="E2779" s="4" t="s">
        <v>67</v>
      </c>
      <c r="F2779" s="4" t="s">
        <v>67</v>
      </c>
      <c r="G2779" s="4" t="s">
        <v>2299</v>
      </c>
      <c r="H2779" s="4"/>
      <c r="I2779" s="4" t="n">
        <v>0.8974</v>
      </c>
      <c r="J2779" s="4" t="str">
        <f aca="false">TRIM(E2779) &amp; TRIM(C2779) &amp; TRIM(D2779)</f>
        <v>RecallBC Report Recall</v>
      </c>
      <c r="K2779" s="4" t="n">
        <f aca="false">IFERROR(I2779*60,"")</f>
        <v>53.844</v>
      </c>
    </row>
    <row r="2780" customFormat="false" ht="15" hidden="false" customHeight="false" outlineLevel="0" collapsed="false">
      <c r="A2780" s="4" t="s">
        <v>15</v>
      </c>
      <c r="B2780" s="4" t="s">
        <v>2259</v>
      </c>
      <c r="C2780" s="4" t="s">
        <v>2301</v>
      </c>
      <c r="D2780" s="4"/>
      <c r="E2780" s="4" t="s">
        <v>67</v>
      </c>
      <c r="F2780" s="4" t="s">
        <v>67</v>
      </c>
      <c r="G2780" s="4" t="s">
        <v>2302</v>
      </c>
      <c r="H2780" s="4"/>
      <c r="I2780" s="4" t="n">
        <v>1.4467</v>
      </c>
      <c r="J2780" s="4" t="str">
        <f aca="false">TRIM(E2780) &amp; TRIM(C2780) &amp; TRIM(D2780)</f>
        <v>RecallBC Report Recall</v>
      </c>
      <c r="K2780" s="4" t="n">
        <f aca="false">IFERROR(I2780*60,"")</f>
        <v>86.802</v>
      </c>
    </row>
    <row r="2781" customFormat="false" ht="15" hidden="false" customHeight="false" outlineLevel="0" collapsed="false">
      <c r="A2781" s="4" t="s">
        <v>15</v>
      </c>
      <c r="B2781" s="4" t="s">
        <v>2259</v>
      </c>
      <c r="C2781" s="4" t="s">
        <v>2301</v>
      </c>
      <c r="D2781" s="4"/>
      <c r="E2781" s="4" t="s">
        <v>67</v>
      </c>
      <c r="F2781" s="4" t="s">
        <v>67</v>
      </c>
      <c r="G2781" s="4" t="s">
        <v>908</v>
      </c>
      <c r="H2781" s="4"/>
      <c r="I2781" s="4" t="n">
        <v>1.7884</v>
      </c>
      <c r="J2781" s="4" t="str">
        <f aca="false">TRIM(E2781) &amp; TRIM(C2781) &amp; TRIM(D2781)</f>
        <v>RecallBC Report Recall</v>
      </c>
      <c r="K2781" s="4" t="n">
        <f aca="false">IFERROR(I2781*60,"")</f>
        <v>107.304</v>
      </c>
    </row>
    <row r="2782" customFormat="false" ht="15" hidden="false" customHeight="false" outlineLevel="0" collapsed="false">
      <c r="A2782" s="4" t="s">
        <v>15</v>
      </c>
      <c r="B2782" s="4" t="s">
        <v>2259</v>
      </c>
      <c r="C2782" s="4" t="s">
        <v>2301</v>
      </c>
      <c r="D2782" s="4"/>
      <c r="E2782" s="4" t="s">
        <v>67</v>
      </c>
      <c r="F2782" s="4" t="s">
        <v>67</v>
      </c>
      <c r="G2782" s="4" t="s">
        <v>2303</v>
      </c>
      <c r="H2782" s="4"/>
      <c r="I2782" s="4" t="n">
        <v>2.3015</v>
      </c>
      <c r="J2782" s="4" t="str">
        <f aca="false">TRIM(E2782) &amp; TRIM(C2782) &amp; TRIM(D2782)</f>
        <v>RecallBC Report Recall</v>
      </c>
      <c r="K2782" s="4" t="n">
        <f aca="false">IFERROR(I2782*60,"")</f>
        <v>138.09</v>
      </c>
    </row>
    <row r="2783" customFormat="false" ht="15" hidden="false" customHeight="false" outlineLevel="0" collapsed="false">
      <c r="A2783" s="4" t="s">
        <v>15</v>
      </c>
      <c r="B2783" s="4" t="s">
        <v>2259</v>
      </c>
      <c r="C2783" s="4" t="s">
        <v>2301</v>
      </c>
      <c r="D2783" s="4"/>
      <c r="E2783" s="4" t="s">
        <v>67</v>
      </c>
      <c r="F2783" s="4" t="s">
        <v>67</v>
      </c>
      <c r="G2783" s="4" t="s">
        <v>2304</v>
      </c>
      <c r="H2783" s="4"/>
      <c r="I2783" s="4" t="n">
        <v>1.5377</v>
      </c>
      <c r="J2783" s="4" t="str">
        <f aca="false">TRIM(E2783) &amp; TRIM(C2783) &amp; TRIM(D2783)</f>
        <v>RecallBC Report Recall</v>
      </c>
      <c r="K2783" s="4" t="n">
        <f aca="false">IFERROR(I2783*60,"")</f>
        <v>92.262</v>
      </c>
    </row>
    <row r="2784" customFormat="false" ht="15" hidden="false" customHeight="false" outlineLevel="0" collapsed="false">
      <c r="A2784" s="4" t="s">
        <v>15</v>
      </c>
      <c r="B2784" s="4" t="s">
        <v>2259</v>
      </c>
      <c r="C2784" s="4" t="s">
        <v>2305</v>
      </c>
      <c r="D2784" s="4"/>
      <c r="E2784" s="4" t="s">
        <v>67</v>
      </c>
      <c r="F2784" s="4" t="s">
        <v>67</v>
      </c>
      <c r="G2784" s="4" t="s">
        <v>1873</v>
      </c>
      <c r="H2784" s="4"/>
      <c r="I2784" s="4" t="n">
        <v>0.9431</v>
      </c>
      <c r="J2784" s="4" t="str">
        <f aca="false">TRIM(E2784) &amp; TRIM(C2784) &amp; TRIM(D2784)</f>
        <v>RecallDynamic Catalog Wholeprod Recall</v>
      </c>
      <c r="K2784" s="4" t="n">
        <f aca="false">IFERROR(I2784*60,"")</f>
        <v>56.586</v>
      </c>
    </row>
    <row r="2785" customFormat="false" ht="15" hidden="false" customHeight="false" outlineLevel="0" collapsed="false">
      <c r="A2785" s="4" t="s">
        <v>15</v>
      </c>
      <c r="B2785" s="4" t="s">
        <v>2259</v>
      </c>
      <c r="C2785" s="4" t="s">
        <v>2305</v>
      </c>
      <c r="D2785" s="4"/>
      <c r="E2785" s="4" t="s">
        <v>67</v>
      </c>
      <c r="F2785" s="4" t="s">
        <v>67</v>
      </c>
      <c r="G2785" s="4" t="s">
        <v>2306</v>
      </c>
      <c r="H2785" s="4"/>
      <c r="I2785" s="4" t="n">
        <v>3.6775</v>
      </c>
      <c r="J2785" s="4" t="str">
        <f aca="false">TRIM(E2785) &amp; TRIM(C2785) &amp; TRIM(D2785)</f>
        <v>RecallDynamic Catalog Wholeprod Recall</v>
      </c>
      <c r="K2785" s="4" t="n">
        <f aca="false">IFERROR(I2785*60,"")</f>
        <v>220.65</v>
      </c>
    </row>
    <row r="2786" customFormat="false" ht="15" hidden="false" customHeight="false" outlineLevel="0" collapsed="false">
      <c r="A2786" s="4" t="s">
        <v>15</v>
      </c>
      <c r="B2786" s="4" t="s">
        <v>2259</v>
      </c>
      <c r="C2786" s="4" t="s">
        <v>2305</v>
      </c>
      <c r="D2786" s="4"/>
      <c r="E2786" s="4" t="s">
        <v>67</v>
      </c>
      <c r="F2786" s="4" t="s">
        <v>67</v>
      </c>
      <c r="G2786" s="4" t="s">
        <v>1877</v>
      </c>
      <c r="H2786" s="4"/>
      <c r="I2786" s="4" t="n">
        <v>1.5828</v>
      </c>
      <c r="J2786" s="4" t="str">
        <f aca="false">TRIM(E2786) &amp; TRIM(C2786) &amp; TRIM(D2786)</f>
        <v>RecallDynamic Catalog Wholeprod Recall</v>
      </c>
      <c r="K2786" s="4" t="n">
        <f aca="false">IFERROR(I2786*60,"")</f>
        <v>94.968</v>
      </c>
    </row>
    <row r="2787" customFormat="false" ht="15" hidden="false" customHeight="false" outlineLevel="0" collapsed="false">
      <c r="A2787" s="4" t="s">
        <v>15</v>
      </c>
      <c r="B2787" s="4" t="s">
        <v>2259</v>
      </c>
      <c r="C2787" s="4" t="s">
        <v>2305</v>
      </c>
      <c r="D2787" s="4"/>
      <c r="E2787" s="4" t="s">
        <v>67</v>
      </c>
      <c r="F2787" s="4" t="s">
        <v>67</v>
      </c>
      <c r="G2787" s="4" t="s">
        <v>1920</v>
      </c>
      <c r="H2787" s="4"/>
      <c r="I2787" s="4" t="n">
        <v>1.4387</v>
      </c>
      <c r="J2787" s="4" t="str">
        <f aca="false">TRIM(E2787) &amp; TRIM(C2787) &amp; TRIM(D2787)</f>
        <v>RecallDynamic Catalog Wholeprod Recall</v>
      </c>
      <c r="K2787" s="4" t="n">
        <f aca="false">IFERROR(I2787*60,"")</f>
        <v>86.322</v>
      </c>
    </row>
    <row r="2788" customFormat="false" ht="15" hidden="false" customHeight="false" outlineLevel="0" collapsed="false">
      <c r="A2788" s="4" t="s">
        <v>15</v>
      </c>
      <c r="B2788" s="4" t="s">
        <v>2259</v>
      </c>
      <c r="C2788" s="4" t="s">
        <v>2305</v>
      </c>
      <c r="D2788" s="4"/>
      <c r="E2788" s="4" t="s">
        <v>67</v>
      </c>
      <c r="F2788" s="4" t="s">
        <v>67</v>
      </c>
      <c r="G2788" s="4" t="s">
        <v>1882</v>
      </c>
      <c r="H2788" s="4"/>
      <c r="I2788" s="4" t="n">
        <v>0.9731</v>
      </c>
      <c r="J2788" s="4" t="str">
        <f aca="false">TRIM(E2788) &amp; TRIM(C2788) &amp; TRIM(D2788)</f>
        <v>RecallDynamic Catalog Wholeprod Recall</v>
      </c>
      <c r="K2788" s="4" t="n">
        <f aca="false">IFERROR(I2788*60,"")</f>
        <v>58.386</v>
      </c>
    </row>
    <row r="2789" customFormat="false" ht="15" hidden="false" customHeight="false" outlineLevel="0" collapsed="false">
      <c r="A2789" s="4" t="s">
        <v>15</v>
      </c>
      <c r="B2789" s="4" t="s">
        <v>2009</v>
      </c>
      <c r="C2789" s="4" t="s">
        <v>2012</v>
      </c>
      <c r="D2789" s="4"/>
      <c r="E2789" s="4" t="s">
        <v>67</v>
      </c>
      <c r="F2789" s="4" t="s">
        <v>67</v>
      </c>
      <c r="G2789" s="4" t="s">
        <v>2307</v>
      </c>
      <c r="H2789" s="4"/>
      <c r="I2789" s="4" t="n">
        <v>5.3539</v>
      </c>
      <c r="J2789" s="4" t="str">
        <f aca="false">TRIM(E2789) &amp; TRIM(C2789) &amp; TRIM(D2789)</f>
        <v>RecallTrial Install Android App</v>
      </c>
      <c r="K2789" s="4" t="n">
        <f aca="false">IFERROR(I2789*60,"")</f>
        <v>321.234</v>
      </c>
    </row>
    <row r="2790" customFormat="false" ht="15" hidden="false" customHeight="false" outlineLevel="0" collapsed="false">
      <c r="A2790" s="4" t="s">
        <v>15</v>
      </c>
      <c r="B2790" s="4" t="s">
        <v>2009</v>
      </c>
      <c r="C2790" s="4" t="s">
        <v>2012</v>
      </c>
      <c r="D2790" s="4"/>
      <c r="E2790" s="4" t="s">
        <v>67</v>
      </c>
      <c r="F2790" s="4" t="s">
        <v>67</v>
      </c>
      <c r="G2790" s="4" t="s">
        <v>2308</v>
      </c>
      <c r="H2790" s="4"/>
      <c r="I2790" s="4" t="n">
        <v>7.0682</v>
      </c>
      <c r="J2790" s="4" t="str">
        <f aca="false">TRIM(E2790) &amp; TRIM(C2790) &amp; TRIM(D2790)</f>
        <v>RecallTrial Install Android App</v>
      </c>
      <c r="K2790" s="4" t="n">
        <f aca="false">IFERROR(I2790*60,"")</f>
        <v>424.092</v>
      </c>
    </row>
    <row r="2791" customFormat="false" ht="15" hidden="false" customHeight="false" outlineLevel="0" collapsed="false">
      <c r="A2791" s="4" t="s">
        <v>15</v>
      </c>
      <c r="B2791" s="4" t="s">
        <v>2009</v>
      </c>
      <c r="C2791" s="4" t="s">
        <v>2012</v>
      </c>
      <c r="D2791" s="4"/>
      <c r="E2791" s="4" t="s">
        <v>67</v>
      </c>
      <c r="F2791" s="4" t="s">
        <v>67</v>
      </c>
      <c r="G2791" s="4" t="s">
        <v>2309</v>
      </c>
      <c r="H2791" s="4"/>
      <c r="I2791" s="4" t="n">
        <v>5.7335</v>
      </c>
      <c r="J2791" s="4" t="str">
        <f aca="false">TRIM(E2791) &amp; TRIM(C2791) &amp; TRIM(D2791)</f>
        <v>RecallTrial Install Android App</v>
      </c>
      <c r="K2791" s="4" t="n">
        <f aca="false">IFERROR(I2791*60,"")</f>
        <v>344.01</v>
      </c>
    </row>
    <row r="2792" customFormat="false" ht="15" hidden="false" customHeight="false" outlineLevel="0" collapsed="false">
      <c r="A2792" s="4" t="s">
        <v>15</v>
      </c>
      <c r="B2792" s="4" t="s">
        <v>2009</v>
      </c>
      <c r="C2792" s="4" t="s">
        <v>2012</v>
      </c>
      <c r="D2792" s="4"/>
      <c r="E2792" s="4" t="s">
        <v>67</v>
      </c>
      <c r="F2792" s="4" t="s">
        <v>67</v>
      </c>
      <c r="G2792" s="4" t="s">
        <v>2310</v>
      </c>
      <c r="H2792" s="4"/>
      <c r="I2792" s="4" t="n">
        <v>8.8352</v>
      </c>
      <c r="J2792" s="4" t="str">
        <f aca="false">TRIM(E2792) &amp; TRIM(C2792) &amp; TRIM(D2792)</f>
        <v>RecallTrial Install Android App</v>
      </c>
      <c r="K2792" s="4" t="n">
        <f aca="false">IFERROR(I2792*60,"")</f>
        <v>530.112</v>
      </c>
    </row>
    <row r="2793" customFormat="false" ht="15" hidden="false" customHeight="false" outlineLevel="0" collapsed="false">
      <c r="A2793" s="4" t="s">
        <v>15</v>
      </c>
      <c r="B2793" s="4" t="s">
        <v>2009</v>
      </c>
      <c r="C2793" s="4" t="s">
        <v>2010</v>
      </c>
      <c r="D2793" s="4"/>
      <c r="E2793" s="4" t="s">
        <v>67</v>
      </c>
      <c r="F2793" s="4" t="s">
        <v>67</v>
      </c>
      <c r="G2793" s="4" t="s">
        <v>2311</v>
      </c>
      <c r="H2793" s="4"/>
      <c r="I2793" s="4" t="n">
        <v>6.761</v>
      </c>
      <c r="J2793" s="4" t="str">
        <f aca="false">TRIM(E2793) &amp; TRIM(C2793) &amp; TRIM(D2793)</f>
        <v>RecallTrial Install IOS App</v>
      </c>
      <c r="K2793" s="4" t="n">
        <f aca="false">IFERROR(I2793*60,"")</f>
        <v>405.66</v>
      </c>
    </row>
    <row r="2794" customFormat="false" ht="15" hidden="false" customHeight="false" outlineLevel="0" collapsed="false">
      <c r="A2794" s="4" t="s">
        <v>15</v>
      </c>
      <c r="B2794" s="4" t="s">
        <v>2009</v>
      </c>
      <c r="C2794" s="4" t="s">
        <v>2010</v>
      </c>
      <c r="D2794" s="4"/>
      <c r="E2794" s="4" t="s">
        <v>67</v>
      </c>
      <c r="F2794" s="4" t="s">
        <v>67</v>
      </c>
      <c r="G2794" s="4" t="s">
        <v>2312</v>
      </c>
      <c r="H2794" s="4"/>
      <c r="I2794" s="4" t="n">
        <v>8.3718</v>
      </c>
      <c r="J2794" s="4" t="str">
        <f aca="false">TRIM(E2794) &amp; TRIM(C2794) &amp; TRIM(D2794)</f>
        <v>RecallTrial Install IOS App</v>
      </c>
      <c r="K2794" s="4" t="n">
        <f aca="false">IFERROR(I2794*60,"")</f>
        <v>502.308</v>
      </c>
    </row>
    <row r="2795" customFormat="false" ht="15" hidden="false" customHeight="false" outlineLevel="0" collapsed="false">
      <c r="A2795" s="4" t="s">
        <v>15</v>
      </c>
      <c r="B2795" s="4" t="s">
        <v>2259</v>
      </c>
      <c r="C2795" s="4" t="s">
        <v>2260</v>
      </c>
      <c r="D2795" s="4"/>
      <c r="E2795" s="4" t="s">
        <v>63</v>
      </c>
      <c r="F2795" s="4"/>
      <c r="G2795" s="4" t="s">
        <v>2313</v>
      </c>
      <c r="H2795" s="4"/>
      <c r="I2795" s="4" t="n">
        <v>0.9666</v>
      </c>
      <c r="J2795" s="4" t="str">
        <f aca="false">TRIM(E2795) &amp; TRIM(C2795) &amp; TRIM(D2795)</f>
        <v>First ReviewActor Integrity - Actor Review</v>
      </c>
      <c r="K2795" s="4" t="n">
        <f aca="false">IFERROR(I2795*60,"")</f>
        <v>57.996</v>
      </c>
    </row>
    <row r="2796" customFormat="false" ht="15" hidden="false" customHeight="false" outlineLevel="0" collapsed="false">
      <c r="A2796" s="4" t="s">
        <v>15</v>
      </c>
      <c r="B2796" s="4" t="s">
        <v>2009</v>
      </c>
      <c r="C2796" s="4" t="s">
        <v>2010</v>
      </c>
      <c r="D2796" s="4"/>
      <c r="E2796" s="4" t="s">
        <v>67</v>
      </c>
      <c r="F2796" s="4"/>
      <c r="G2796" s="4" t="s">
        <v>2314</v>
      </c>
      <c r="H2796" s="4"/>
      <c r="I2796" s="4" t="n">
        <v>5.3072</v>
      </c>
      <c r="J2796" s="4" t="str">
        <f aca="false">TRIM(E2796) &amp; TRIM(C2796) &amp; TRIM(D2796)</f>
        <v>RecallTrial Install IOS App</v>
      </c>
      <c r="K2796" s="4" t="n">
        <f aca="false">IFERROR(I2796*60,"")</f>
        <v>318.432</v>
      </c>
    </row>
    <row r="2797" customFormat="false" ht="15" hidden="false" customHeight="false" outlineLevel="0" collapsed="false">
      <c r="A2797" s="4" t="s">
        <v>15</v>
      </c>
      <c r="B2797" s="4" t="s">
        <v>2009</v>
      </c>
      <c r="C2797" s="4" t="s">
        <v>2010</v>
      </c>
      <c r="D2797" s="4"/>
      <c r="E2797" s="4" t="s">
        <v>67</v>
      </c>
      <c r="F2797" s="4"/>
      <c r="G2797" s="4" t="s">
        <v>2315</v>
      </c>
      <c r="H2797" s="4"/>
      <c r="I2797" s="4" t="n">
        <v>11.7985</v>
      </c>
      <c r="J2797" s="4" t="str">
        <f aca="false">TRIM(E2797) &amp; TRIM(C2797) &amp; TRIM(D2797)</f>
        <v>RecallTrial Install IOS App</v>
      </c>
      <c r="K2797" s="4" t="n">
        <f aca="false">IFERROR(I2797*60,"")</f>
        <v>707.91</v>
      </c>
    </row>
    <row r="2798" customFormat="false" ht="15" hidden="false" customHeight="false" outlineLevel="0" collapsed="false">
      <c r="A2798" s="4" t="s">
        <v>15</v>
      </c>
      <c r="B2798" s="4" t="s">
        <v>2009</v>
      </c>
      <c r="C2798" s="4" t="s">
        <v>2010</v>
      </c>
      <c r="D2798" s="4"/>
      <c r="E2798" s="4" t="s">
        <v>67</v>
      </c>
      <c r="F2798" s="4"/>
      <c r="G2798" s="4" t="s">
        <v>2316</v>
      </c>
      <c r="H2798" s="4"/>
      <c r="I2798" s="4" t="n">
        <v>13.5096</v>
      </c>
      <c r="J2798" s="4" t="str">
        <f aca="false">TRIM(E2798) &amp; TRIM(C2798) &amp; TRIM(D2798)</f>
        <v>RecallTrial Install IOS App</v>
      </c>
      <c r="K2798" s="4" t="n">
        <f aca="false">IFERROR(I2798*60,"")</f>
        <v>810.576</v>
      </c>
    </row>
    <row r="2799" customFormat="false" ht="15" hidden="false" customHeight="false" outlineLevel="0" collapsed="false">
      <c r="A2799" s="4" t="s">
        <v>15</v>
      </c>
      <c r="B2799" s="4" t="s">
        <v>2247</v>
      </c>
      <c r="C2799" s="4" t="s">
        <v>2248</v>
      </c>
      <c r="D2799" s="4"/>
      <c r="E2799" s="4" t="s">
        <v>63</v>
      </c>
      <c r="F2799" s="4"/>
      <c r="G2799" s="4" t="s">
        <v>2317</v>
      </c>
      <c r="H2799" s="4"/>
      <c r="I2799" s="4" t="n">
        <v>0.5046</v>
      </c>
      <c r="J2799" s="4" t="str">
        <f aca="false">TRIM(E2799) &amp; TRIM(C2799) &amp; TRIM(D2799)</f>
        <v>First ReviewPVIL 1st round</v>
      </c>
      <c r="K2799" s="4" t="n">
        <f aca="false">IFERROR(I2799*60,"")</f>
        <v>30.276</v>
      </c>
    </row>
    <row r="2800" customFormat="false" ht="15" hidden="false" customHeight="false" outlineLevel="0" collapsed="false">
      <c r="A2800" s="4" t="s">
        <v>15</v>
      </c>
      <c r="B2800" s="4" t="s">
        <v>2247</v>
      </c>
      <c r="C2800" s="4" t="s">
        <v>2248</v>
      </c>
      <c r="D2800" s="4"/>
      <c r="E2800" s="4" t="s">
        <v>63</v>
      </c>
      <c r="F2800" s="4"/>
      <c r="G2800" s="4" t="s">
        <v>2318</v>
      </c>
      <c r="H2800" s="4"/>
      <c r="I2800" s="4" t="n">
        <v>0.5038</v>
      </c>
      <c r="J2800" s="4" t="str">
        <f aca="false">TRIM(E2800) &amp; TRIM(C2800) &amp; TRIM(D2800)</f>
        <v>First ReviewPVIL 1st round</v>
      </c>
      <c r="K2800" s="4" t="n">
        <f aca="false">IFERROR(I2800*60,"")</f>
        <v>30.228</v>
      </c>
    </row>
    <row r="2801" customFormat="false" ht="15" hidden="false" customHeight="false" outlineLevel="0" collapsed="false">
      <c r="A2801" s="4" t="s">
        <v>15</v>
      </c>
      <c r="B2801" s="4" t="s">
        <v>2009</v>
      </c>
      <c r="C2801" s="4" t="s">
        <v>2010</v>
      </c>
      <c r="D2801" s="4"/>
      <c r="E2801" s="4" t="s">
        <v>67</v>
      </c>
      <c r="F2801" s="4"/>
      <c r="G2801" s="4" t="s">
        <v>2316</v>
      </c>
      <c r="H2801" s="4"/>
      <c r="I2801" s="4" t="n">
        <v>12.0541</v>
      </c>
      <c r="J2801" s="4" t="str">
        <f aca="false">TRIM(E2801) &amp; TRIM(C2801) &amp; TRIM(D2801)</f>
        <v>RecallTrial Install IOS App</v>
      </c>
      <c r="K2801" s="4" t="n">
        <f aca="false">IFERROR(I2801*60,"")</f>
        <v>723.246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5" t="s">
        <v>2319</v>
      </c>
      <c r="B1" s="5" t="s">
        <v>2320</v>
      </c>
      <c r="C1" s="5" t="s">
        <v>2321</v>
      </c>
    </row>
    <row r="2" customFormat="false" ht="15" hidden="false" customHeight="false" outlineLevel="0" collapsed="false">
      <c r="A2" s="4" t="s">
        <v>2322</v>
      </c>
      <c r="B2" s="4" t="s">
        <v>2323</v>
      </c>
      <c r="C2" s="4" t="s">
        <v>2324</v>
      </c>
    </row>
    <row r="3" customFormat="false" ht="15" hidden="false" customHeight="false" outlineLevel="0" collapsed="false">
      <c r="A3" s="4"/>
      <c r="B3" s="4" t="s">
        <v>2325</v>
      </c>
      <c r="C3" s="4" t="s">
        <v>2324</v>
      </c>
    </row>
    <row r="4" customFormat="false" ht="15" hidden="false" customHeight="false" outlineLevel="0" collapsed="false">
      <c r="A4" s="4"/>
      <c r="B4" s="4" t="s">
        <v>2326</v>
      </c>
      <c r="C4" s="4" t="s">
        <v>2324</v>
      </c>
    </row>
    <row r="5" customFormat="false" ht="15" hidden="false" customHeight="false" outlineLevel="0" collapsed="false">
      <c r="A5" s="4"/>
      <c r="B5" s="4" t="s">
        <v>2327</v>
      </c>
      <c r="C5" s="4" t="s">
        <v>2324</v>
      </c>
    </row>
    <row r="6" customFormat="false" ht="15" hidden="false" customHeight="false" outlineLevel="0" collapsed="false">
      <c r="A6" s="4"/>
      <c r="B6" s="4" t="s">
        <v>2328</v>
      </c>
      <c r="C6" s="4" t="s">
        <v>2324</v>
      </c>
    </row>
    <row r="7" customFormat="false" ht="15" hidden="false" customHeight="false" outlineLevel="0" collapsed="false">
      <c r="A7" s="4"/>
      <c r="B7" s="4" t="s">
        <v>2329</v>
      </c>
      <c r="C7" s="4" t="s">
        <v>2324</v>
      </c>
    </row>
    <row r="8" customFormat="false" ht="15" hidden="false" customHeight="false" outlineLevel="0" collapsed="false">
      <c r="A8" s="4"/>
      <c r="B8" s="4" t="s">
        <v>2330</v>
      </c>
      <c r="C8" s="4" t="s">
        <v>2324</v>
      </c>
    </row>
    <row r="9" customFormat="false" ht="15" hidden="false" customHeight="false" outlineLevel="0" collapsed="false">
      <c r="A9" s="4"/>
      <c r="B9" s="4" t="s">
        <v>2331</v>
      </c>
      <c r="C9" s="4" t="s">
        <v>2324</v>
      </c>
    </row>
    <row r="10" customFormat="false" ht="15" hidden="false" customHeight="false" outlineLevel="0" collapsed="false">
      <c r="A10" s="4"/>
      <c r="B10" s="4" t="s">
        <v>2332</v>
      </c>
      <c r="C10" s="4" t="s">
        <v>2324</v>
      </c>
    </row>
    <row r="11" customFormat="false" ht="15" hidden="false" customHeight="false" outlineLevel="0" collapsed="false">
      <c r="A11" s="4"/>
      <c r="B11" s="4" t="s">
        <v>2333</v>
      </c>
      <c r="C11" s="4" t="s">
        <v>2324</v>
      </c>
    </row>
    <row r="12" customFormat="false" ht="15" hidden="false" customHeight="false" outlineLevel="0" collapsed="false">
      <c r="A12" s="4"/>
      <c r="B12" s="4" t="s">
        <v>2334</v>
      </c>
      <c r="C12" s="4" t="s">
        <v>2324</v>
      </c>
    </row>
    <row r="13" customFormat="false" ht="15" hidden="false" customHeight="false" outlineLevel="0" collapsed="false">
      <c r="A13" s="6" t="s">
        <v>2335</v>
      </c>
      <c r="B13" s="4" t="s">
        <v>2336</v>
      </c>
      <c r="C13" s="4" t="s">
        <v>2324</v>
      </c>
    </row>
    <row r="14" customFormat="false" ht="15" hidden="false" customHeight="false" outlineLevel="0" collapsed="false">
      <c r="A14" s="4"/>
      <c r="B14" s="4" t="s">
        <v>2337</v>
      </c>
      <c r="C14" s="4" t="s">
        <v>2324</v>
      </c>
    </row>
    <row r="15" customFormat="false" ht="15" hidden="false" customHeight="false" outlineLevel="0" collapsed="false">
      <c r="A15" s="4"/>
      <c r="B15" s="4" t="s">
        <v>2338</v>
      </c>
      <c r="C15" s="4" t="s">
        <v>2324</v>
      </c>
    </row>
    <row r="16" customFormat="false" ht="15" hidden="false" customHeight="false" outlineLevel="0" collapsed="false">
      <c r="A16" s="4" t="s">
        <v>2339</v>
      </c>
      <c r="B16" s="4" t="s">
        <v>2340</v>
      </c>
      <c r="C16" s="4" t="s">
        <v>2341</v>
      </c>
    </row>
    <row r="17" customFormat="false" ht="15" hidden="false" customHeight="false" outlineLevel="0" collapsed="false">
      <c r="A17" s="4"/>
      <c r="B17" s="4" t="s">
        <v>2342</v>
      </c>
      <c r="C17" s="4" t="s">
        <v>2341</v>
      </c>
    </row>
    <row r="18" customFormat="false" ht="15" hidden="false" customHeight="false" outlineLevel="0" collapsed="false">
      <c r="A18" s="4"/>
      <c r="B18" s="4" t="s">
        <v>2343</v>
      </c>
      <c r="C18" s="4" t="s">
        <v>2341</v>
      </c>
    </row>
    <row r="19" customFormat="false" ht="15" hidden="false" customHeight="false" outlineLevel="0" collapsed="false">
      <c r="A19" s="4"/>
      <c r="B19" s="4" t="s">
        <v>2344</v>
      </c>
      <c r="C19" s="4" t="s">
        <v>2341</v>
      </c>
    </row>
    <row r="20" customFormat="false" ht="15" hidden="false" customHeight="false" outlineLevel="0" collapsed="false">
      <c r="A20" s="4"/>
      <c r="B20" s="4" t="s">
        <v>2345</v>
      </c>
      <c r="C20" s="4" t="s">
        <v>2341</v>
      </c>
    </row>
    <row r="21" customFormat="false" ht="15" hidden="false" customHeight="false" outlineLevel="0" collapsed="false">
      <c r="A21" s="4"/>
      <c r="B21" s="4" t="s">
        <v>2346</v>
      </c>
      <c r="C21" s="4" t="s">
        <v>2341</v>
      </c>
    </row>
    <row r="22" customFormat="false" ht="15" hidden="false" customHeight="false" outlineLevel="0" collapsed="false">
      <c r="A22" s="4"/>
      <c r="B22" s="4" t="s">
        <v>2347</v>
      </c>
      <c r="C22" s="4" t="s">
        <v>2341</v>
      </c>
    </row>
    <row r="23" customFormat="false" ht="15" hidden="false" customHeight="false" outlineLevel="0" collapsed="false">
      <c r="A23" s="4"/>
      <c r="B23" s="4" t="s">
        <v>2348</v>
      </c>
      <c r="C23" s="4" t="s">
        <v>2341</v>
      </c>
    </row>
    <row r="24" customFormat="false" ht="15" hidden="false" customHeight="false" outlineLevel="0" collapsed="false">
      <c r="A24" s="4"/>
      <c r="B24" s="4" t="s">
        <v>2349</v>
      </c>
      <c r="C24" s="4" t="s">
        <v>2341</v>
      </c>
    </row>
    <row r="25" customFormat="false" ht="15" hidden="false" customHeight="false" outlineLevel="0" collapsed="false">
      <c r="A25" s="4"/>
      <c r="B25" s="4" t="s">
        <v>2350</v>
      </c>
      <c r="C25" s="4" t="s">
        <v>2341</v>
      </c>
    </row>
    <row r="26" customFormat="false" ht="15" hidden="false" customHeight="false" outlineLevel="0" collapsed="false">
      <c r="A26" s="4"/>
      <c r="B26" s="4" t="s">
        <v>2351</v>
      </c>
      <c r="C26" s="4" t="s">
        <v>2341</v>
      </c>
    </row>
    <row r="27" customFormat="false" ht="15" hidden="false" customHeight="false" outlineLevel="0" collapsed="false">
      <c r="A27" s="6" t="s">
        <v>2352</v>
      </c>
      <c r="B27" s="4" t="s">
        <v>2353</v>
      </c>
      <c r="C27" s="4" t="s">
        <v>2341</v>
      </c>
    </row>
    <row r="28" customFormat="false" ht="15" hidden="false" customHeight="false" outlineLevel="0" collapsed="false">
      <c r="A28" s="4"/>
      <c r="B28" s="4" t="s">
        <v>2354</v>
      </c>
      <c r="C28" s="4" t="s">
        <v>2341</v>
      </c>
    </row>
    <row r="29" customFormat="false" ht="15" hidden="false" customHeight="false" outlineLevel="0" collapsed="false">
      <c r="A29" s="4"/>
      <c r="B29" s="4" t="s">
        <v>2355</v>
      </c>
      <c r="C29" s="4" t="s">
        <v>2341</v>
      </c>
    </row>
    <row r="30" customFormat="false" ht="15" hidden="false" customHeight="false" outlineLevel="0" collapsed="false">
      <c r="A30" s="4"/>
      <c r="B30" s="4" t="s">
        <v>2356</v>
      </c>
      <c r="C30" s="4" t="s">
        <v>2341</v>
      </c>
    </row>
    <row r="31" customFormat="false" ht="15" hidden="false" customHeight="false" outlineLevel="0" collapsed="false">
      <c r="A31" s="4"/>
      <c r="B31" s="4" t="s">
        <v>2357</v>
      </c>
      <c r="C31" s="4" t="s">
        <v>2341</v>
      </c>
    </row>
    <row r="32" customFormat="false" ht="15" hidden="false" customHeight="false" outlineLevel="0" collapsed="false">
      <c r="A32" s="6" t="s">
        <v>2358</v>
      </c>
      <c r="B32" s="4" t="s">
        <v>2359</v>
      </c>
      <c r="C32" s="4" t="s">
        <v>2360</v>
      </c>
    </row>
    <row r="33" customFormat="false" ht="15" hidden="false" customHeight="false" outlineLevel="0" collapsed="false">
      <c r="A33" s="4"/>
      <c r="B33" s="4" t="s">
        <v>2361</v>
      </c>
      <c r="C33" s="4" t="s">
        <v>2360</v>
      </c>
    </row>
    <row r="34" customFormat="false" ht="15" hidden="false" customHeight="false" outlineLevel="0" collapsed="false">
      <c r="A34" s="4"/>
      <c r="B34" s="4" t="s">
        <v>2362</v>
      </c>
      <c r="C34" s="4" t="s">
        <v>2360</v>
      </c>
    </row>
    <row r="35" customFormat="false" ht="15" hidden="false" customHeight="false" outlineLevel="0" collapsed="false">
      <c r="A35" s="4"/>
      <c r="B35" s="4" t="s">
        <v>2363</v>
      </c>
      <c r="C35" s="4" t="s">
        <v>2360</v>
      </c>
    </row>
    <row r="36" customFormat="false" ht="15" hidden="false" customHeight="false" outlineLevel="0" collapsed="false">
      <c r="A36" s="4" t="s">
        <v>2364</v>
      </c>
      <c r="B36" s="4" t="s">
        <v>2365</v>
      </c>
      <c r="C36" s="4" t="s">
        <v>2360</v>
      </c>
    </row>
    <row r="37" customFormat="false" ht="15" hidden="false" customHeight="false" outlineLevel="0" collapsed="false">
      <c r="A37" s="4" t="s">
        <v>2366</v>
      </c>
      <c r="B37" s="4" t="s">
        <v>2367</v>
      </c>
      <c r="C37" s="4" t="s">
        <v>2360</v>
      </c>
    </row>
    <row r="38" customFormat="false" ht="15" hidden="false" customHeight="false" outlineLevel="0" collapsed="false">
      <c r="A38" s="6" t="s">
        <v>2368</v>
      </c>
      <c r="B38" s="4" t="s">
        <v>2369</v>
      </c>
      <c r="C38" s="4" t="s">
        <v>2360</v>
      </c>
    </row>
    <row r="39" customFormat="false" ht="15" hidden="false" customHeight="false" outlineLevel="0" collapsed="false">
      <c r="A39" s="4"/>
      <c r="B39" s="4" t="s">
        <v>2370</v>
      </c>
      <c r="C39" s="4" t="s">
        <v>2360</v>
      </c>
    </row>
    <row r="40" customFormat="false" ht="15" hidden="false" customHeight="false" outlineLevel="0" collapsed="false">
      <c r="A40" s="4"/>
      <c r="B40" s="4" t="s">
        <v>2371</v>
      </c>
      <c r="C40" s="4" t="s">
        <v>2360</v>
      </c>
    </row>
    <row r="41" customFormat="false" ht="15" hidden="false" customHeight="false" outlineLevel="0" collapsed="false">
      <c r="A41" s="4" t="s">
        <v>2372</v>
      </c>
      <c r="B41" s="4" t="s">
        <v>2373</v>
      </c>
      <c r="C41" s="4" t="s">
        <v>2360</v>
      </c>
    </row>
    <row r="42" customFormat="false" ht="15" hidden="false" customHeight="false" outlineLevel="0" collapsed="false">
      <c r="A42" s="4"/>
      <c r="B42" s="4" t="s">
        <v>2374</v>
      </c>
      <c r="C42" s="4" t="s">
        <v>2360</v>
      </c>
    </row>
    <row r="43" customFormat="false" ht="15" hidden="false" customHeight="false" outlineLevel="0" collapsed="false">
      <c r="A43" s="4"/>
      <c r="B43" s="4" t="s">
        <v>2375</v>
      </c>
      <c r="C43" s="4" t="s">
        <v>2360</v>
      </c>
    </row>
    <row r="44" customFormat="false" ht="15" hidden="false" customHeight="false" outlineLevel="0" collapsed="false">
      <c r="A44" s="4"/>
      <c r="B44" s="4" t="s">
        <v>2376</v>
      </c>
      <c r="C44" s="4" t="s">
        <v>2360</v>
      </c>
    </row>
    <row r="45" customFormat="false" ht="15" hidden="false" customHeight="false" outlineLevel="0" collapsed="false">
      <c r="A45" s="4" t="s">
        <v>2377</v>
      </c>
      <c r="B45" s="4" t="s">
        <v>2378</v>
      </c>
      <c r="C45" s="4" t="s">
        <v>2360</v>
      </c>
    </row>
    <row r="46" customFormat="false" ht="15" hidden="false" customHeight="false" outlineLevel="0" collapsed="false">
      <c r="A46" s="4"/>
      <c r="B46" s="4" t="s">
        <v>2379</v>
      </c>
      <c r="C46" s="4" t="s">
        <v>2360</v>
      </c>
    </row>
    <row r="47" customFormat="false" ht="15" hidden="false" customHeight="false" outlineLevel="0" collapsed="false">
      <c r="A47" s="4" t="s">
        <v>2380</v>
      </c>
      <c r="B47" s="4" t="s">
        <v>2381</v>
      </c>
      <c r="C47" s="4" t="s">
        <v>2382</v>
      </c>
    </row>
    <row r="48" customFormat="false" ht="15" hidden="false" customHeight="false" outlineLevel="0" collapsed="false">
      <c r="A48" s="4"/>
      <c r="B48" s="4" t="s">
        <v>2383</v>
      </c>
      <c r="C48" s="4" t="s">
        <v>2382</v>
      </c>
    </row>
    <row r="49" customFormat="false" ht="15" hidden="false" customHeight="false" outlineLevel="0" collapsed="false">
      <c r="A49" s="4"/>
      <c r="B49" s="4" t="s">
        <v>2384</v>
      </c>
      <c r="C49" s="4" t="s">
        <v>2382</v>
      </c>
    </row>
    <row r="50" customFormat="false" ht="15" hidden="false" customHeight="false" outlineLevel="0" collapsed="false">
      <c r="A50" s="4"/>
      <c r="B50" s="4" t="s">
        <v>2385</v>
      </c>
      <c r="C50" s="4" t="s">
        <v>2382</v>
      </c>
    </row>
    <row r="51" customFormat="false" ht="15" hidden="false" customHeight="false" outlineLevel="0" collapsed="false">
      <c r="A51" s="4"/>
      <c r="B51" s="4" t="s">
        <v>2386</v>
      </c>
      <c r="C51" s="4" t="s">
        <v>2382</v>
      </c>
    </row>
    <row r="52" customFormat="false" ht="15" hidden="false" customHeight="false" outlineLevel="0" collapsed="false">
      <c r="A52" s="4"/>
      <c r="B52" s="4" t="s">
        <v>2387</v>
      </c>
      <c r="C52" s="4" t="s">
        <v>2382</v>
      </c>
    </row>
    <row r="53" customFormat="false" ht="15" hidden="false" customHeight="false" outlineLevel="0" collapsed="false">
      <c r="A53" s="4"/>
      <c r="B53" s="4" t="s">
        <v>2388</v>
      </c>
      <c r="C53" s="4" t="s">
        <v>2382</v>
      </c>
    </row>
    <row r="54" customFormat="false" ht="15" hidden="false" customHeight="false" outlineLevel="0" collapsed="false">
      <c r="A54" s="4"/>
      <c r="B54" s="4" t="s">
        <v>2389</v>
      </c>
      <c r="C54" s="4" t="s">
        <v>2382</v>
      </c>
    </row>
    <row r="55" customFormat="false" ht="15" hidden="false" customHeight="false" outlineLevel="0" collapsed="false">
      <c r="A55" s="4" t="s">
        <v>2390</v>
      </c>
      <c r="B55" s="4" t="s">
        <v>2391</v>
      </c>
      <c r="C55" s="4" t="s">
        <v>2382</v>
      </c>
    </row>
    <row r="56" customFormat="false" ht="15" hidden="false" customHeight="false" outlineLevel="0" collapsed="false">
      <c r="A56" s="4"/>
      <c r="B56" s="4" t="s">
        <v>2392</v>
      </c>
      <c r="C56" s="4" t="s">
        <v>2382</v>
      </c>
    </row>
    <row r="57" customFormat="false" ht="15" hidden="false" customHeight="false" outlineLevel="0" collapsed="false">
      <c r="A57" s="4"/>
      <c r="B57" s="4" t="s">
        <v>2393</v>
      </c>
      <c r="C57" s="4" t="s">
        <v>2382</v>
      </c>
    </row>
    <row r="58" customFormat="false" ht="15" hidden="false" customHeight="false" outlineLevel="0" collapsed="false">
      <c r="A58" s="4"/>
      <c r="B58" s="4" t="s">
        <v>2394</v>
      </c>
      <c r="C58" s="4" t="s">
        <v>2382</v>
      </c>
    </row>
    <row r="59" customFormat="false" ht="15" hidden="false" customHeight="false" outlineLevel="0" collapsed="false">
      <c r="A59" s="4"/>
      <c r="B59" s="4" t="s">
        <v>2395</v>
      </c>
      <c r="C59" s="4" t="s">
        <v>2382</v>
      </c>
    </row>
    <row r="60" customFormat="false" ht="15" hidden="false" customHeight="false" outlineLevel="0" collapsed="false">
      <c r="A60" s="4" t="s">
        <v>2396</v>
      </c>
      <c r="B60" s="4" t="s">
        <v>2397</v>
      </c>
      <c r="C60" s="4" t="s">
        <v>2382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2398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2399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8" t="s">
        <v>8</v>
      </c>
      <c r="B3" s="8" t="s">
        <v>8</v>
      </c>
      <c r="C3" s="8" t="s">
        <v>2400</v>
      </c>
      <c r="D3" s="8" t="s">
        <v>2401</v>
      </c>
      <c r="E3" s="8" t="s">
        <v>5</v>
      </c>
      <c r="F3" s="8" t="s">
        <v>6</v>
      </c>
      <c r="G3" s="8" t="s">
        <v>6</v>
      </c>
      <c r="H3" s="8" t="s">
        <v>7</v>
      </c>
      <c r="I3" s="8" t="s">
        <v>13</v>
      </c>
      <c r="J3" s="8" t="s">
        <v>2402</v>
      </c>
      <c r="K3" s="8" t="s">
        <v>2403</v>
      </c>
      <c r="L3" s="8"/>
      <c r="M3" s="8" t="s">
        <v>2404</v>
      </c>
      <c r="N3" s="8" t="s">
        <v>2321</v>
      </c>
      <c r="O3" s="8" t="s">
        <v>2405</v>
      </c>
    </row>
    <row r="4" customFormat="false" ht="23.8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5" t="s">
        <v>2406</v>
      </c>
      <c r="L4" s="3" t="s">
        <v>2407</v>
      </c>
      <c r="M4" s="8"/>
      <c r="N4" s="8"/>
      <c r="O4" s="8"/>
    </row>
    <row r="5" customFormat="false" ht="15" hidden="false" customHeight="false" outlineLevel="0" collapsed="false">
      <c r="A5" s="9" t="s">
        <v>63</v>
      </c>
      <c r="B5" s="10"/>
      <c r="C5" s="9" t="s">
        <v>2387</v>
      </c>
      <c r="D5" s="9" t="s">
        <v>2387</v>
      </c>
      <c r="E5" s="9" t="s">
        <v>973</v>
      </c>
      <c r="F5" s="9" t="s">
        <v>974</v>
      </c>
      <c r="G5" s="9" t="s">
        <v>974</v>
      </c>
      <c r="H5" s="9" t="s">
        <v>306</v>
      </c>
      <c r="I5" s="9" t="str">
        <f aca="false">TRIM(A5) &amp; TRIM(F5) &amp; TRIM(H5)</f>
        <v>First ReviewHighlight ViewTH</v>
      </c>
      <c r="J5" s="9" t="n">
        <f aca="false">IFERROR(VLOOKUP(I5,'WFM Q4 Target'!J:K,2,0),"-")</f>
        <v>225.126</v>
      </c>
      <c r="K5" s="9" t="n">
        <v>4278.1458</v>
      </c>
      <c r="L5" s="9" t="n">
        <v>0</v>
      </c>
      <c r="M5" s="9" t="str">
        <f aca="false">IFERROR(IF(K5&gt;J5,"Not Meet Target","Meet Target"),"-")</f>
        <v>Not Meet Target</v>
      </c>
      <c r="N5" s="9" t="str">
        <f aca="false">IFERROR(VLOOKUP(D5,'Team Member List'!B:C,2,0),"")</f>
        <v>TL Cabrera</v>
      </c>
      <c r="O5" s="9" t="s">
        <v>2408</v>
      </c>
    </row>
    <row r="6" customFormat="false" ht="15" hidden="false" customHeight="false" outlineLevel="0" collapsed="false">
      <c r="A6" s="9" t="s">
        <v>63</v>
      </c>
      <c r="B6" s="10"/>
      <c r="C6" s="9" t="s">
        <v>2381</v>
      </c>
      <c r="D6" s="9" t="s">
        <v>2381</v>
      </c>
      <c r="E6" s="9" t="s">
        <v>56</v>
      </c>
      <c r="F6" s="9" t="s">
        <v>57</v>
      </c>
      <c r="G6" s="9" t="s">
        <v>57</v>
      </c>
      <c r="H6" s="9" t="s">
        <v>121</v>
      </c>
      <c r="I6" s="9" t="str">
        <f aca="false">TRIM(A6) &amp; TRIM(F6) &amp; TRIM(H6)</f>
        <v>First ReviewBid Ad GroupKR</v>
      </c>
      <c r="J6" s="9" t="n">
        <f aca="false">IFERROR(VLOOKUP(I6,'WFM Q4 Target'!J:K,2,0),"-")</f>
        <v>136.11</v>
      </c>
      <c r="K6" s="9" t="n">
        <v>1866.8485</v>
      </c>
      <c r="L6" s="9" t="n">
        <v>1959.1291</v>
      </c>
      <c r="M6" s="9" t="str">
        <f aca="false">IFERROR(IF(K6&gt;J6,"Not Meet Target","Meet Target"),"-")</f>
        <v>Not Meet Target</v>
      </c>
      <c r="N6" s="9" t="str">
        <f aca="false">IFERROR(VLOOKUP(D6,'Team Member List'!B:C,2,0),"")</f>
        <v>TL Cabrera</v>
      </c>
      <c r="O6" s="9" t="s">
        <v>2408</v>
      </c>
    </row>
    <row r="7" customFormat="false" ht="15" hidden="false" customHeight="false" outlineLevel="0" collapsed="false">
      <c r="A7" s="9" t="s">
        <v>63</v>
      </c>
      <c r="B7" s="10"/>
      <c r="C7" s="9" t="s">
        <v>2379</v>
      </c>
      <c r="D7" s="9" t="s">
        <v>2379</v>
      </c>
      <c r="E7" s="9" t="s">
        <v>56</v>
      </c>
      <c r="F7" s="9" t="s">
        <v>57</v>
      </c>
      <c r="G7" s="9" t="s">
        <v>57</v>
      </c>
      <c r="H7" s="9" t="s">
        <v>306</v>
      </c>
      <c r="I7" s="9" t="str">
        <f aca="false">TRIM(A7) &amp; TRIM(F7) &amp; TRIM(H7)</f>
        <v>First ReviewBid Ad GroupTH</v>
      </c>
      <c r="J7" s="9" t="n">
        <f aca="false">IFERROR(VLOOKUP(I7,'WFM Q4 Target'!J:K,2,0),"-")</f>
        <v>99.684</v>
      </c>
      <c r="K7" s="9" t="n">
        <v>698.0773</v>
      </c>
      <c r="L7" s="9" t="n">
        <v>49.4126</v>
      </c>
      <c r="M7" s="9" t="str">
        <f aca="false">IFERROR(IF(K7&gt;J7,"Not Meet Target","Meet Target"),"-")</f>
        <v>Not Meet Target</v>
      </c>
      <c r="N7" s="9" t="str">
        <f aca="false">IFERROR(VLOOKUP(D7,'Team Member List'!B:C,2,0),"")</f>
        <v>TL Okafor</v>
      </c>
      <c r="O7" s="9" t="s">
        <v>2408</v>
      </c>
    </row>
    <row r="8" customFormat="false" ht="15" hidden="false" customHeight="false" outlineLevel="0" collapsed="false">
      <c r="A8" s="9" t="s">
        <v>63</v>
      </c>
      <c r="B8" s="10"/>
      <c r="C8" s="9" t="s">
        <v>2344</v>
      </c>
      <c r="D8" s="9" t="s">
        <v>2344</v>
      </c>
      <c r="E8" s="9" t="s">
        <v>973</v>
      </c>
      <c r="F8" s="9" t="s">
        <v>2409</v>
      </c>
      <c r="G8" s="9" t="s">
        <v>2409</v>
      </c>
      <c r="H8" s="9" t="s">
        <v>95</v>
      </c>
      <c r="I8" s="9" t="str">
        <f aca="false">TRIM(A8) &amp; TRIM(F8) &amp; TRIM(H8)</f>
        <v>First ReviewESTVN</v>
      </c>
      <c r="J8" s="9" t="str">
        <f aca="false">IFERROR(VLOOKUP(I8,'WFM Q4 Target'!J:K,2,0),"-")</f>
        <v>-</v>
      </c>
      <c r="K8" s="9" t="n">
        <v>624.274</v>
      </c>
      <c r="L8" s="9" t="n">
        <v>0</v>
      </c>
      <c r="M8" s="9" t="str">
        <f aca="false">IFERROR(IF(K8&gt;J8,"Not Meet Target","Meet Target"),"-")</f>
        <v>Meet Target</v>
      </c>
      <c r="N8" s="9" t="str">
        <f aca="false">IFERROR(VLOOKUP(D8,'Team Member List'!B:C,2,0),"")</f>
        <v>TL Lindgren</v>
      </c>
      <c r="O8" s="9" t="s">
        <v>2408</v>
      </c>
    </row>
    <row r="9" customFormat="false" ht="15" hidden="false" customHeight="false" outlineLevel="0" collapsed="false">
      <c r="A9" s="9" t="s">
        <v>63</v>
      </c>
      <c r="B9" s="10"/>
      <c r="C9" s="9"/>
      <c r="D9" s="9" t="s">
        <v>2344</v>
      </c>
      <c r="E9" s="9"/>
      <c r="F9" s="9" t="s">
        <v>974</v>
      </c>
      <c r="G9" s="9" t="s">
        <v>974</v>
      </c>
      <c r="H9" s="9" t="s">
        <v>95</v>
      </c>
      <c r="I9" s="9" t="str">
        <f aca="false">TRIM(A9) &amp; TRIM(F9) &amp; TRIM(H9)</f>
        <v>First ReviewHighlight ViewVN</v>
      </c>
      <c r="J9" s="9" t="n">
        <f aca="false">IFERROR(VLOOKUP(I9,'WFM Q4 Target'!J:K,2,0),"-")</f>
        <v>286.158</v>
      </c>
      <c r="K9" s="9" t="n">
        <v>1617.4814</v>
      </c>
      <c r="L9" s="9" t="n">
        <v>7.9403</v>
      </c>
      <c r="M9" s="9" t="str">
        <f aca="false">IFERROR(IF(K9&gt;J9,"Not Meet Target","Meet Target"),"-")</f>
        <v>Not Meet Target</v>
      </c>
      <c r="N9" s="9" t="str">
        <f aca="false">IFERROR(VLOOKUP(D9,'Team Member List'!B:C,2,0),"")</f>
        <v>TL Lindgren</v>
      </c>
      <c r="O9" s="9" t="s">
        <v>2408</v>
      </c>
    </row>
    <row r="10" customFormat="false" ht="15" hidden="false" customHeight="false" outlineLevel="0" collapsed="false">
      <c r="A10" s="9" t="s">
        <v>63</v>
      </c>
      <c r="B10" s="10"/>
      <c r="C10" s="9" t="s">
        <v>2345</v>
      </c>
      <c r="D10" s="9" t="s">
        <v>2345</v>
      </c>
      <c r="E10" s="9" t="s">
        <v>56</v>
      </c>
      <c r="F10" s="9" t="s">
        <v>57</v>
      </c>
      <c r="G10" s="9" t="s">
        <v>57</v>
      </c>
      <c r="H10" s="9" t="s">
        <v>95</v>
      </c>
      <c r="I10" s="9" t="str">
        <f aca="false">TRIM(A10) &amp; TRIM(F10) &amp; TRIM(H10)</f>
        <v>First ReviewBid Ad GroupVN</v>
      </c>
      <c r="J10" s="9" t="n">
        <f aca="false">IFERROR(VLOOKUP(I10,'WFM Q4 Target'!J:K,2,0),"-")</f>
        <v>220.83</v>
      </c>
      <c r="K10" s="9" t="n">
        <v>713.4724</v>
      </c>
      <c r="L10" s="9" t="n">
        <v>103.5137</v>
      </c>
      <c r="M10" s="9" t="str">
        <f aca="false">IFERROR(IF(K10&gt;J10,"Not Meet Target","Meet Target"),"-")</f>
        <v>Not Meet Target</v>
      </c>
      <c r="N10" s="9" t="str">
        <f aca="false">IFERROR(VLOOKUP(D10,'Team Member List'!B:C,2,0),"")</f>
        <v>TL Lindgren</v>
      </c>
      <c r="O10" s="9" t="s">
        <v>2408</v>
      </c>
    </row>
    <row r="11" customFormat="false" ht="15" hidden="false" customHeight="false" outlineLevel="0" collapsed="false">
      <c r="A11" s="9" t="s">
        <v>63</v>
      </c>
      <c r="B11" s="10"/>
      <c r="C11" s="9"/>
      <c r="D11" s="9" t="s">
        <v>2345</v>
      </c>
      <c r="E11" s="9" t="s">
        <v>973</v>
      </c>
      <c r="F11" s="9" t="s">
        <v>974</v>
      </c>
      <c r="G11" s="9" t="s">
        <v>974</v>
      </c>
      <c r="H11" s="9" t="s">
        <v>95</v>
      </c>
      <c r="I11" s="9" t="str">
        <f aca="false">TRIM(A11) &amp; TRIM(F11) &amp; TRIM(H11)</f>
        <v>First ReviewHighlight ViewVN</v>
      </c>
      <c r="J11" s="9" t="n">
        <f aca="false">IFERROR(VLOOKUP(I11,'WFM Q4 Target'!J:K,2,0),"-")</f>
        <v>286.158</v>
      </c>
      <c r="K11" s="9" t="n">
        <v>977.2672</v>
      </c>
      <c r="L11" s="9" t="n">
        <v>0</v>
      </c>
      <c r="M11" s="9" t="str">
        <f aca="false">IFERROR(IF(K11&gt;J11,"Not Meet Target","Meet Target"),"-")</f>
        <v>Not Meet Target</v>
      </c>
      <c r="N11" s="9" t="str">
        <f aca="false">IFERROR(VLOOKUP(D11,'Team Member List'!B:C,2,0),"")</f>
        <v>TL Lindgren</v>
      </c>
      <c r="O11" s="9" t="s">
        <v>2408</v>
      </c>
    </row>
    <row r="12" customFormat="false" ht="15" hidden="false" customHeight="false" outlineLevel="0" collapsed="false">
      <c r="A12" s="9" t="s">
        <v>63</v>
      </c>
      <c r="B12" s="10"/>
      <c r="C12" s="9" t="s">
        <v>2361</v>
      </c>
      <c r="D12" s="9" t="s">
        <v>2361</v>
      </c>
      <c r="E12" s="9" t="s">
        <v>56</v>
      </c>
      <c r="F12" s="9" t="s">
        <v>75</v>
      </c>
      <c r="G12" s="9" t="s">
        <v>75</v>
      </c>
      <c r="H12" s="9" t="s">
        <v>235</v>
      </c>
      <c r="I12" s="9" t="str">
        <f aca="false">TRIM(A12) &amp; TRIM(F12) &amp; TRIM(H12)</f>
        <v>First ReviewBid Ecom Ads GroupJP</v>
      </c>
      <c r="J12" s="9" t="n">
        <f aca="false">IFERROR(VLOOKUP(I12,'WFM Q4 Target'!J:K,2,0),"-")</f>
        <v>118.404</v>
      </c>
      <c r="K12" s="9" t="n">
        <v>2896.5211</v>
      </c>
      <c r="L12" s="9" t="n">
        <v>0</v>
      </c>
      <c r="M12" s="9" t="str">
        <f aca="false">IFERROR(IF(K12&gt;J12,"Not Meet Target","Meet Target"),"-")</f>
        <v>Not Meet Target</v>
      </c>
      <c r="N12" s="9" t="str">
        <f aca="false">IFERROR(VLOOKUP(D12,'Team Member List'!B:C,2,0),"")</f>
        <v>TL Okafor</v>
      </c>
      <c r="O12" s="9" t="s">
        <v>2408</v>
      </c>
    </row>
    <row r="13" customFormat="false" ht="15" hidden="false" customHeight="false" outlineLevel="0" collapsed="false">
      <c r="A13" s="9" t="s">
        <v>63</v>
      </c>
      <c r="B13" s="10"/>
      <c r="C13" s="9"/>
      <c r="D13" s="9" t="s">
        <v>2361</v>
      </c>
      <c r="E13" s="9" t="s">
        <v>1432</v>
      </c>
      <c r="F13" s="9" t="s">
        <v>1438</v>
      </c>
      <c r="G13" s="9" t="s">
        <v>1438</v>
      </c>
      <c r="H13" s="9" t="s">
        <v>235</v>
      </c>
      <c r="I13" s="9" t="str">
        <f aca="false">TRIM(A13) &amp; TRIM(F13) &amp; TRIM(H13)</f>
        <v>First ReviewQuest Adv VideoJP</v>
      </c>
      <c r="J13" s="9" t="n">
        <f aca="false">IFERROR(VLOOKUP(I13,'WFM Q4 Target'!J:K,2,0),"-")</f>
        <v>11.058</v>
      </c>
      <c r="K13" s="9" t="n">
        <v>402.9425</v>
      </c>
      <c r="L13" s="9" t="n">
        <v>4.5733</v>
      </c>
      <c r="M13" s="9" t="str">
        <f aca="false">IFERROR(IF(K13&gt;J13,"Not Meet Target","Meet Target"),"-")</f>
        <v>Not Meet Target</v>
      </c>
      <c r="N13" s="9" t="str">
        <f aca="false">IFERROR(VLOOKUP(D13,'Team Member List'!B:C,2,0),"")</f>
        <v>TL Okafor</v>
      </c>
      <c r="O13" s="9" t="s">
        <v>2408</v>
      </c>
    </row>
    <row r="14" customFormat="false" ht="15" hidden="false" customHeight="false" outlineLevel="0" collapsed="false">
      <c r="A14" s="9" t="s">
        <v>63</v>
      </c>
      <c r="B14" s="10"/>
      <c r="C14" s="9" t="s">
        <v>2386</v>
      </c>
      <c r="D14" s="9" t="s">
        <v>2386</v>
      </c>
      <c r="E14" s="9" t="s">
        <v>56</v>
      </c>
      <c r="F14" s="9" t="s">
        <v>57</v>
      </c>
      <c r="G14" s="9" t="s">
        <v>57</v>
      </c>
      <c r="H14" s="9" t="s">
        <v>106</v>
      </c>
      <c r="I14" s="9" t="str">
        <f aca="false">TRIM(A14) &amp; TRIM(F14) &amp; TRIM(H14)</f>
        <v>First ReviewBid Ad GroupMY</v>
      </c>
      <c r="J14" s="9" t="n">
        <f aca="false">IFERROR(VLOOKUP(I14,'WFM Q4 Target'!J:K,2,0),"-")</f>
        <v>108.99</v>
      </c>
      <c r="K14" s="9" t="n">
        <v>3135.6527</v>
      </c>
      <c r="L14" s="9" t="n">
        <v>88.437</v>
      </c>
      <c r="M14" s="9" t="str">
        <f aca="false">IFERROR(IF(K14&gt;J14,"Not Meet Target","Meet Target"),"-")</f>
        <v>Not Meet Target</v>
      </c>
      <c r="N14" s="9" t="str">
        <f aca="false">IFERROR(VLOOKUP(D14,'Team Member List'!B:C,2,0),"")</f>
        <v>TL Cabrera</v>
      </c>
      <c r="O14" s="9" t="s">
        <v>2408</v>
      </c>
    </row>
    <row r="15" customFormat="false" ht="15" hidden="false" customHeight="false" outlineLevel="0" collapsed="false">
      <c r="A15" s="9" t="s">
        <v>63</v>
      </c>
      <c r="B15" s="10"/>
      <c r="C15" s="9"/>
      <c r="D15" s="9" t="s">
        <v>2386</v>
      </c>
      <c r="E15" s="9" t="s">
        <v>973</v>
      </c>
      <c r="F15" s="9" t="s">
        <v>979</v>
      </c>
      <c r="G15" s="9" t="s">
        <v>979</v>
      </c>
      <c r="H15" s="9" t="s">
        <v>58</v>
      </c>
      <c r="I15" s="9" t="str">
        <f aca="false">TRIM(A15) &amp; TRIM(F15) &amp; TRIM(H15)</f>
        <v>First ReviewBooking Ads Pre ApprovalSG</v>
      </c>
      <c r="J15" s="9" t="n">
        <f aca="false">IFERROR(VLOOKUP(I15,'WFM Q4 Target'!J:K,2,0),"-")</f>
        <v>59.52</v>
      </c>
      <c r="K15" s="9" t="n">
        <v>460.1084</v>
      </c>
      <c r="L15" s="9" t="n">
        <v>27.2474</v>
      </c>
      <c r="M15" s="9" t="str">
        <f aca="false">IFERROR(IF(K15&gt;J15,"Not Meet Target","Meet Target"),"-")</f>
        <v>Not Meet Target</v>
      </c>
      <c r="N15" s="9" t="str">
        <f aca="false">IFERROR(VLOOKUP(D15,'Team Member List'!B:C,2,0),"")</f>
        <v>TL Cabrera</v>
      </c>
      <c r="O15" s="9" t="s">
        <v>2408</v>
      </c>
    </row>
    <row r="16" customFormat="false" ht="15" hidden="false" customHeight="false" outlineLevel="0" collapsed="false">
      <c r="A16" s="9" t="s">
        <v>63</v>
      </c>
      <c r="B16" s="10"/>
      <c r="C16" s="9"/>
      <c r="D16" s="9" t="s">
        <v>2386</v>
      </c>
      <c r="E16" s="9" t="s">
        <v>1432</v>
      </c>
      <c r="F16" s="9" t="s">
        <v>1440</v>
      </c>
      <c r="G16" s="9" t="s">
        <v>1440</v>
      </c>
      <c r="H16" s="9" t="s">
        <v>190</v>
      </c>
      <c r="I16" s="9" t="str">
        <f aca="false">TRIM(A16) &amp; TRIM(F16) &amp; TRIM(H16)</f>
        <v>First ReviewHTC Adv CampaignPH</v>
      </c>
      <c r="J16" s="9" t="n">
        <f aca="false">IFERROR(VLOOKUP(I16,'WFM Q4 Target'!J:K,2,0),"-")</f>
        <v>142.656</v>
      </c>
      <c r="K16" s="9" t="n">
        <v>732.8054</v>
      </c>
      <c r="L16" s="9" t="n">
        <v>0</v>
      </c>
      <c r="M16" s="9" t="str">
        <f aca="false">IFERROR(IF(K16&gt;J16,"Not Meet Target","Meet Target"),"-")</f>
        <v>Not Meet Target</v>
      </c>
      <c r="N16" s="9" t="str">
        <f aca="false">IFERROR(VLOOKUP(D16,'Team Member List'!B:C,2,0),"")</f>
        <v>TL Cabrera</v>
      </c>
      <c r="O16" s="9" t="s">
        <v>2408</v>
      </c>
    </row>
    <row r="17" customFormat="false" ht="15" hidden="false" customHeight="false" outlineLevel="0" collapsed="false">
      <c r="A17" s="9" t="s">
        <v>63</v>
      </c>
      <c r="B17" s="10"/>
      <c r="C17" s="9" t="s">
        <v>2350</v>
      </c>
      <c r="D17" s="9" t="s">
        <v>2350</v>
      </c>
      <c r="E17" s="9" t="s">
        <v>56</v>
      </c>
      <c r="F17" s="9" t="s">
        <v>57</v>
      </c>
      <c r="G17" s="9" t="s">
        <v>57</v>
      </c>
      <c r="H17" s="9" t="s">
        <v>95</v>
      </c>
      <c r="I17" s="9" t="str">
        <f aca="false">TRIM(A17) &amp; TRIM(F17) &amp; TRIM(H17)</f>
        <v>First ReviewBid Ad GroupVN</v>
      </c>
      <c r="J17" s="9" t="n">
        <f aca="false">IFERROR(VLOOKUP(I17,'WFM Q4 Target'!J:K,2,0),"-")</f>
        <v>220.83</v>
      </c>
      <c r="K17" s="9" t="n">
        <v>407.3021</v>
      </c>
      <c r="L17" s="9" t="n">
        <v>23.0964</v>
      </c>
      <c r="M17" s="9" t="str">
        <f aca="false">IFERROR(IF(K17&gt;J17,"Not Meet Target","Meet Target"),"-")</f>
        <v>Not Meet Target</v>
      </c>
      <c r="N17" s="9" t="str">
        <f aca="false">IFERROR(VLOOKUP(D17,'Team Member List'!B:C,2,0),"")</f>
        <v>TL Lindgren</v>
      </c>
      <c r="O17" s="9" t="s">
        <v>2408</v>
      </c>
    </row>
    <row r="18" customFormat="false" ht="15" hidden="false" customHeight="false" outlineLevel="0" collapsed="false">
      <c r="A18" s="9" t="s">
        <v>63</v>
      </c>
      <c r="B18" s="10"/>
      <c r="C18" s="9" t="s">
        <v>2371</v>
      </c>
      <c r="D18" s="9" t="s">
        <v>2371</v>
      </c>
      <c r="E18" s="9" t="s">
        <v>56</v>
      </c>
      <c r="F18" s="9" t="s">
        <v>57</v>
      </c>
      <c r="G18" s="9" t="s">
        <v>57</v>
      </c>
      <c r="H18" s="9" t="s">
        <v>458</v>
      </c>
      <c r="I18" s="9" t="str">
        <f aca="false">TRIM(A18) &amp; TRIM(F18) &amp; TRIM(H18)</f>
        <v>First ReviewBid Ad GroupTW</v>
      </c>
      <c r="J18" s="9" t="n">
        <f aca="false">IFERROR(VLOOKUP(I18,'WFM Q4 Target'!J:K,2,0),"-")</f>
        <v>224.148</v>
      </c>
      <c r="K18" s="9" t="n">
        <v>1303.0493</v>
      </c>
      <c r="L18" s="9" t="n">
        <v>127.4836</v>
      </c>
      <c r="M18" s="9" t="str">
        <f aca="false">IFERROR(IF(K18&gt;J18,"Not Meet Target","Meet Target"),"-")</f>
        <v>Not Meet Target</v>
      </c>
      <c r="N18" s="9" t="str">
        <f aca="false">IFERROR(VLOOKUP(D18,'Team Member List'!B:C,2,0),"")</f>
        <v>TL Okafor</v>
      </c>
      <c r="O18" s="9" t="s">
        <v>2408</v>
      </c>
    </row>
    <row r="19" customFormat="false" ht="15" hidden="false" customHeight="false" outlineLevel="0" collapsed="false">
      <c r="A19" s="9" t="s">
        <v>63</v>
      </c>
      <c r="B19" s="10"/>
      <c r="C19" s="9"/>
      <c r="D19" s="9" t="s">
        <v>2371</v>
      </c>
      <c r="E19" s="9"/>
      <c r="F19" s="9" t="s">
        <v>69</v>
      </c>
      <c r="G19" s="9" t="s">
        <v>69</v>
      </c>
      <c r="H19" s="9" t="s">
        <v>458</v>
      </c>
      <c r="I19" s="9" t="str">
        <f aca="false">TRIM(A19) &amp; TRIM(F19) &amp; TRIM(H19)</f>
        <v>First ReviewBid LinkTW</v>
      </c>
      <c r="J19" s="9" t="n">
        <f aca="false">IFERROR(VLOOKUP(I19,'WFM Q4 Target'!J:K,2,0),"-")</f>
        <v>150.258</v>
      </c>
      <c r="K19" s="9" t="n">
        <v>378.5848</v>
      </c>
      <c r="L19" s="9" t="n">
        <v>0</v>
      </c>
      <c r="M19" s="9" t="str">
        <f aca="false">IFERROR(IF(K19&gt;J19,"Not Meet Target","Meet Target"),"-")</f>
        <v>Not Meet Target</v>
      </c>
      <c r="N19" s="9" t="str">
        <f aca="false">IFERROR(VLOOKUP(D19,'Team Member List'!B:C,2,0),"")</f>
        <v>TL Okafor</v>
      </c>
      <c r="O19" s="9" t="s">
        <v>2408</v>
      </c>
    </row>
    <row r="20" customFormat="false" ht="15" hidden="false" customHeight="false" outlineLevel="0" collapsed="false">
      <c r="A20" s="9" t="s">
        <v>63</v>
      </c>
      <c r="B20" s="10"/>
      <c r="C20" s="9" t="s">
        <v>2325</v>
      </c>
      <c r="D20" s="9" t="s">
        <v>2325</v>
      </c>
      <c r="E20" s="9" t="s">
        <v>56</v>
      </c>
      <c r="F20" s="9" t="s">
        <v>57</v>
      </c>
      <c r="G20" s="9" t="s">
        <v>57</v>
      </c>
      <c r="H20" s="9" t="s">
        <v>267</v>
      </c>
      <c r="I20" s="9" t="str">
        <f aca="false">TRIM(A20) &amp; TRIM(F20) &amp; TRIM(H20)</f>
        <v>First ReviewBid Ad GroupID</v>
      </c>
      <c r="J20" s="9" t="n">
        <f aca="false">IFERROR(VLOOKUP(I20,'WFM Q4 Target'!J:K,2,0),"-")</f>
        <v>118.062</v>
      </c>
      <c r="K20" s="9" t="n">
        <v>315.7202</v>
      </c>
      <c r="L20" s="9" t="n">
        <v>145.4062</v>
      </c>
      <c r="M20" s="9" t="str">
        <f aca="false">IFERROR(IF(K20&gt;J20,"Not Meet Target","Meet Target"),"-")</f>
        <v>Not Meet Target</v>
      </c>
      <c r="N20" s="9" t="str">
        <f aca="false">IFERROR(VLOOKUP(D20,'Team Member List'!B:C,2,0),"")</f>
        <v>TL Ramirez</v>
      </c>
      <c r="O20" s="9" t="s">
        <v>2408</v>
      </c>
    </row>
    <row r="21" customFormat="false" ht="15" hidden="false" customHeight="false" outlineLevel="0" collapsed="false">
      <c r="A21" s="9" t="s">
        <v>63</v>
      </c>
      <c r="B21" s="10"/>
      <c r="C21" s="9"/>
      <c r="D21" s="9" t="s">
        <v>2325</v>
      </c>
      <c r="E21" s="9"/>
      <c r="F21" s="9" t="s">
        <v>75</v>
      </c>
      <c r="G21" s="9" t="s">
        <v>75</v>
      </c>
      <c r="H21" s="9" t="s">
        <v>267</v>
      </c>
      <c r="I21" s="9" t="str">
        <f aca="false">TRIM(A21) &amp; TRIM(F21) &amp; TRIM(H21)</f>
        <v>First ReviewBid Ecom Ads GroupID</v>
      </c>
      <c r="J21" s="9" t="n">
        <f aca="false">IFERROR(VLOOKUP(I21,'WFM Q4 Target'!J:K,2,0),"-")</f>
        <v>155.28</v>
      </c>
      <c r="K21" s="9" t="n">
        <v>341.3113</v>
      </c>
      <c r="L21" s="9" t="n">
        <v>26.0491</v>
      </c>
      <c r="M21" s="9" t="str">
        <f aca="false">IFERROR(IF(K21&gt;J21,"Not Meet Target","Meet Target"),"-")</f>
        <v>Not Meet Target</v>
      </c>
      <c r="N21" s="9" t="str">
        <f aca="false">IFERROR(VLOOKUP(D21,'Team Member List'!B:C,2,0),"")</f>
        <v>TL Ramirez</v>
      </c>
      <c r="O21" s="9" t="s">
        <v>2408</v>
      </c>
    </row>
    <row r="22" customFormat="false" ht="15" hidden="false" customHeight="false" outlineLevel="0" collapsed="false">
      <c r="A22" s="9" t="s">
        <v>63</v>
      </c>
      <c r="B22" s="10"/>
      <c r="C22" s="9" t="s">
        <v>2331</v>
      </c>
      <c r="D22" s="9" t="s">
        <v>2331</v>
      </c>
      <c r="E22" s="9" t="s">
        <v>56</v>
      </c>
      <c r="F22" s="9" t="s">
        <v>57</v>
      </c>
      <c r="G22" s="9" t="s">
        <v>57</v>
      </c>
      <c r="H22" s="9" t="s">
        <v>208</v>
      </c>
      <c r="I22" s="9" t="str">
        <f aca="false">TRIM(A22) &amp; TRIM(F22) &amp; TRIM(H22)</f>
        <v>First ReviewBid Ad GroupCO</v>
      </c>
      <c r="J22" s="9" t="n">
        <f aca="false">IFERROR(VLOOKUP(I22,'WFM Q4 Target'!J:K,2,0),"-")</f>
        <v>107.178</v>
      </c>
      <c r="K22" s="9" t="n">
        <v>419.7613</v>
      </c>
      <c r="L22" s="9" t="n">
        <v>412.6696</v>
      </c>
      <c r="M22" s="9" t="str">
        <f aca="false">IFERROR(IF(K22&gt;J22,"Not Meet Target","Meet Target"),"-")</f>
        <v>Not Meet Target</v>
      </c>
      <c r="N22" s="9" t="str">
        <f aca="false">IFERROR(VLOOKUP(D22,'Team Member List'!B:C,2,0),"")</f>
        <v>TL Ramirez</v>
      </c>
      <c r="O22" s="9" t="s">
        <v>2408</v>
      </c>
    </row>
    <row r="23" customFormat="false" ht="15" hidden="false" customHeight="false" outlineLevel="0" collapsed="false">
      <c r="A23" s="9" t="s">
        <v>63</v>
      </c>
      <c r="B23" s="10"/>
      <c r="C23" s="9"/>
      <c r="D23" s="9" t="s">
        <v>2331</v>
      </c>
      <c r="E23" s="9"/>
      <c r="F23" s="9" t="s">
        <v>75</v>
      </c>
      <c r="G23" s="9" t="s">
        <v>75</v>
      </c>
      <c r="H23" s="9" t="s">
        <v>100</v>
      </c>
      <c r="I23" s="9" t="str">
        <f aca="false">TRIM(A23) &amp; TRIM(F23) &amp; TRIM(H23)</f>
        <v>First ReviewBid Ecom Ads GroupAU</v>
      </c>
      <c r="J23" s="9" t="n">
        <f aca="false">IFERROR(VLOOKUP(I23,'WFM Q4 Target'!J:K,2,0),"-")</f>
        <v>157.866</v>
      </c>
      <c r="K23" s="9" t="n">
        <v>273.7362</v>
      </c>
      <c r="L23" s="9" t="n">
        <v>117.483</v>
      </c>
      <c r="M23" s="9" t="str">
        <f aca="false">IFERROR(IF(K23&gt;J23,"Not Meet Target","Meet Target"),"-")</f>
        <v>Not Meet Target</v>
      </c>
      <c r="N23" s="9" t="str">
        <f aca="false">IFERROR(VLOOKUP(D23,'Team Member List'!B:C,2,0),"")</f>
        <v>TL Ramirez</v>
      </c>
      <c r="O23" s="9" t="s">
        <v>2408</v>
      </c>
    </row>
    <row r="24" customFormat="false" ht="15" hidden="false" customHeight="false" outlineLevel="0" collapsed="false">
      <c r="A24" s="9" t="s">
        <v>63</v>
      </c>
      <c r="B24" s="10"/>
      <c r="C24" s="9"/>
      <c r="D24" s="9" t="s">
        <v>2331</v>
      </c>
      <c r="E24" s="9" t="s">
        <v>973</v>
      </c>
      <c r="F24" s="9" t="s">
        <v>974</v>
      </c>
      <c r="G24" s="9" t="s">
        <v>974</v>
      </c>
      <c r="H24" s="9" t="s">
        <v>210</v>
      </c>
      <c r="I24" s="9" t="str">
        <f aca="false">TRIM(A24) &amp; TRIM(F24) &amp; TRIM(H24)</f>
        <v>First ReviewHighlight ViewPK</v>
      </c>
      <c r="J24" s="9" t="n">
        <f aca="false">IFERROR(VLOOKUP(I24,'WFM Q4 Target'!J:K,2,0),"-")</f>
        <v>778.074</v>
      </c>
      <c r="K24" s="9" t="n">
        <v>1502.5033</v>
      </c>
      <c r="L24" s="9" t="n">
        <v>0</v>
      </c>
      <c r="M24" s="9" t="str">
        <f aca="false">IFERROR(IF(K24&gt;J24,"Not Meet Target","Meet Target"),"-")</f>
        <v>Not Meet Target</v>
      </c>
      <c r="N24" s="9" t="str">
        <f aca="false">IFERROR(VLOOKUP(D24,'Team Member List'!B:C,2,0),"")</f>
        <v>TL Ramirez</v>
      </c>
      <c r="O24" s="9" t="s">
        <v>2408</v>
      </c>
    </row>
    <row r="25" customFormat="false" ht="15" hidden="false" customHeight="false" outlineLevel="0" collapsed="false">
      <c r="A25" s="9" t="s">
        <v>63</v>
      </c>
      <c r="B25" s="10"/>
      <c r="C25" s="9" t="s">
        <v>2327</v>
      </c>
      <c r="D25" s="9" t="s">
        <v>2327</v>
      </c>
      <c r="E25" s="9" t="s">
        <v>973</v>
      </c>
      <c r="F25" s="9" t="s">
        <v>979</v>
      </c>
      <c r="G25" s="9" t="s">
        <v>979</v>
      </c>
      <c r="H25" s="9" t="s">
        <v>208</v>
      </c>
      <c r="I25" s="9" t="str">
        <f aca="false">TRIM(A25) &amp; TRIM(F25) &amp; TRIM(H25)</f>
        <v>First ReviewBooking Ads Pre ApprovalCO</v>
      </c>
      <c r="J25" s="9" t="n">
        <f aca="false">IFERROR(VLOOKUP(I25,'WFM Q4 Target'!J:K,2,0),"-")</f>
        <v>1126.626</v>
      </c>
      <c r="K25" s="9" t="n">
        <v>1343.147</v>
      </c>
      <c r="L25" s="9" t="n">
        <v>15.6439</v>
      </c>
      <c r="M25" s="9" t="str">
        <f aca="false">IFERROR(IF(K25&gt;J25,"Not Meet Target","Meet Target"),"-")</f>
        <v>Not Meet Target</v>
      </c>
      <c r="N25" s="9" t="str">
        <f aca="false">IFERROR(VLOOKUP(D25,'Team Member List'!B:C,2,0),"")</f>
        <v>TL Ramirez</v>
      </c>
      <c r="O25" s="9" t="s">
        <v>2408</v>
      </c>
    </row>
    <row r="26" customFormat="false" ht="15" hidden="false" customHeight="false" outlineLevel="0" collapsed="false">
      <c r="A26" s="9" t="s">
        <v>63</v>
      </c>
      <c r="B26" s="10"/>
      <c r="C26" s="9"/>
      <c r="D26" s="9" t="s">
        <v>2327</v>
      </c>
      <c r="E26" s="9"/>
      <c r="F26" s="9" t="s">
        <v>979</v>
      </c>
      <c r="G26" s="9"/>
      <c r="H26" s="9" t="s">
        <v>267</v>
      </c>
      <c r="I26" s="9" t="str">
        <f aca="false">TRIM(A26) &amp; TRIM(F26) &amp; TRIM(H26)</f>
        <v>First ReviewBooking Ads Pre ApprovalID</v>
      </c>
      <c r="J26" s="9" t="n">
        <f aca="false">IFERROR(VLOOKUP(I26,'WFM Q4 Target'!J:K,2,0),"-")</f>
        <v>271.992</v>
      </c>
      <c r="K26" s="9" t="n">
        <v>269.2419</v>
      </c>
      <c r="L26" s="9" t="n">
        <v>7.9742</v>
      </c>
      <c r="M26" s="9" t="str">
        <f aca="false">IFERROR(IF(K26&gt;J26,"Not Meet Target","Meet Target"),"-")</f>
        <v>Meet Target</v>
      </c>
      <c r="N26" s="9" t="str">
        <f aca="false">IFERROR(VLOOKUP(D26,'Team Member List'!B:C,2,0),"")</f>
        <v>TL Ramirez</v>
      </c>
      <c r="O26" s="9" t="s">
        <v>2408</v>
      </c>
    </row>
    <row r="27" customFormat="false" ht="15" hidden="false" customHeight="false" outlineLevel="0" collapsed="false">
      <c r="A27" s="9" t="s">
        <v>63</v>
      </c>
      <c r="B27" s="10"/>
      <c r="C27" s="9"/>
      <c r="D27" s="9" t="s">
        <v>2327</v>
      </c>
      <c r="E27" s="9"/>
      <c r="F27" s="9" t="s">
        <v>974</v>
      </c>
      <c r="G27" s="9" t="s">
        <v>974</v>
      </c>
      <c r="H27" s="9" t="s">
        <v>267</v>
      </c>
      <c r="I27" s="9" t="str">
        <f aca="false">TRIM(A27) &amp; TRIM(F27) &amp; TRIM(H27)</f>
        <v>First ReviewHighlight ViewID</v>
      </c>
      <c r="J27" s="9" t="n">
        <f aca="false">IFERROR(VLOOKUP(I27,'WFM Q4 Target'!J:K,2,0),"-")</f>
        <v>590.502</v>
      </c>
      <c r="K27" s="9" t="n">
        <v>647.1086</v>
      </c>
      <c r="L27" s="9" t="n">
        <v>0</v>
      </c>
      <c r="M27" s="9" t="str">
        <f aca="false">IFERROR(IF(K27&gt;J27,"Not Meet Target","Meet Target"),"-")</f>
        <v>Not Meet Target</v>
      </c>
      <c r="N27" s="9" t="str">
        <f aca="false">IFERROR(VLOOKUP(D27,'Team Member List'!B:C,2,0),"")</f>
        <v>TL Ramirez</v>
      </c>
      <c r="O27" s="9" t="s">
        <v>2408</v>
      </c>
    </row>
    <row r="28" customFormat="false" ht="15" hidden="false" customHeight="false" outlineLevel="0" collapsed="false">
      <c r="A28" s="9" t="s">
        <v>63</v>
      </c>
      <c r="B28" s="10"/>
      <c r="C28" s="9"/>
      <c r="D28" s="9" t="s">
        <v>2327</v>
      </c>
      <c r="E28" s="9" t="s">
        <v>1432</v>
      </c>
      <c r="F28" s="9" t="s">
        <v>1438</v>
      </c>
      <c r="G28" s="9" t="s">
        <v>1438</v>
      </c>
      <c r="H28" s="9" t="s">
        <v>111</v>
      </c>
      <c r="I28" s="9" t="str">
        <f aca="false">TRIM(A28) &amp; TRIM(F28) &amp; TRIM(H28)</f>
        <v>First ReviewQuest Adv VideoUS</v>
      </c>
      <c r="J28" s="9" t="n">
        <f aca="false">IFERROR(VLOOKUP(I28,'WFM Q4 Target'!J:K,2,0),"-")</f>
        <v>99.006</v>
      </c>
      <c r="K28" s="9" t="n">
        <v>1804.4199</v>
      </c>
      <c r="L28" s="9" t="n">
        <v>4.777</v>
      </c>
      <c r="M28" s="9" t="str">
        <f aca="false">IFERROR(IF(K28&gt;J28,"Not Meet Target","Meet Target"),"-")</f>
        <v>Not Meet Target</v>
      </c>
      <c r="N28" s="9" t="str">
        <f aca="false">IFERROR(VLOOKUP(D28,'Team Member List'!B:C,2,0),"")</f>
        <v>TL Ramirez</v>
      </c>
      <c r="O28" s="9" t="s">
        <v>2408</v>
      </c>
    </row>
    <row r="29" customFormat="false" ht="15" hidden="false" customHeight="false" outlineLevel="0" collapsed="false">
      <c r="A29" s="9" t="s">
        <v>63</v>
      </c>
      <c r="B29" s="10"/>
      <c r="C29" s="9" t="s">
        <v>2369</v>
      </c>
      <c r="D29" s="9" t="s">
        <v>2369</v>
      </c>
      <c r="E29" s="9" t="s">
        <v>56</v>
      </c>
      <c r="F29" s="9" t="s">
        <v>75</v>
      </c>
      <c r="G29" s="9" t="s">
        <v>75</v>
      </c>
      <c r="H29" s="9" t="s">
        <v>458</v>
      </c>
      <c r="I29" s="9" t="str">
        <f aca="false">TRIM(A29) &amp; TRIM(F29) &amp; TRIM(H29)</f>
        <v>First ReviewBid Ecom Ads GroupTW</v>
      </c>
      <c r="J29" s="9" t="n">
        <f aca="false">IFERROR(VLOOKUP(I29,'WFM Q4 Target'!J:K,2,0),"-")</f>
        <v>256.572</v>
      </c>
      <c r="K29" s="9" t="n">
        <v>945.4452</v>
      </c>
      <c r="L29" s="9" t="n">
        <v>62.5084</v>
      </c>
      <c r="M29" s="9" t="str">
        <f aca="false">IFERROR(IF(K29&gt;J29,"Not Meet Target","Meet Target"),"-")</f>
        <v>Not Meet Target</v>
      </c>
      <c r="N29" s="9" t="str">
        <f aca="false">IFERROR(VLOOKUP(D29,'Team Member List'!B:C,2,0),"")</f>
        <v>TL Okafor</v>
      </c>
      <c r="O29" s="9" t="s">
        <v>2408</v>
      </c>
    </row>
    <row r="30" customFormat="false" ht="15" hidden="false" customHeight="false" outlineLevel="0" collapsed="false">
      <c r="A30" s="9" t="s">
        <v>63</v>
      </c>
      <c r="B30" s="10"/>
      <c r="C30" s="9"/>
      <c r="D30" s="9" t="s">
        <v>2369</v>
      </c>
      <c r="E30" s="9" t="s">
        <v>973</v>
      </c>
      <c r="F30" s="9" t="s">
        <v>974</v>
      </c>
      <c r="G30" s="9" t="s">
        <v>974</v>
      </c>
      <c r="H30" s="9" t="s">
        <v>458</v>
      </c>
      <c r="I30" s="9" t="str">
        <f aca="false">TRIM(A30) &amp; TRIM(F30) &amp; TRIM(H30)</f>
        <v>First ReviewHighlight ViewTW</v>
      </c>
      <c r="J30" s="9" t="n">
        <f aca="false">IFERROR(VLOOKUP(I30,'WFM Q4 Target'!J:K,2,0),"-")</f>
        <v>261.162</v>
      </c>
      <c r="K30" s="9" t="n">
        <v>209.2389</v>
      </c>
      <c r="L30" s="9" t="n">
        <v>0</v>
      </c>
      <c r="M30" s="9" t="str">
        <f aca="false">IFERROR(IF(K30&gt;J30,"Not Meet Target","Meet Target"),"-")</f>
        <v>Meet Target</v>
      </c>
      <c r="N30" s="9" t="str">
        <f aca="false">IFERROR(VLOOKUP(D30,'Team Member List'!B:C,2,0),"")</f>
        <v>TL Okafor</v>
      </c>
      <c r="O30" s="9" t="s">
        <v>2408</v>
      </c>
    </row>
    <row r="31" customFormat="false" ht="15" hidden="false" customHeight="false" outlineLevel="0" collapsed="false">
      <c r="A31" s="9" t="s">
        <v>63</v>
      </c>
      <c r="B31" s="10"/>
      <c r="C31" s="9" t="s">
        <v>2351</v>
      </c>
      <c r="D31" s="9" t="s">
        <v>2351</v>
      </c>
      <c r="E31" s="9" t="s">
        <v>56</v>
      </c>
      <c r="F31" s="9" t="s">
        <v>75</v>
      </c>
      <c r="G31" s="9" t="s">
        <v>75</v>
      </c>
      <c r="H31" s="9" t="s">
        <v>95</v>
      </c>
      <c r="I31" s="9" t="str">
        <f aca="false">TRIM(A31) &amp; TRIM(F31) &amp; TRIM(H31)</f>
        <v>First ReviewBid Ecom Ads GroupVN</v>
      </c>
      <c r="J31" s="9" t="n">
        <f aca="false">IFERROR(VLOOKUP(I31,'WFM Q4 Target'!J:K,2,0),"-")</f>
        <v>414.828</v>
      </c>
      <c r="K31" s="9" t="n">
        <v>202.6333</v>
      </c>
      <c r="L31" s="9" t="n">
        <v>44.0205</v>
      </c>
      <c r="M31" s="9" t="str">
        <f aca="false">IFERROR(IF(K31&gt;J31,"Not Meet Target","Meet Target"),"-")</f>
        <v>Meet Target</v>
      </c>
      <c r="N31" s="9" t="str">
        <f aca="false">IFERROR(VLOOKUP(D31,'Team Member List'!B:C,2,0),"")</f>
        <v>TL Lindgren</v>
      </c>
      <c r="O31" s="9" t="s">
        <v>2408</v>
      </c>
    </row>
    <row r="32" customFormat="false" ht="15" hidden="false" customHeight="false" outlineLevel="0" collapsed="false">
      <c r="A32" s="9" t="s">
        <v>63</v>
      </c>
      <c r="B32" s="10"/>
      <c r="C32" s="9" t="s">
        <v>2346</v>
      </c>
      <c r="D32" s="9" t="s">
        <v>2346</v>
      </c>
      <c r="E32" s="9" t="s">
        <v>973</v>
      </c>
      <c r="F32" s="9" t="s">
        <v>979</v>
      </c>
      <c r="G32" s="9" t="s">
        <v>979</v>
      </c>
      <c r="H32" s="9" t="s">
        <v>95</v>
      </c>
      <c r="I32" s="9" t="str">
        <f aca="false">TRIM(A32) &amp; TRIM(F32) &amp; TRIM(H32)</f>
        <v>First ReviewBooking Ads Pre ApprovalVN</v>
      </c>
      <c r="J32" s="9" t="n">
        <f aca="false">IFERROR(VLOOKUP(I32,'WFM Q4 Target'!J:K,2,0),"-")</f>
        <v>213.222</v>
      </c>
      <c r="K32" s="9" t="n">
        <v>253.0166</v>
      </c>
      <c r="L32" s="9" t="n">
        <v>21.7849</v>
      </c>
      <c r="M32" s="9" t="str">
        <f aca="false">IFERROR(IF(K32&gt;J32,"Not Meet Target","Meet Target"),"-")</f>
        <v>Not Meet Target</v>
      </c>
      <c r="N32" s="9" t="str">
        <f aca="false">IFERROR(VLOOKUP(D32,'Team Member List'!B:C,2,0),"")</f>
        <v>TL Lindgren</v>
      </c>
      <c r="O32" s="9" t="s">
        <v>2408</v>
      </c>
    </row>
    <row r="33" customFormat="false" ht="15" hidden="false" customHeight="false" outlineLevel="0" collapsed="false">
      <c r="A33" s="9" t="s">
        <v>63</v>
      </c>
      <c r="B33" s="10"/>
      <c r="C33" s="9" t="s">
        <v>2353</v>
      </c>
      <c r="D33" s="9" t="s">
        <v>2353</v>
      </c>
      <c r="E33" s="9" t="s">
        <v>56</v>
      </c>
      <c r="F33" s="9" t="s">
        <v>57</v>
      </c>
      <c r="G33" s="9" t="s">
        <v>57</v>
      </c>
      <c r="H33" s="9" t="s">
        <v>100</v>
      </c>
      <c r="I33" s="9" t="str">
        <f aca="false">TRIM(A33) &amp; TRIM(F33) &amp; TRIM(H33)</f>
        <v>First ReviewBid Ad GroupAU</v>
      </c>
      <c r="J33" s="9" t="n">
        <f aca="false">IFERROR(VLOOKUP(I33,'WFM Q4 Target'!J:K,2,0),"-")</f>
        <v>88.71</v>
      </c>
      <c r="K33" s="9" t="n">
        <v>578.4252</v>
      </c>
      <c r="L33" s="9" t="n">
        <v>230.3409</v>
      </c>
      <c r="M33" s="9" t="str">
        <f aca="false">IFERROR(IF(K33&gt;J33,"Not Meet Target","Meet Target"),"-")</f>
        <v>Not Meet Target</v>
      </c>
      <c r="N33" s="9" t="str">
        <f aca="false">IFERROR(VLOOKUP(D33,'Team Member List'!B:C,2,0),"")</f>
        <v>TL Lindgren</v>
      </c>
      <c r="O33" s="9" t="s">
        <v>2408</v>
      </c>
    </row>
    <row r="34" customFormat="false" ht="15" hidden="false" customHeight="false" outlineLevel="0" collapsed="false">
      <c r="A34" s="9" t="s">
        <v>63</v>
      </c>
      <c r="B34" s="10"/>
      <c r="C34" s="9"/>
      <c r="D34" s="9" t="s">
        <v>2353</v>
      </c>
      <c r="E34" s="9" t="s">
        <v>973</v>
      </c>
      <c r="F34" s="9" t="s">
        <v>974</v>
      </c>
      <c r="G34" s="9" t="s">
        <v>974</v>
      </c>
      <c r="H34" s="9" t="s">
        <v>87</v>
      </c>
      <c r="I34" s="9" t="str">
        <f aca="false">TRIM(A34) &amp; TRIM(F34) &amp; TRIM(H34)</f>
        <v>First ReviewHighlight ViewAE</v>
      </c>
      <c r="J34" s="9" t="n">
        <f aca="false">IFERROR(VLOOKUP(I34,'WFM Q4 Target'!J:K,2,0),"-")</f>
        <v>6.33</v>
      </c>
      <c r="K34" s="9" t="n">
        <v>306.9859</v>
      </c>
      <c r="L34" s="9" t="n">
        <v>0</v>
      </c>
      <c r="M34" s="9" t="str">
        <f aca="false">IFERROR(IF(K34&gt;J34,"Not Meet Target","Meet Target"),"-")</f>
        <v>Not Meet Target</v>
      </c>
      <c r="N34" s="9" t="str">
        <f aca="false">IFERROR(VLOOKUP(D34,'Team Member List'!B:C,2,0),"")</f>
        <v>TL Lindgren</v>
      </c>
      <c r="O34" s="9" t="s">
        <v>2408</v>
      </c>
    </row>
    <row r="35" customFormat="false" ht="15" hidden="false" customHeight="false" outlineLevel="0" collapsed="false">
      <c r="A35" s="9" t="s">
        <v>63</v>
      </c>
      <c r="B35" s="10"/>
      <c r="C35" s="9"/>
      <c r="D35" s="9" t="s">
        <v>2353</v>
      </c>
      <c r="E35" s="9"/>
      <c r="F35" s="9" t="s">
        <v>974</v>
      </c>
      <c r="G35" s="9"/>
      <c r="H35" s="9" t="s">
        <v>157</v>
      </c>
      <c r="I35" s="9" t="str">
        <f aca="false">TRIM(A35) &amp; TRIM(F35) &amp; TRIM(H35)</f>
        <v>First ReviewHighlight ViewSA</v>
      </c>
      <c r="J35" s="9" t="n">
        <f aca="false">IFERROR(VLOOKUP(I35,'WFM Q4 Target'!J:K,2,0),"-")</f>
        <v>778.374</v>
      </c>
      <c r="K35" s="9" t="n">
        <v>271.1107</v>
      </c>
      <c r="L35" s="9" t="n">
        <v>0</v>
      </c>
      <c r="M35" s="9" t="str">
        <f aca="false">IFERROR(IF(K35&gt;J35,"Not Meet Target","Meet Target"),"-")</f>
        <v>Meet Target</v>
      </c>
      <c r="N35" s="9" t="str">
        <f aca="false">IFERROR(VLOOKUP(D35,'Team Member List'!B:C,2,0),"")</f>
        <v>TL Lindgren</v>
      </c>
      <c r="O35" s="9" t="s">
        <v>2408</v>
      </c>
    </row>
    <row r="36" customFormat="false" ht="15" hidden="false" customHeight="false" outlineLevel="0" collapsed="false">
      <c r="A36" s="9" t="s">
        <v>63</v>
      </c>
      <c r="B36" s="10"/>
      <c r="C36" s="9" t="s">
        <v>2365</v>
      </c>
      <c r="D36" s="9" t="s">
        <v>2365</v>
      </c>
      <c r="E36" s="9" t="s">
        <v>973</v>
      </c>
      <c r="F36" s="9" t="s">
        <v>2409</v>
      </c>
      <c r="G36" s="9" t="s">
        <v>2409</v>
      </c>
      <c r="H36" s="9" t="s">
        <v>121</v>
      </c>
      <c r="I36" s="9" t="str">
        <f aca="false">TRIM(A36) &amp; TRIM(F36) &amp; TRIM(H36)</f>
        <v>First ReviewESTKR</v>
      </c>
      <c r="J36" s="9" t="str">
        <f aca="false">IFERROR(VLOOKUP(I36,'WFM Q4 Target'!J:K,2,0),"-")</f>
        <v>-</v>
      </c>
      <c r="K36" s="9" t="n">
        <v>178.9519</v>
      </c>
      <c r="L36" s="9" t="n">
        <v>0</v>
      </c>
      <c r="M36" s="9" t="str">
        <f aca="false">IFERROR(IF(K36&gt;J36,"Not Meet Target","Meet Target"),"-")</f>
        <v>Meet Target</v>
      </c>
      <c r="N36" s="9" t="str">
        <f aca="false">IFERROR(VLOOKUP(D36,'Team Member List'!B:C,2,0),"")</f>
        <v>TL Okafor</v>
      </c>
      <c r="O36" s="9" t="s">
        <v>2408</v>
      </c>
    </row>
    <row r="37" customFormat="false" ht="15" hidden="false" customHeight="false" outlineLevel="0" collapsed="false">
      <c r="A37" s="9" t="s">
        <v>63</v>
      </c>
      <c r="B37" s="10"/>
      <c r="C37" s="9" t="s">
        <v>2332</v>
      </c>
      <c r="D37" s="9" t="s">
        <v>2332</v>
      </c>
      <c r="E37" s="9" t="s">
        <v>56</v>
      </c>
      <c r="F37" s="9" t="s">
        <v>57</v>
      </c>
      <c r="G37" s="9" t="s">
        <v>57</v>
      </c>
      <c r="H37" s="9" t="s">
        <v>267</v>
      </c>
      <c r="I37" s="9" t="str">
        <f aca="false">TRIM(A37) &amp; TRIM(F37) &amp; TRIM(H37)</f>
        <v>First ReviewBid Ad GroupID</v>
      </c>
      <c r="J37" s="9" t="n">
        <f aca="false">IFERROR(VLOOKUP(I37,'WFM Q4 Target'!J:K,2,0),"-")</f>
        <v>118.062</v>
      </c>
      <c r="K37" s="9" t="n">
        <v>218.528</v>
      </c>
      <c r="L37" s="9" t="n">
        <v>162.5757</v>
      </c>
      <c r="M37" s="9" t="str">
        <f aca="false">IFERROR(IF(K37&gt;J37,"Not Meet Target","Meet Target"),"-")</f>
        <v>Not Meet Target</v>
      </c>
      <c r="N37" s="9" t="str">
        <f aca="false">IFERROR(VLOOKUP(D37,'Team Member List'!B:C,2,0),"")</f>
        <v>TL Ramirez</v>
      </c>
      <c r="O37" s="9" t="s">
        <v>2408</v>
      </c>
    </row>
    <row r="38" customFormat="false" ht="15" hidden="false" customHeight="false" outlineLevel="0" collapsed="false">
      <c r="A38" s="9" t="s">
        <v>63</v>
      </c>
      <c r="B38" s="10"/>
      <c r="C38" s="9"/>
      <c r="D38" s="9" t="s">
        <v>2332</v>
      </c>
      <c r="E38" s="9"/>
      <c r="F38" s="9" t="s">
        <v>75</v>
      </c>
      <c r="G38" s="9" t="s">
        <v>75</v>
      </c>
      <c r="H38" s="9" t="s">
        <v>267</v>
      </c>
      <c r="I38" s="9" t="str">
        <f aca="false">TRIM(A38) &amp; TRIM(F38) &amp; TRIM(H38)</f>
        <v>First ReviewBid Ecom Ads GroupID</v>
      </c>
      <c r="J38" s="9" t="n">
        <f aca="false">IFERROR(VLOOKUP(I38,'WFM Q4 Target'!J:K,2,0),"-")</f>
        <v>155.28</v>
      </c>
      <c r="K38" s="9" t="n">
        <v>460.8002</v>
      </c>
      <c r="L38" s="9" t="n">
        <v>117.0219</v>
      </c>
      <c r="M38" s="9" t="str">
        <f aca="false">IFERROR(IF(K38&gt;J38,"Not Meet Target","Meet Target"),"-")</f>
        <v>Not Meet Target</v>
      </c>
      <c r="N38" s="9" t="str">
        <f aca="false">IFERROR(VLOOKUP(D38,'Team Member List'!B:C,2,0),"")</f>
        <v>TL Ramirez</v>
      </c>
      <c r="O38" s="9" t="s">
        <v>2408</v>
      </c>
    </row>
    <row r="39" customFormat="false" ht="15" hidden="false" customHeight="false" outlineLevel="0" collapsed="false">
      <c r="A39" s="9" t="s">
        <v>63</v>
      </c>
      <c r="B39" s="10"/>
      <c r="C39" s="9" t="s">
        <v>2373</v>
      </c>
      <c r="D39" s="9" t="s">
        <v>2373</v>
      </c>
      <c r="E39" s="9" t="s">
        <v>56</v>
      </c>
      <c r="F39" s="9" t="s">
        <v>57</v>
      </c>
      <c r="G39" s="9" t="s">
        <v>57</v>
      </c>
      <c r="H39" s="9" t="s">
        <v>190</v>
      </c>
      <c r="I39" s="9" t="str">
        <f aca="false">TRIM(A39) &amp; TRIM(F39) &amp; TRIM(H39)</f>
        <v>First ReviewBid Ad GroupPH</v>
      </c>
      <c r="J39" s="9" t="n">
        <f aca="false">IFERROR(VLOOKUP(I39,'WFM Q4 Target'!J:K,2,0),"-")</f>
        <v>81.798</v>
      </c>
      <c r="K39" s="9" t="n">
        <v>204.2162</v>
      </c>
      <c r="L39" s="9" t="n">
        <v>121.8561</v>
      </c>
      <c r="M39" s="9" t="str">
        <f aca="false">IFERROR(IF(K39&gt;J39,"Not Meet Target","Meet Target"),"-")</f>
        <v>Not Meet Target</v>
      </c>
      <c r="N39" s="9" t="str">
        <f aca="false">IFERROR(VLOOKUP(D39,'Team Member List'!B:C,2,0),"")</f>
        <v>TL Okafor</v>
      </c>
      <c r="O39" s="9" t="s">
        <v>2408</v>
      </c>
    </row>
    <row r="40" customFormat="false" ht="15" hidden="false" customHeight="false" outlineLevel="0" collapsed="false">
      <c r="A40" s="9" t="s">
        <v>63</v>
      </c>
      <c r="B40" s="10"/>
      <c r="C40" s="9"/>
      <c r="D40" s="9" t="s">
        <v>2373</v>
      </c>
      <c r="E40" s="9"/>
      <c r="F40" s="9" t="s">
        <v>75</v>
      </c>
      <c r="G40" s="9" t="s">
        <v>75</v>
      </c>
      <c r="H40" s="9" t="s">
        <v>190</v>
      </c>
      <c r="I40" s="9" t="str">
        <f aca="false">TRIM(A40) &amp; TRIM(F40) &amp; TRIM(H40)</f>
        <v>First ReviewBid Ecom Ads GroupPH</v>
      </c>
      <c r="J40" s="9" t="n">
        <f aca="false">IFERROR(VLOOKUP(I40,'WFM Q4 Target'!J:K,2,0),"-")</f>
        <v>106.374</v>
      </c>
      <c r="K40" s="9" t="n">
        <v>486.1408</v>
      </c>
      <c r="L40" s="9" t="n">
        <v>35.5436</v>
      </c>
      <c r="M40" s="9" t="str">
        <f aca="false">IFERROR(IF(K40&gt;J40,"Not Meet Target","Meet Target"),"-")</f>
        <v>Not Meet Target</v>
      </c>
      <c r="N40" s="9" t="str">
        <f aca="false">IFERROR(VLOOKUP(D40,'Team Member List'!B:C,2,0),"")</f>
        <v>TL Okafor</v>
      </c>
      <c r="O40" s="9" t="s">
        <v>2408</v>
      </c>
    </row>
    <row r="41" customFormat="false" ht="15" hidden="false" customHeight="false" outlineLevel="0" collapsed="false">
      <c r="A41" s="9" t="s">
        <v>63</v>
      </c>
      <c r="B41" s="10"/>
      <c r="C41" s="9"/>
      <c r="D41" s="9" t="s">
        <v>2373</v>
      </c>
      <c r="E41" s="9" t="s">
        <v>973</v>
      </c>
      <c r="F41" s="9" t="s">
        <v>974</v>
      </c>
      <c r="G41" s="9" t="s">
        <v>974</v>
      </c>
      <c r="H41" s="9" t="s">
        <v>166</v>
      </c>
      <c r="I41" s="9" t="str">
        <f aca="false">TRIM(A41) &amp; TRIM(F41) &amp; TRIM(H41)</f>
        <v>First ReviewHighlight ViewCZ</v>
      </c>
      <c r="J41" s="9" t="n">
        <f aca="false">IFERROR(VLOOKUP(I41,'WFM Q4 Target'!J:K,2,0),"-")</f>
        <v>6.51</v>
      </c>
      <c r="K41" s="9" t="n">
        <v>1136.7606</v>
      </c>
      <c r="L41" s="9" t="n">
        <v>30.1945</v>
      </c>
      <c r="M41" s="9" t="str">
        <f aca="false">IFERROR(IF(K41&gt;J41,"Not Meet Target","Meet Target"),"-")</f>
        <v>Not Meet Target</v>
      </c>
      <c r="N41" s="9" t="str">
        <f aca="false">IFERROR(VLOOKUP(D41,'Team Member List'!B:C,2,0),"")</f>
        <v>TL Okafor</v>
      </c>
      <c r="O41" s="9" t="s">
        <v>2408</v>
      </c>
    </row>
    <row r="42" customFormat="false" ht="15" hidden="false" customHeight="false" outlineLevel="0" collapsed="false">
      <c r="A42" s="9" t="s">
        <v>63</v>
      </c>
      <c r="B42" s="10"/>
      <c r="C42" s="9"/>
      <c r="D42" s="9" t="s">
        <v>2373</v>
      </c>
      <c r="E42" s="9"/>
      <c r="F42" s="9" t="s">
        <v>974</v>
      </c>
      <c r="G42" s="9"/>
      <c r="H42" s="9" t="s">
        <v>306</v>
      </c>
      <c r="I42" s="9" t="str">
        <f aca="false">TRIM(A42) &amp; TRIM(F42) &amp; TRIM(H42)</f>
        <v>First ReviewHighlight ViewTH</v>
      </c>
      <c r="J42" s="9" t="n">
        <f aca="false">IFERROR(VLOOKUP(I42,'WFM Q4 Target'!J:K,2,0),"-")</f>
        <v>225.126</v>
      </c>
      <c r="K42" s="9" t="n">
        <v>204.7338</v>
      </c>
      <c r="L42" s="9" t="n">
        <v>19.5812</v>
      </c>
      <c r="M42" s="9" t="str">
        <f aca="false">IFERROR(IF(K42&gt;J42,"Not Meet Target","Meet Target"),"-")</f>
        <v>Meet Target</v>
      </c>
      <c r="N42" s="9" t="str">
        <f aca="false">IFERROR(VLOOKUP(D42,'Team Member List'!B:C,2,0),"")</f>
        <v>TL Okafor</v>
      </c>
      <c r="O42" s="9" t="s">
        <v>2408</v>
      </c>
    </row>
    <row r="43" customFormat="false" ht="15" hidden="false" customHeight="false" outlineLevel="0" collapsed="false">
      <c r="A43" s="9" t="s">
        <v>63</v>
      </c>
      <c r="B43" s="10"/>
      <c r="C43" s="9"/>
      <c r="D43" s="9" t="s">
        <v>2373</v>
      </c>
      <c r="E43" s="9" t="s">
        <v>1432</v>
      </c>
      <c r="F43" s="9" t="s">
        <v>1440</v>
      </c>
      <c r="G43" s="9" t="s">
        <v>1440</v>
      </c>
      <c r="H43" s="9" t="s">
        <v>190</v>
      </c>
      <c r="I43" s="9" t="str">
        <f aca="false">TRIM(A43) &amp; TRIM(F43) &amp; TRIM(H43)</f>
        <v>First ReviewHTC Adv CampaignPH</v>
      </c>
      <c r="J43" s="9" t="n">
        <f aca="false">IFERROR(VLOOKUP(I43,'WFM Q4 Target'!J:K,2,0),"-")</f>
        <v>142.656</v>
      </c>
      <c r="K43" s="9" t="n">
        <v>199.8968</v>
      </c>
      <c r="L43" s="9" t="n">
        <v>0</v>
      </c>
      <c r="M43" s="9" t="str">
        <f aca="false">IFERROR(IF(K43&gt;J43,"Not Meet Target","Meet Target"),"-")</f>
        <v>Not Meet Target</v>
      </c>
      <c r="N43" s="9" t="str">
        <f aca="false">IFERROR(VLOOKUP(D43,'Team Member List'!B:C,2,0),"")</f>
        <v>TL Okafor</v>
      </c>
      <c r="O43" s="9" t="s">
        <v>2408</v>
      </c>
    </row>
    <row r="44" customFormat="false" ht="15" hidden="false" customHeight="false" outlineLevel="0" collapsed="false">
      <c r="A44" s="9" t="s">
        <v>63</v>
      </c>
      <c r="B44" s="10"/>
      <c r="C44" s="9" t="s">
        <v>2342</v>
      </c>
      <c r="D44" s="9" t="s">
        <v>2342</v>
      </c>
      <c r="E44" s="9" t="s">
        <v>2019</v>
      </c>
      <c r="F44" s="9" t="s">
        <v>2026</v>
      </c>
      <c r="G44" s="9" t="s">
        <v>2026</v>
      </c>
      <c r="H44" s="9" t="s">
        <v>95</v>
      </c>
      <c r="I44" s="9" t="str">
        <f aca="false">TRIM(A44) &amp; TRIM(F44) &amp; TRIM(H44)</f>
        <v>First ReviewCreator Gen Video Tiktok RequirementVN</v>
      </c>
      <c r="J44" s="9" t="n">
        <f aca="false">IFERROR(VLOOKUP(I44,'WFM Q4 Target'!J:K,2,0),"-")</f>
        <v>80.772</v>
      </c>
      <c r="K44" s="9" t="n">
        <v>173.8879</v>
      </c>
      <c r="L44" s="9" t="n">
        <v>41.9576</v>
      </c>
      <c r="M44" s="9" t="str">
        <f aca="false">IFERROR(IF(K44&gt;J44,"Not Meet Target","Meet Target"),"-")</f>
        <v>Not Meet Target</v>
      </c>
      <c r="N44" s="9" t="str">
        <f aca="false">IFERROR(VLOOKUP(D44,'Team Member List'!B:C,2,0),"")</f>
        <v>TL Lindgren</v>
      </c>
      <c r="O44" s="9" t="s">
        <v>2408</v>
      </c>
    </row>
    <row r="45" customFormat="false" ht="15" hidden="false" customHeight="false" outlineLevel="0" collapsed="false">
      <c r="A45" s="9" t="s">
        <v>63</v>
      </c>
      <c r="B45" s="10"/>
      <c r="C45" s="9" t="s">
        <v>2338</v>
      </c>
      <c r="D45" s="9" t="s">
        <v>2338</v>
      </c>
      <c r="E45" s="9" t="s">
        <v>56</v>
      </c>
      <c r="F45" s="9" t="s">
        <v>75</v>
      </c>
      <c r="G45" s="9" t="s">
        <v>75</v>
      </c>
      <c r="H45" s="9" t="s">
        <v>106</v>
      </c>
      <c r="I45" s="9" t="str">
        <f aca="false">TRIM(A45) &amp; TRIM(F45) &amp; TRIM(H45)</f>
        <v>First ReviewBid Ecom Ads GroupMY</v>
      </c>
      <c r="J45" s="9" t="n">
        <f aca="false">IFERROR(VLOOKUP(I45,'WFM Q4 Target'!J:K,2,0),"-")</f>
        <v>148.482</v>
      </c>
      <c r="K45" s="9" t="n">
        <v>151.3398</v>
      </c>
      <c r="L45" s="9" t="n">
        <v>26.2824</v>
      </c>
      <c r="M45" s="9" t="str">
        <f aca="false">IFERROR(IF(K45&gt;J45,"Not Meet Target","Meet Target"),"-")</f>
        <v>Not Meet Target</v>
      </c>
      <c r="N45" s="9" t="str">
        <f aca="false">IFERROR(VLOOKUP(D45,'Team Member List'!B:C,2,0),"")</f>
        <v>TL Ramirez</v>
      </c>
      <c r="O45" s="9" t="s">
        <v>2408</v>
      </c>
    </row>
    <row r="46" customFormat="false" ht="15" hidden="false" customHeight="false" outlineLevel="0" collapsed="false">
      <c r="A46" s="9" t="s">
        <v>63</v>
      </c>
      <c r="B46" s="10"/>
      <c r="C46" s="9"/>
      <c r="D46" s="9" t="s">
        <v>2338</v>
      </c>
      <c r="E46" s="9" t="s">
        <v>973</v>
      </c>
      <c r="F46" s="9" t="s">
        <v>979</v>
      </c>
      <c r="G46" s="9" t="s">
        <v>979</v>
      </c>
      <c r="H46" s="9" t="s">
        <v>58</v>
      </c>
      <c r="I46" s="9" t="str">
        <f aca="false">TRIM(A46) &amp; TRIM(F46) &amp; TRIM(H46)</f>
        <v>First ReviewBooking Ads Pre ApprovalSG</v>
      </c>
      <c r="J46" s="9" t="n">
        <f aca="false">IFERROR(VLOOKUP(I46,'WFM Q4 Target'!J:K,2,0),"-")</f>
        <v>59.52</v>
      </c>
      <c r="K46" s="9" t="n">
        <v>160.4682</v>
      </c>
      <c r="L46" s="9" t="n">
        <v>36.4277</v>
      </c>
      <c r="M46" s="9" t="str">
        <f aca="false">IFERROR(IF(K46&gt;J46,"Not Meet Target","Meet Target"),"-")</f>
        <v>Not Meet Target</v>
      </c>
      <c r="N46" s="9" t="str">
        <f aca="false">IFERROR(VLOOKUP(D46,'Team Member List'!B:C,2,0),"")</f>
        <v>TL Ramirez</v>
      </c>
      <c r="O46" s="9" t="s">
        <v>2408</v>
      </c>
    </row>
    <row r="47" customFormat="false" ht="15" hidden="false" customHeight="false" outlineLevel="0" collapsed="false">
      <c r="A47" s="9" t="s">
        <v>63</v>
      </c>
      <c r="B47" s="10"/>
      <c r="C47" s="9"/>
      <c r="D47" s="9" t="s">
        <v>2338</v>
      </c>
      <c r="E47" s="9" t="s">
        <v>1432</v>
      </c>
      <c r="F47" s="9" t="s">
        <v>1458</v>
      </c>
      <c r="G47" s="9" t="s">
        <v>1458</v>
      </c>
      <c r="H47" s="9" t="s">
        <v>106</v>
      </c>
      <c r="I47" s="9" t="str">
        <f aca="false">TRIM(A47) &amp; TRIM(F47) &amp; TRIM(H47)</f>
        <v>First ReviewHTC Adv VideoMY</v>
      </c>
      <c r="J47" s="9" t="str">
        <f aca="false">IFERROR(VLOOKUP(I47,'WFM Q4 Target'!J:K,2,0),"-")</f>
        <v>-</v>
      </c>
      <c r="K47" s="9" t="n">
        <v>218.0905</v>
      </c>
      <c r="L47" s="9" t="n">
        <v>109.1834</v>
      </c>
      <c r="M47" s="9" t="str">
        <f aca="false">IFERROR(IF(K47&gt;J47,"Not Meet Target","Meet Target"),"-")</f>
        <v>Meet Target</v>
      </c>
      <c r="N47" s="9" t="str">
        <f aca="false">IFERROR(VLOOKUP(D47,'Team Member List'!B:C,2,0),"")</f>
        <v>TL Ramirez</v>
      </c>
      <c r="O47" s="9" t="s">
        <v>2408</v>
      </c>
    </row>
    <row r="48" customFormat="false" ht="15" hidden="false" customHeight="false" outlineLevel="0" collapsed="false">
      <c r="A48" s="9" t="s">
        <v>63</v>
      </c>
      <c r="B48" s="10"/>
      <c r="C48" s="9" t="s">
        <v>2329</v>
      </c>
      <c r="D48" s="9" t="s">
        <v>2329</v>
      </c>
      <c r="E48" s="9" t="s">
        <v>56</v>
      </c>
      <c r="F48" s="9" t="s">
        <v>57</v>
      </c>
      <c r="G48" s="9" t="s">
        <v>57</v>
      </c>
      <c r="H48" s="9" t="s">
        <v>267</v>
      </c>
      <c r="I48" s="9" t="str">
        <f aca="false">TRIM(A48) &amp; TRIM(F48) &amp; TRIM(H48)</f>
        <v>First ReviewBid Ad GroupID</v>
      </c>
      <c r="J48" s="9" t="n">
        <f aca="false">IFERROR(VLOOKUP(I48,'WFM Q4 Target'!J:K,2,0),"-")</f>
        <v>118.062</v>
      </c>
      <c r="K48" s="9" t="n">
        <v>144.5434</v>
      </c>
      <c r="L48" s="9" t="n">
        <v>136.2149</v>
      </c>
      <c r="M48" s="9" t="str">
        <f aca="false">IFERROR(IF(K48&gt;J48,"Not Meet Target","Meet Target"),"-")</f>
        <v>Not Meet Target</v>
      </c>
      <c r="N48" s="9" t="str">
        <f aca="false">IFERROR(VLOOKUP(D48,'Team Member List'!B:C,2,0),"")</f>
        <v>TL Ramirez</v>
      </c>
      <c r="O48" s="9" t="s">
        <v>2408</v>
      </c>
    </row>
    <row r="49" customFormat="false" ht="15" hidden="false" customHeight="false" outlineLevel="0" collapsed="false">
      <c r="A49" s="9" t="s">
        <v>63</v>
      </c>
      <c r="B49" s="10"/>
      <c r="C49" s="9"/>
      <c r="D49" s="9" t="s">
        <v>2329</v>
      </c>
      <c r="E49" s="9" t="s">
        <v>973</v>
      </c>
      <c r="F49" s="9" t="s">
        <v>2410</v>
      </c>
      <c r="G49" s="9" t="s">
        <v>2410</v>
      </c>
      <c r="H49" s="9" t="s">
        <v>267</v>
      </c>
      <c r="I49" s="9" t="str">
        <f aca="false">TRIM(A49) &amp; TRIM(F49) &amp; TRIM(H49)</f>
        <v>First ReviewReach &amp; FrequencyID</v>
      </c>
      <c r="J49" s="9" t="str">
        <f aca="false">IFERROR(VLOOKUP(I49,'WFM Q4 Target'!J:K,2,0),"-")</f>
        <v>-</v>
      </c>
      <c r="K49" s="9" t="n">
        <v>343.3486</v>
      </c>
      <c r="L49" s="9" t="n">
        <v>386.8352</v>
      </c>
      <c r="M49" s="9" t="str">
        <f aca="false">IFERROR(IF(K49&gt;J49,"Not Meet Target","Meet Target"),"-")</f>
        <v>Meet Target</v>
      </c>
      <c r="N49" s="9" t="str">
        <f aca="false">IFERROR(VLOOKUP(D49,'Team Member List'!B:C,2,0),"")</f>
        <v>TL Ramirez</v>
      </c>
      <c r="O49" s="9" t="s">
        <v>2408</v>
      </c>
    </row>
    <row r="50" customFormat="false" ht="15" hidden="false" customHeight="false" outlineLevel="0" collapsed="false">
      <c r="A50" s="9" t="s">
        <v>63</v>
      </c>
      <c r="B50" s="10"/>
      <c r="C50" s="9" t="s">
        <v>2393</v>
      </c>
      <c r="D50" s="9" t="s">
        <v>2393</v>
      </c>
      <c r="E50" s="9" t="s">
        <v>973</v>
      </c>
      <c r="F50" s="9" t="s">
        <v>979</v>
      </c>
      <c r="G50" s="9" t="s">
        <v>979</v>
      </c>
      <c r="H50" s="9" t="s">
        <v>106</v>
      </c>
      <c r="I50" s="9" t="str">
        <f aca="false">TRIM(A50) &amp; TRIM(F50) &amp; TRIM(H50)</f>
        <v>First ReviewBooking Ads Pre ApprovalMY</v>
      </c>
      <c r="J50" s="9" t="n">
        <f aca="false">IFERROR(VLOOKUP(I50,'WFM Q4 Target'!J:K,2,0),"-")</f>
        <v>91.824</v>
      </c>
      <c r="K50" s="9" t="n">
        <v>336.3331</v>
      </c>
      <c r="L50" s="9" t="n">
        <v>15.1572</v>
      </c>
      <c r="M50" s="9" t="str">
        <f aca="false">IFERROR(IF(K50&gt;J50,"Not Meet Target","Meet Target"),"-")</f>
        <v>Not Meet Target</v>
      </c>
      <c r="N50" s="9" t="str">
        <f aca="false">IFERROR(VLOOKUP(D50,'Team Member List'!B:C,2,0),"")</f>
        <v>TL Cabrera</v>
      </c>
      <c r="O50" s="9" t="s">
        <v>2408</v>
      </c>
    </row>
    <row r="51" customFormat="false" ht="15" hidden="false" customHeight="false" outlineLevel="0" collapsed="false">
      <c r="A51" s="9" t="s">
        <v>63</v>
      </c>
      <c r="B51" s="10"/>
      <c r="C51" s="9"/>
      <c r="D51" s="9" t="s">
        <v>2393</v>
      </c>
      <c r="E51" s="9"/>
      <c r="F51" s="9" t="s">
        <v>974</v>
      </c>
      <c r="G51" s="9" t="s">
        <v>974</v>
      </c>
      <c r="H51" s="9" t="s">
        <v>267</v>
      </c>
      <c r="I51" s="9" t="str">
        <f aca="false">TRIM(A51) &amp; TRIM(F51) &amp; TRIM(H51)</f>
        <v>First ReviewHighlight ViewID</v>
      </c>
      <c r="J51" s="9" t="n">
        <f aca="false">IFERROR(VLOOKUP(I51,'WFM Q4 Target'!J:K,2,0),"-")</f>
        <v>590.502</v>
      </c>
      <c r="K51" s="9" t="n">
        <v>218.9067</v>
      </c>
      <c r="L51" s="9" t="n">
        <v>0</v>
      </c>
      <c r="M51" s="9" t="str">
        <f aca="false">IFERROR(IF(K51&gt;J51,"Not Meet Target","Meet Target"),"-")</f>
        <v>Meet Target</v>
      </c>
      <c r="N51" s="9" t="str">
        <f aca="false">IFERROR(VLOOKUP(D51,'Team Member List'!B:C,2,0),"")</f>
        <v>TL Cabrera</v>
      </c>
      <c r="O51" s="9" t="s">
        <v>2408</v>
      </c>
    </row>
    <row r="52" customFormat="false" ht="15" hidden="false" customHeight="false" outlineLevel="0" collapsed="false">
      <c r="A52" s="9" t="s">
        <v>63</v>
      </c>
      <c r="B52" s="10"/>
      <c r="C52" s="9"/>
      <c r="D52" s="9" t="s">
        <v>2393</v>
      </c>
      <c r="E52" s="9"/>
      <c r="F52" s="9" t="s">
        <v>974</v>
      </c>
      <c r="G52" s="9"/>
      <c r="H52" s="9" t="s">
        <v>106</v>
      </c>
      <c r="I52" s="9" t="str">
        <f aca="false">TRIM(A52) &amp; TRIM(F52) &amp; TRIM(H52)</f>
        <v>First ReviewHighlight ViewMY</v>
      </c>
      <c r="J52" s="9" t="n">
        <f aca="false">IFERROR(VLOOKUP(I52,'WFM Q4 Target'!J:K,2,0),"-")</f>
        <v>242.28</v>
      </c>
      <c r="K52" s="9" t="n">
        <v>142.949</v>
      </c>
      <c r="L52" s="9" t="n">
        <v>0</v>
      </c>
      <c r="M52" s="9" t="str">
        <f aca="false">IFERROR(IF(K52&gt;J52,"Not Meet Target","Meet Target"),"-")</f>
        <v>Meet Target</v>
      </c>
      <c r="N52" s="9" t="str">
        <f aca="false">IFERROR(VLOOKUP(D52,'Team Member List'!B:C,2,0),"")</f>
        <v>TL Cabrera</v>
      </c>
      <c r="O52" s="9" t="s">
        <v>2408</v>
      </c>
    </row>
    <row r="53" customFormat="false" ht="15" hidden="false" customHeight="false" outlineLevel="0" collapsed="false">
      <c r="A53" s="9" t="s">
        <v>63</v>
      </c>
      <c r="B53" s="10"/>
      <c r="C53" s="9"/>
      <c r="D53" s="9" t="s">
        <v>2393</v>
      </c>
      <c r="E53" s="9"/>
      <c r="F53" s="9" t="s">
        <v>974</v>
      </c>
      <c r="G53" s="9"/>
      <c r="H53" s="9" t="s">
        <v>190</v>
      </c>
      <c r="I53" s="9" t="str">
        <f aca="false">TRIM(A53) &amp; TRIM(F53) &amp; TRIM(H53)</f>
        <v>First ReviewHighlight ViewPH</v>
      </c>
      <c r="J53" s="9" t="n">
        <f aca="false">IFERROR(VLOOKUP(I53,'WFM Q4 Target'!J:K,2,0),"-")</f>
        <v>469.32</v>
      </c>
      <c r="K53" s="9" t="n">
        <v>254.8827</v>
      </c>
      <c r="L53" s="9" t="n">
        <v>0</v>
      </c>
      <c r="M53" s="9" t="str">
        <f aca="false">IFERROR(IF(K53&gt;J53,"Not Meet Target","Meet Target"),"-")</f>
        <v>Meet Target</v>
      </c>
      <c r="N53" s="9" t="str">
        <f aca="false">IFERROR(VLOOKUP(D53,'Team Member List'!B:C,2,0),"")</f>
        <v>TL Cabrera</v>
      </c>
      <c r="O53" s="9" t="s">
        <v>2408</v>
      </c>
    </row>
    <row r="54" customFormat="false" ht="15" hidden="false" customHeight="false" outlineLevel="0" collapsed="false">
      <c r="A54" s="9" t="s">
        <v>63</v>
      </c>
      <c r="B54" s="10"/>
      <c r="C54" s="9" t="s">
        <v>2376</v>
      </c>
      <c r="D54" s="9" t="s">
        <v>2376</v>
      </c>
      <c r="E54" s="9" t="s">
        <v>1432</v>
      </c>
      <c r="F54" s="9" t="s">
        <v>1438</v>
      </c>
      <c r="G54" s="9" t="s">
        <v>1438</v>
      </c>
      <c r="H54" s="9" t="s">
        <v>190</v>
      </c>
      <c r="I54" s="9" t="str">
        <f aca="false">TRIM(A54) &amp; TRIM(F54) &amp; TRIM(H54)</f>
        <v>First ReviewQuest Adv VideoPH</v>
      </c>
      <c r="J54" s="9" t="n">
        <f aca="false">IFERROR(VLOOKUP(I54,'WFM Q4 Target'!J:K,2,0),"-")</f>
        <v>13.278</v>
      </c>
      <c r="K54" s="9" t="n">
        <v>119.262</v>
      </c>
      <c r="L54" s="9" t="n">
        <v>17.9053</v>
      </c>
      <c r="M54" s="9" t="str">
        <f aca="false">IFERROR(IF(K54&gt;J54,"Not Meet Target","Meet Target"),"-")</f>
        <v>Not Meet Target</v>
      </c>
      <c r="N54" s="9" t="str">
        <f aca="false">IFERROR(VLOOKUP(D54,'Team Member List'!B:C,2,0),"")</f>
        <v>TL Okafor</v>
      </c>
      <c r="O54" s="9" t="s">
        <v>2408</v>
      </c>
    </row>
    <row r="55" customFormat="false" ht="15" hidden="false" customHeight="false" outlineLevel="0" collapsed="false">
      <c r="A55" s="9" t="s">
        <v>63</v>
      </c>
      <c r="B55" s="10"/>
      <c r="C55" s="9" t="s">
        <v>2367</v>
      </c>
      <c r="D55" s="9" t="s">
        <v>2367</v>
      </c>
      <c r="E55" s="9" t="s">
        <v>1526</v>
      </c>
      <c r="F55" s="9" t="s">
        <v>1535</v>
      </c>
      <c r="G55" s="9" t="s">
        <v>1535</v>
      </c>
      <c r="H55" s="9" t="s">
        <v>82</v>
      </c>
      <c r="I55" s="9" t="str">
        <f aca="false">TRIM(A55) &amp; TRIM(F55) &amp; TRIM(H55)</f>
        <v>First ReviewBoost VideoKH</v>
      </c>
      <c r="J55" s="9" t="n">
        <f aca="false">IFERROR(VLOOKUP(I55,'WFM Q4 Target'!J:K,2,0),"-")</f>
        <v>61.14</v>
      </c>
      <c r="K55" s="9" t="n">
        <v>157.8299</v>
      </c>
      <c r="L55" s="9" t="n">
        <v>52.3093</v>
      </c>
      <c r="M55" s="9" t="str">
        <f aca="false">IFERROR(IF(K55&gt;J55,"Not Meet Target","Meet Target"),"-")</f>
        <v>Not Meet Target</v>
      </c>
      <c r="N55" s="9" t="str">
        <f aca="false">IFERROR(VLOOKUP(D55,'Team Member List'!B:C,2,0),"")</f>
        <v>TL Okafor</v>
      </c>
      <c r="O55" s="9" t="s">
        <v>2408</v>
      </c>
    </row>
    <row r="56" customFormat="false" ht="15" hidden="false" customHeight="false" outlineLevel="0" collapsed="false">
      <c r="A56" s="9" t="s">
        <v>63</v>
      </c>
      <c r="B56" s="10"/>
      <c r="C56" s="9" t="s">
        <v>2330</v>
      </c>
      <c r="D56" s="9" t="s">
        <v>2330</v>
      </c>
      <c r="E56" s="9" t="s">
        <v>973</v>
      </c>
      <c r="F56" s="9" t="s">
        <v>974</v>
      </c>
      <c r="G56" s="9" t="s">
        <v>974</v>
      </c>
      <c r="H56" s="9" t="s">
        <v>267</v>
      </c>
      <c r="I56" s="9" t="str">
        <f aca="false">TRIM(A56) &amp; TRIM(F56) &amp; TRIM(H56)</f>
        <v>First ReviewHighlight ViewID</v>
      </c>
      <c r="J56" s="9" t="n">
        <f aca="false">IFERROR(VLOOKUP(I56,'WFM Q4 Target'!J:K,2,0),"-")</f>
        <v>590.502</v>
      </c>
      <c r="K56" s="9" t="n">
        <v>145.526</v>
      </c>
      <c r="L56" s="9" t="n">
        <v>27.6765</v>
      </c>
      <c r="M56" s="9" t="str">
        <f aca="false">IFERROR(IF(K56&gt;J56,"Not Meet Target","Meet Target"),"-")</f>
        <v>Meet Target</v>
      </c>
      <c r="N56" s="9" t="str">
        <f aca="false">IFERROR(VLOOKUP(D56,'Team Member List'!B:C,2,0),"")</f>
        <v>TL Ramirez</v>
      </c>
      <c r="O56" s="9" t="s">
        <v>2408</v>
      </c>
    </row>
    <row r="57" customFormat="false" ht="15" hidden="false" customHeight="false" outlineLevel="0" collapsed="false">
      <c r="A57" s="9" t="s">
        <v>63</v>
      </c>
      <c r="B57" s="10"/>
      <c r="C57" s="9" t="s">
        <v>2333</v>
      </c>
      <c r="D57" s="9" t="s">
        <v>2333</v>
      </c>
      <c r="E57" s="9" t="s">
        <v>56</v>
      </c>
      <c r="F57" s="9" t="s">
        <v>57</v>
      </c>
      <c r="G57" s="9" t="s">
        <v>57</v>
      </c>
      <c r="H57" s="9" t="s">
        <v>267</v>
      </c>
      <c r="I57" s="9" t="str">
        <f aca="false">TRIM(A57) &amp; TRIM(F57) &amp; TRIM(H57)</f>
        <v>First ReviewBid Ad GroupID</v>
      </c>
      <c r="J57" s="9" t="n">
        <f aca="false">IFERROR(VLOOKUP(I57,'WFM Q4 Target'!J:K,2,0),"-")</f>
        <v>118.062</v>
      </c>
      <c r="K57" s="9" t="n">
        <v>117.0533</v>
      </c>
      <c r="L57" s="9" t="n">
        <v>91.6021</v>
      </c>
      <c r="M57" s="9" t="str">
        <f aca="false">IFERROR(IF(K57&gt;J57,"Not Meet Target","Meet Target"),"-")</f>
        <v>Meet Target</v>
      </c>
      <c r="N57" s="9" t="str">
        <f aca="false">IFERROR(VLOOKUP(D57,'Team Member List'!B:C,2,0),"")</f>
        <v>TL Ramirez</v>
      </c>
      <c r="O57" s="9" t="s">
        <v>2408</v>
      </c>
    </row>
    <row r="58" customFormat="false" ht="15" hidden="false" customHeight="false" outlineLevel="0" collapsed="false">
      <c r="A58" s="9" t="s">
        <v>63</v>
      </c>
      <c r="B58" s="10"/>
      <c r="C58" s="9"/>
      <c r="D58" s="9" t="s">
        <v>2333</v>
      </c>
      <c r="E58" s="9" t="s">
        <v>973</v>
      </c>
      <c r="F58" s="9" t="s">
        <v>2409</v>
      </c>
      <c r="G58" s="9" t="s">
        <v>2409</v>
      </c>
      <c r="H58" s="9" t="s">
        <v>267</v>
      </c>
      <c r="I58" s="9" t="str">
        <f aca="false">TRIM(A58) &amp; TRIM(F58) &amp; TRIM(H58)</f>
        <v>First ReviewESTID</v>
      </c>
      <c r="J58" s="9" t="str">
        <f aca="false">IFERROR(VLOOKUP(I58,'WFM Q4 Target'!J:K,2,0),"-")</f>
        <v>-</v>
      </c>
      <c r="K58" s="9" t="n">
        <v>427.7692</v>
      </c>
      <c r="L58" s="9" t="n">
        <v>0</v>
      </c>
      <c r="M58" s="9" t="str">
        <f aca="false">IFERROR(IF(K58&gt;J58,"Not Meet Target","Meet Target"),"-")</f>
        <v>Meet Target</v>
      </c>
      <c r="N58" s="9" t="str">
        <f aca="false">IFERROR(VLOOKUP(D58,'Team Member List'!B:C,2,0),"")</f>
        <v>TL Ramirez</v>
      </c>
      <c r="O58" s="9" t="s">
        <v>2408</v>
      </c>
    </row>
    <row r="59" customFormat="false" ht="15" hidden="false" customHeight="false" outlineLevel="0" collapsed="false">
      <c r="A59" s="9" t="s">
        <v>63</v>
      </c>
      <c r="B59" s="10"/>
      <c r="C59" s="9"/>
      <c r="D59" s="9" t="s">
        <v>2333</v>
      </c>
      <c r="E59" s="9"/>
      <c r="F59" s="9" t="s">
        <v>979</v>
      </c>
      <c r="G59" s="9" t="s">
        <v>979</v>
      </c>
      <c r="H59" s="9" t="s">
        <v>267</v>
      </c>
      <c r="I59" s="9" t="str">
        <f aca="false">TRIM(A59) &amp; TRIM(F59) &amp; TRIM(H59)</f>
        <v>First ReviewBooking Ads Pre ApprovalID</v>
      </c>
      <c r="J59" s="9" t="n">
        <f aca="false">IFERROR(VLOOKUP(I59,'WFM Q4 Target'!J:K,2,0),"-")</f>
        <v>271.992</v>
      </c>
      <c r="K59" s="9" t="n">
        <v>227.7797</v>
      </c>
      <c r="L59" s="9" t="n">
        <v>19.234</v>
      </c>
      <c r="M59" s="9" t="str">
        <f aca="false">IFERROR(IF(K59&gt;J59,"Not Meet Target","Meet Target"),"-")</f>
        <v>Meet Target</v>
      </c>
      <c r="N59" s="9" t="str">
        <f aca="false">IFERROR(VLOOKUP(D59,'Team Member List'!B:C,2,0),"")</f>
        <v>TL Ramirez</v>
      </c>
      <c r="O59" s="9" t="s">
        <v>2408</v>
      </c>
    </row>
    <row r="60" customFormat="false" ht="15" hidden="false" customHeight="false" outlineLevel="0" collapsed="false">
      <c r="A60" s="9" t="s">
        <v>63</v>
      </c>
      <c r="B60" s="10"/>
      <c r="C60" s="9" t="s">
        <v>2359</v>
      </c>
      <c r="D60" s="9" t="s">
        <v>2359</v>
      </c>
      <c r="E60" s="9" t="s">
        <v>973</v>
      </c>
      <c r="F60" s="9" t="s">
        <v>974</v>
      </c>
      <c r="G60" s="9" t="s">
        <v>974</v>
      </c>
      <c r="H60" s="9" t="s">
        <v>235</v>
      </c>
      <c r="I60" s="9" t="str">
        <f aca="false">TRIM(A60) &amp; TRIM(F60) &amp; TRIM(H60)</f>
        <v>First ReviewHighlight ViewJP</v>
      </c>
      <c r="J60" s="9" t="n">
        <f aca="false">IFERROR(VLOOKUP(I60,'WFM Q4 Target'!J:K,2,0),"-")</f>
        <v>759.402</v>
      </c>
      <c r="K60" s="9" t="n">
        <v>133.9708</v>
      </c>
      <c r="L60" s="9" t="n">
        <v>0</v>
      </c>
      <c r="M60" s="9" t="str">
        <f aca="false">IFERROR(IF(K60&gt;J60,"Not Meet Target","Meet Target"),"-")</f>
        <v>Meet Target</v>
      </c>
      <c r="N60" s="9" t="str">
        <f aca="false">IFERROR(VLOOKUP(D60,'Team Member List'!B:C,2,0),"")</f>
        <v>TL Okafor</v>
      </c>
      <c r="O60" s="9" t="s">
        <v>2408</v>
      </c>
    </row>
    <row r="61" customFormat="false" ht="15" hidden="false" customHeight="false" outlineLevel="0" collapsed="false">
      <c r="A61" s="9" t="s">
        <v>63</v>
      </c>
      <c r="B61" s="10"/>
      <c r="C61" s="9" t="s">
        <v>2328</v>
      </c>
      <c r="D61" s="9" t="s">
        <v>2328</v>
      </c>
      <c r="E61" s="9" t="s">
        <v>56</v>
      </c>
      <c r="F61" s="9" t="s">
        <v>57</v>
      </c>
      <c r="G61" s="9" t="s">
        <v>57</v>
      </c>
      <c r="H61" s="9" t="s">
        <v>267</v>
      </c>
      <c r="I61" s="9" t="str">
        <f aca="false">TRIM(A61) &amp; TRIM(F61) &amp; TRIM(H61)</f>
        <v>First ReviewBid Ad GroupID</v>
      </c>
      <c r="J61" s="9" t="n">
        <f aca="false">IFERROR(VLOOKUP(I61,'WFM Q4 Target'!J:K,2,0),"-")</f>
        <v>118.062</v>
      </c>
      <c r="K61" s="9" t="n">
        <v>127.1455</v>
      </c>
      <c r="L61" s="9" t="n">
        <v>144.7963</v>
      </c>
      <c r="M61" s="9" t="str">
        <f aca="false">IFERROR(IF(K61&gt;J61,"Not Meet Target","Meet Target"),"-")</f>
        <v>Not Meet Target</v>
      </c>
      <c r="N61" s="9" t="str">
        <f aca="false">IFERROR(VLOOKUP(D61,'Team Member List'!B:C,2,0),"")</f>
        <v>TL Ramirez</v>
      </c>
      <c r="O61" s="9" t="s">
        <v>2408</v>
      </c>
    </row>
    <row r="62" customFormat="false" ht="15" hidden="false" customHeight="false" outlineLevel="0" collapsed="false">
      <c r="A62" s="9" t="s">
        <v>63</v>
      </c>
      <c r="B62" s="10"/>
      <c r="C62" s="9" t="s">
        <v>2383</v>
      </c>
      <c r="D62" s="9" t="s">
        <v>2383</v>
      </c>
      <c r="E62" s="9" t="s">
        <v>56</v>
      </c>
      <c r="F62" s="9" t="s">
        <v>57</v>
      </c>
      <c r="G62" s="9" t="s">
        <v>57</v>
      </c>
      <c r="H62" s="9" t="s">
        <v>306</v>
      </c>
      <c r="I62" s="9" t="str">
        <f aca="false">TRIM(A62) &amp; TRIM(F62) &amp; TRIM(H62)</f>
        <v>First ReviewBid Ad GroupTH</v>
      </c>
      <c r="J62" s="9" t="n">
        <f aca="false">IFERROR(VLOOKUP(I62,'WFM Q4 Target'!J:K,2,0),"-")</f>
        <v>99.684</v>
      </c>
      <c r="K62" s="9" t="n">
        <v>218.238</v>
      </c>
      <c r="L62" s="9" t="n">
        <v>33.0911</v>
      </c>
      <c r="M62" s="9" t="str">
        <f aca="false">IFERROR(IF(K62&gt;J62,"Not Meet Target","Meet Target"),"-")</f>
        <v>Not Meet Target</v>
      </c>
      <c r="N62" s="9" t="str">
        <f aca="false">IFERROR(VLOOKUP(D62,'Team Member List'!B:C,2,0),"")</f>
        <v>TL Cabrera</v>
      </c>
      <c r="O62" s="9" t="s">
        <v>2408</v>
      </c>
    </row>
    <row r="63" customFormat="false" ht="15" hidden="false" customHeight="false" outlineLevel="0" collapsed="false">
      <c r="A63" s="9" t="s">
        <v>63</v>
      </c>
      <c r="B63" s="10"/>
      <c r="C63" s="9"/>
      <c r="D63" s="9" t="s">
        <v>2383</v>
      </c>
      <c r="E63" s="9"/>
      <c r="F63" s="9" t="s">
        <v>75</v>
      </c>
      <c r="G63" s="9" t="s">
        <v>75</v>
      </c>
      <c r="H63" s="9" t="s">
        <v>306</v>
      </c>
      <c r="I63" s="9" t="str">
        <f aca="false">TRIM(A63) &amp; TRIM(F63) &amp; TRIM(H63)</f>
        <v>First ReviewBid Ecom Ads GroupTH</v>
      </c>
      <c r="J63" s="9" t="n">
        <f aca="false">IFERROR(VLOOKUP(I63,'WFM Q4 Target'!J:K,2,0),"-")</f>
        <v>117.78</v>
      </c>
      <c r="K63" s="9" t="n">
        <v>113.0543</v>
      </c>
      <c r="L63" s="9" t="n">
        <v>17.2638</v>
      </c>
      <c r="M63" s="9" t="str">
        <f aca="false">IFERROR(IF(K63&gt;J63,"Not Meet Target","Meet Target"),"-")</f>
        <v>Meet Target</v>
      </c>
      <c r="N63" s="9" t="str">
        <f aca="false">IFERROR(VLOOKUP(D63,'Team Member List'!B:C,2,0),"")</f>
        <v>TL Cabrera</v>
      </c>
      <c r="O63" s="9" t="s">
        <v>2408</v>
      </c>
    </row>
    <row r="64" customFormat="false" ht="15" hidden="false" customHeight="false" outlineLevel="0" collapsed="false">
      <c r="A64" s="9" t="s">
        <v>63</v>
      </c>
      <c r="B64" s="10"/>
      <c r="C64" s="9"/>
      <c r="D64" s="9" t="s">
        <v>2383</v>
      </c>
      <c r="E64" s="9" t="s">
        <v>973</v>
      </c>
      <c r="F64" s="9" t="s">
        <v>974</v>
      </c>
      <c r="G64" s="9" t="s">
        <v>974</v>
      </c>
      <c r="H64" s="9" t="s">
        <v>306</v>
      </c>
      <c r="I64" s="9" t="str">
        <f aca="false">TRIM(A64) &amp; TRIM(F64) &amp; TRIM(H64)</f>
        <v>First ReviewHighlight ViewTH</v>
      </c>
      <c r="J64" s="9" t="n">
        <f aca="false">IFERROR(VLOOKUP(I64,'WFM Q4 Target'!J:K,2,0),"-")</f>
        <v>225.126</v>
      </c>
      <c r="K64" s="9" t="n">
        <v>294.7496</v>
      </c>
      <c r="L64" s="9" t="n">
        <v>4.2464</v>
      </c>
      <c r="M64" s="9" t="str">
        <f aca="false">IFERROR(IF(K64&gt;J64,"Not Meet Target","Meet Target"),"-")</f>
        <v>Not Meet Target</v>
      </c>
      <c r="N64" s="9" t="str">
        <f aca="false">IFERROR(VLOOKUP(D64,'Team Member List'!B:C,2,0),"")</f>
        <v>TL Cabrera</v>
      </c>
      <c r="O64" s="9" t="s">
        <v>2408</v>
      </c>
    </row>
    <row r="65" customFormat="false" ht="15" hidden="false" customHeight="false" outlineLevel="0" collapsed="false">
      <c r="A65" s="9" t="s">
        <v>63</v>
      </c>
      <c r="B65" s="10"/>
      <c r="C65" s="9" t="s">
        <v>2323</v>
      </c>
      <c r="D65" s="9" t="s">
        <v>2323</v>
      </c>
      <c r="E65" s="9" t="s">
        <v>56</v>
      </c>
      <c r="F65" s="9" t="s">
        <v>57</v>
      </c>
      <c r="G65" s="9" t="s">
        <v>57</v>
      </c>
      <c r="H65" s="9" t="s">
        <v>267</v>
      </c>
      <c r="I65" s="9" t="str">
        <f aca="false">TRIM(A65) &amp; TRIM(F65) &amp; TRIM(H65)</f>
        <v>First ReviewBid Ad GroupID</v>
      </c>
      <c r="J65" s="9" t="n">
        <f aca="false">IFERROR(VLOOKUP(I65,'WFM Q4 Target'!J:K,2,0),"-")</f>
        <v>118.062</v>
      </c>
      <c r="K65" s="9" t="n">
        <v>191.8266</v>
      </c>
      <c r="L65" s="9" t="n">
        <v>133.8048</v>
      </c>
      <c r="M65" s="9" t="str">
        <f aca="false">IFERROR(IF(K65&gt;J65,"Not Meet Target","Meet Target"),"-")</f>
        <v>Not Meet Target</v>
      </c>
      <c r="N65" s="9" t="str">
        <f aca="false">IFERROR(VLOOKUP(D65,'Team Member List'!B:C,2,0),"")</f>
        <v>TL Ramirez</v>
      </c>
      <c r="O65" s="9" t="s">
        <v>2408</v>
      </c>
    </row>
    <row r="66" customFormat="false" ht="15" hidden="false" customHeight="false" outlineLevel="0" collapsed="false">
      <c r="A66" s="9" t="s">
        <v>63</v>
      </c>
      <c r="B66" s="10"/>
      <c r="C66" s="9"/>
      <c r="D66" s="9" t="s">
        <v>2323</v>
      </c>
      <c r="E66" s="9"/>
      <c r="F66" s="9" t="s">
        <v>57</v>
      </c>
      <c r="G66" s="9"/>
      <c r="H66" s="9" t="s">
        <v>111</v>
      </c>
      <c r="I66" s="9" t="str">
        <f aca="false">TRIM(A66) &amp; TRIM(F66) &amp; TRIM(H66)</f>
        <v>First ReviewBid Ad GroupUS</v>
      </c>
      <c r="J66" s="9" t="n">
        <f aca="false">IFERROR(VLOOKUP(I66,'WFM Q4 Target'!J:K,2,0),"-")</f>
        <v>139.032</v>
      </c>
      <c r="K66" s="9" t="n">
        <v>487.9738</v>
      </c>
      <c r="L66" s="9" t="n">
        <v>32.0325</v>
      </c>
      <c r="M66" s="9" t="str">
        <f aca="false">IFERROR(IF(K66&gt;J66,"Not Meet Target","Meet Target"),"-")</f>
        <v>Not Meet Target</v>
      </c>
      <c r="N66" s="9" t="str">
        <f aca="false">IFERROR(VLOOKUP(D66,'Team Member List'!B:C,2,0),"")</f>
        <v>TL Ramirez</v>
      </c>
      <c r="O66" s="9" t="s">
        <v>2408</v>
      </c>
    </row>
    <row r="67" customFormat="false" ht="15" hidden="false" customHeight="false" outlineLevel="0" collapsed="false">
      <c r="A67" s="9" t="s">
        <v>63</v>
      </c>
      <c r="B67" s="10"/>
      <c r="C67" s="9"/>
      <c r="D67" s="9" t="s">
        <v>2323</v>
      </c>
      <c r="E67" s="9"/>
      <c r="F67" s="9" t="s">
        <v>75</v>
      </c>
      <c r="G67" s="9" t="s">
        <v>75</v>
      </c>
      <c r="H67" s="9" t="s">
        <v>267</v>
      </c>
      <c r="I67" s="9" t="str">
        <f aca="false">TRIM(A67) &amp; TRIM(F67) &amp; TRIM(H67)</f>
        <v>First ReviewBid Ecom Ads GroupID</v>
      </c>
      <c r="J67" s="9" t="n">
        <f aca="false">IFERROR(VLOOKUP(I67,'WFM Q4 Target'!J:K,2,0),"-")</f>
        <v>155.28</v>
      </c>
      <c r="K67" s="9" t="n">
        <v>167.4897</v>
      </c>
      <c r="L67" s="9" t="n">
        <v>121.5865</v>
      </c>
      <c r="M67" s="9" t="str">
        <f aca="false">IFERROR(IF(K67&gt;J67,"Not Meet Target","Meet Target"),"-")</f>
        <v>Not Meet Target</v>
      </c>
      <c r="N67" s="9" t="str">
        <f aca="false">IFERROR(VLOOKUP(D67,'Team Member List'!B:C,2,0),"")</f>
        <v>TL Ramirez</v>
      </c>
      <c r="O67" s="9" t="s">
        <v>2408</v>
      </c>
    </row>
    <row r="68" customFormat="false" ht="15" hidden="false" customHeight="false" outlineLevel="0" collapsed="false">
      <c r="A68" s="9" t="s">
        <v>63</v>
      </c>
      <c r="B68" s="10"/>
      <c r="C68" s="9"/>
      <c r="D68" s="9" t="s">
        <v>2323</v>
      </c>
      <c r="E68" s="9"/>
      <c r="F68" s="9" t="s">
        <v>75</v>
      </c>
      <c r="G68" s="9"/>
      <c r="H68" s="9" t="s">
        <v>58</v>
      </c>
      <c r="I68" s="9" t="str">
        <f aca="false">TRIM(A68) &amp; TRIM(F68) &amp; TRIM(H68)</f>
        <v>First ReviewBid Ecom Ads GroupSG</v>
      </c>
      <c r="J68" s="9" t="n">
        <f aca="false">IFERROR(VLOOKUP(I68,'WFM Q4 Target'!J:K,2,0),"-")</f>
        <v>176.208</v>
      </c>
      <c r="K68" s="9" t="n">
        <v>159.2398</v>
      </c>
      <c r="L68" s="9" t="n">
        <v>59.4353</v>
      </c>
      <c r="M68" s="9" t="str">
        <f aca="false">IFERROR(IF(K68&gt;J68,"Not Meet Target","Meet Target"),"-")</f>
        <v>Meet Target</v>
      </c>
      <c r="N68" s="9" t="str">
        <f aca="false">IFERROR(VLOOKUP(D68,'Team Member List'!B:C,2,0),"")</f>
        <v>TL Ramirez</v>
      </c>
      <c r="O68" s="9" t="s">
        <v>2408</v>
      </c>
    </row>
    <row r="69" customFormat="false" ht="15" hidden="false" customHeight="false" outlineLevel="0" collapsed="false">
      <c r="A69" s="9" t="s">
        <v>63</v>
      </c>
      <c r="B69" s="10"/>
      <c r="C69" s="9"/>
      <c r="D69" s="9" t="s">
        <v>2323</v>
      </c>
      <c r="E69" s="9" t="s">
        <v>973</v>
      </c>
      <c r="F69" s="9" t="s">
        <v>989</v>
      </c>
      <c r="G69" s="9" t="s">
        <v>989</v>
      </c>
      <c r="H69" s="9" t="s">
        <v>267</v>
      </c>
      <c r="I69" s="9" t="str">
        <f aca="false">TRIM(A69) &amp; TRIM(F69) &amp; TRIM(H69)</f>
        <v>First ReviewMedia AdsID</v>
      </c>
      <c r="J69" s="9" t="str">
        <f aca="false">IFERROR(VLOOKUP(I69,'WFM Q4 Target'!J:K,2,0),"-")</f>
        <v>-</v>
      </c>
      <c r="K69" s="9" t="n">
        <v>427.8555</v>
      </c>
      <c r="L69" s="9" t="n">
        <v>0</v>
      </c>
      <c r="M69" s="9" t="str">
        <f aca="false">IFERROR(IF(K69&gt;J69,"Not Meet Target","Meet Target"),"-")</f>
        <v>Meet Target</v>
      </c>
      <c r="N69" s="9" t="str">
        <f aca="false">IFERROR(VLOOKUP(D69,'Team Member List'!B:C,2,0),"")</f>
        <v>TL Ramirez</v>
      </c>
      <c r="O69" s="9" t="s">
        <v>2408</v>
      </c>
    </row>
    <row r="70" customFormat="false" ht="15" hidden="false" customHeight="false" outlineLevel="0" collapsed="false">
      <c r="A70" s="9" t="s">
        <v>63</v>
      </c>
      <c r="B70" s="10"/>
      <c r="C70" s="9"/>
      <c r="D70" s="9" t="s">
        <v>2323</v>
      </c>
      <c r="E70" s="9"/>
      <c r="F70" s="9" t="s">
        <v>2410</v>
      </c>
      <c r="G70" s="9" t="s">
        <v>2410</v>
      </c>
      <c r="H70" s="9" t="s">
        <v>267</v>
      </c>
      <c r="I70" s="9" t="str">
        <f aca="false">TRIM(A70) &amp; TRIM(F70) &amp; TRIM(H70)</f>
        <v>First ReviewReach &amp; FrequencyID</v>
      </c>
      <c r="J70" s="9" t="str">
        <f aca="false">IFERROR(VLOOKUP(I70,'WFM Q4 Target'!J:K,2,0),"-")</f>
        <v>-</v>
      </c>
      <c r="K70" s="9" t="n">
        <v>119.8333</v>
      </c>
      <c r="L70" s="9" t="n">
        <v>323.8748</v>
      </c>
      <c r="M70" s="9" t="str">
        <f aca="false">IFERROR(IF(K70&gt;J70,"Not Meet Target","Meet Target"),"-")</f>
        <v>Meet Target</v>
      </c>
      <c r="N70" s="9" t="str">
        <f aca="false">IFERROR(VLOOKUP(D70,'Team Member List'!B:C,2,0),"")</f>
        <v>TL Ramirez</v>
      </c>
      <c r="O70" s="9" t="s">
        <v>2408</v>
      </c>
    </row>
    <row r="71" customFormat="false" ht="15" hidden="false" customHeight="false" outlineLevel="0" collapsed="false">
      <c r="A71" s="9" t="s">
        <v>63</v>
      </c>
      <c r="B71" s="10"/>
      <c r="C71" s="9"/>
      <c r="D71" s="9" t="s">
        <v>2323</v>
      </c>
      <c r="E71" s="9"/>
      <c r="F71" s="9" t="s">
        <v>979</v>
      </c>
      <c r="G71" s="9" t="s">
        <v>979</v>
      </c>
      <c r="H71" s="9" t="s">
        <v>267</v>
      </c>
      <c r="I71" s="9" t="str">
        <f aca="false">TRIM(A71) &amp; TRIM(F71) &amp; TRIM(H71)</f>
        <v>First ReviewBooking Ads Pre ApprovalID</v>
      </c>
      <c r="J71" s="9" t="n">
        <f aca="false">IFERROR(VLOOKUP(I71,'WFM Q4 Target'!J:K,2,0),"-")</f>
        <v>271.992</v>
      </c>
      <c r="K71" s="9" t="n">
        <v>260.6181</v>
      </c>
      <c r="L71" s="9" t="n">
        <v>25.6629</v>
      </c>
      <c r="M71" s="9" t="str">
        <f aca="false">IFERROR(IF(K71&gt;J71,"Not Meet Target","Meet Target"),"-")</f>
        <v>Meet Target</v>
      </c>
      <c r="N71" s="9" t="str">
        <f aca="false">IFERROR(VLOOKUP(D71,'Team Member List'!B:C,2,0),"")</f>
        <v>TL Ramirez</v>
      </c>
      <c r="O71" s="9" t="s">
        <v>2408</v>
      </c>
    </row>
    <row r="72" customFormat="false" ht="15" hidden="false" customHeight="false" outlineLevel="0" collapsed="false">
      <c r="A72" s="9" t="s">
        <v>63</v>
      </c>
      <c r="B72" s="10"/>
      <c r="C72" s="9"/>
      <c r="D72" s="9" t="s">
        <v>2323</v>
      </c>
      <c r="E72" s="9"/>
      <c r="F72" s="9" t="s">
        <v>974</v>
      </c>
      <c r="G72" s="9" t="s">
        <v>974</v>
      </c>
      <c r="H72" s="9" t="s">
        <v>267</v>
      </c>
      <c r="I72" s="9" t="str">
        <f aca="false">TRIM(A72) &amp; TRIM(F72) &amp; TRIM(H72)</f>
        <v>First ReviewHighlight ViewID</v>
      </c>
      <c r="J72" s="9" t="n">
        <f aca="false">IFERROR(VLOOKUP(I72,'WFM Q4 Target'!J:K,2,0),"-")</f>
        <v>590.502</v>
      </c>
      <c r="K72" s="9" t="n">
        <v>110.524</v>
      </c>
      <c r="L72" s="9" t="n">
        <v>21.8472</v>
      </c>
      <c r="M72" s="9" t="str">
        <f aca="false">IFERROR(IF(K72&gt;J72,"Not Meet Target","Meet Target"),"-")</f>
        <v>Meet Target</v>
      </c>
      <c r="N72" s="9" t="str">
        <f aca="false">IFERROR(VLOOKUP(D72,'Team Member List'!B:C,2,0),"")</f>
        <v>TL Ramirez</v>
      </c>
      <c r="O72" s="9" t="s">
        <v>2408</v>
      </c>
    </row>
    <row r="73" customFormat="false" ht="15" hidden="false" customHeight="false" outlineLevel="0" collapsed="false">
      <c r="A73" s="9" t="s">
        <v>63</v>
      </c>
      <c r="B73" s="10"/>
      <c r="C73" s="9"/>
      <c r="D73" s="9" t="s">
        <v>2323</v>
      </c>
      <c r="E73" s="9" t="s">
        <v>1432</v>
      </c>
      <c r="F73" s="9" t="s">
        <v>1498</v>
      </c>
      <c r="G73" s="9" t="s">
        <v>1498</v>
      </c>
      <c r="H73" s="9" t="s">
        <v>111</v>
      </c>
      <c r="I73" s="9" t="str">
        <f aca="false">TRIM(A73) &amp; TRIM(F73) &amp; TRIM(H73)</f>
        <v>First ReviewBE Adv CampaignUS</v>
      </c>
      <c r="J73" s="9" t="str">
        <f aca="false">IFERROR(VLOOKUP(I73,'WFM Q4 Target'!J:K,2,0),"-")</f>
        <v>-</v>
      </c>
      <c r="K73" s="9" t="n">
        <v>819.3232</v>
      </c>
      <c r="L73" s="9" t="n">
        <v>0</v>
      </c>
      <c r="M73" s="9" t="str">
        <f aca="false">IFERROR(IF(K73&gt;J73,"Not Meet Target","Meet Target"),"-")</f>
        <v>Meet Target</v>
      </c>
      <c r="N73" s="9" t="str">
        <f aca="false">IFERROR(VLOOKUP(D73,'Team Member List'!B:C,2,0),"")</f>
        <v>TL Ramirez</v>
      </c>
      <c r="O73" s="9" t="s">
        <v>2408</v>
      </c>
    </row>
    <row r="74" customFormat="false" ht="15" hidden="false" customHeight="false" outlineLevel="0" collapsed="false">
      <c r="A74" s="9" t="s">
        <v>63</v>
      </c>
      <c r="B74" s="10"/>
      <c r="C74" s="9"/>
      <c r="D74" s="9" t="s">
        <v>2323</v>
      </c>
      <c r="E74" s="9"/>
      <c r="F74" s="9" t="s">
        <v>1440</v>
      </c>
      <c r="G74" s="9" t="s">
        <v>1440</v>
      </c>
      <c r="H74" s="9" t="s">
        <v>111</v>
      </c>
      <c r="I74" s="9" t="str">
        <f aca="false">TRIM(A74) &amp; TRIM(F74) &amp; TRIM(H74)</f>
        <v>First ReviewHTC Adv CampaignUS</v>
      </c>
      <c r="J74" s="9" t="n">
        <f aca="false">IFERROR(VLOOKUP(I74,'WFM Q4 Target'!J:K,2,0),"-")</f>
        <v>107.148</v>
      </c>
      <c r="K74" s="9" t="n">
        <v>1157.7061</v>
      </c>
      <c r="L74" s="9" t="n">
        <v>0</v>
      </c>
      <c r="M74" s="9" t="str">
        <f aca="false">IFERROR(IF(K74&gt;J74,"Not Meet Target","Meet Target"),"-")</f>
        <v>Not Meet Target</v>
      </c>
      <c r="N74" s="9" t="str">
        <f aca="false">IFERROR(VLOOKUP(D74,'Team Member List'!B:C,2,0),"")</f>
        <v>TL Ramirez</v>
      </c>
      <c r="O74" s="9" t="s">
        <v>2408</v>
      </c>
    </row>
    <row r="75" customFormat="false" ht="15" hidden="false" customHeight="false" outlineLevel="0" collapsed="false">
      <c r="A75" s="9" t="s">
        <v>63</v>
      </c>
      <c r="B75" s="10"/>
      <c r="C75" s="9" t="s">
        <v>2326</v>
      </c>
      <c r="D75" s="9" t="s">
        <v>2326</v>
      </c>
      <c r="E75" s="9" t="s">
        <v>973</v>
      </c>
      <c r="F75" s="9" t="s">
        <v>974</v>
      </c>
      <c r="G75" s="9" t="s">
        <v>974</v>
      </c>
      <c r="H75" s="9" t="s">
        <v>267</v>
      </c>
      <c r="I75" s="9" t="str">
        <f aca="false">TRIM(A75) &amp; TRIM(F75) &amp; TRIM(H75)</f>
        <v>First ReviewHighlight ViewID</v>
      </c>
      <c r="J75" s="9" t="n">
        <f aca="false">IFERROR(VLOOKUP(I75,'WFM Q4 Target'!J:K,2,0),"-")</f>
        <v>590.502</v>
      </c>
      <c r="K75" s="9" t="n">
        <v>104.7449</v>
      </c>
      <c r="L75" s="9" t="n">
        <v>127.6313</v>
      </c>
      <c r="M75" s="9" t="str">
        <f aca="false">IFERROR(IF(K75&gt;J75,"Not Meet Target","Meet Target"),"-")</f>
        <v>Meet Target</v>
      </c>
      <c r="N75" s="9" t="str">
        <f aca="false">IFERROR(VLOOKUP(D75,'Team Member List'!B:C,2,0),"")</f>
        <v>TL Ramirez</v>
      </c>
      <c r="O75" s="9" t="s">
        <v>2408</v>
      </c>
    </row>
    <row r="76" customFormat="false" ht="15" hidden="false" customHeight="false" outlineLevel="0" collapsed="false">
      <c r="A76" s="9" t="s">
        <v>63</v>
      </c>
      <c r="B76" s="10"/>
      <c r="C76" s="9" t="s">
        <v>2375</v>
      </c>
      <c r="D76" s="9" t="s">
        <v>2375</v>
      </c>
      <c r="E76" s="9" t="s">
        <v>56</v>
      </c>
      <c r="F76" s="9" t="s">
        <v>57</v>
      </c>
      <c r="G76" s="9" t="s">
        <v>57</v>
      </c>
      <c r="H76" s="9" t="s">
        <v>190</v>
      </c>
      <c r="I76" s="9" t="str">
        <f aca="false">TRIM(A76) &amp; TRIM(F76) &amp; TRIM(H76)</f>
        <v>First ReviewBid Ad GroupPH</v>
      </c>
      <c r="J76" s="9" t="n">
        <f aca="false">IFERROR(VLOOKUP(I76,'WFM Q4 Target'!J:K,2,0),"-")</f>
        <v>81.798</v>
      </c>
      <c r="K76" s="9" t="n">
        <v>898.1972</v>
      </c>
      <c r="L76" s="9" t="n">
        <v>59.0526</v>
      </c>
      <c r="M76" s="9" t="str">
        <f aca="false">IFERROR(IF(K76&gt;J76,"Not Meet Target","Meet Target"),"-")</f>
        <v>Not Meet Target</v>
      </c>
      <c r="N76" s="9" t="str">
        <f aca="false">IFERROR(VLOOKUP(D76,'Team Member List'!B:C,2,0),"")</f>
        <v>TL Okafor</v>
      </c>
      <c r="O76" s="9" t="s">
        <v>2408</v>
      </c>
    </row>
    <row r="77" customFormat="false" ht="15" hidden="false" customHeight="false" outlineLevel="0" collapsed="false">
      <c r="A77" s="9" t="s">
        <v>63</v>
      </c>
      <c r="B77" s="10"/>
      <c r="C77" s="9"/>
      <c r="D77" s="9" t="s">
        <v>2375</v>
      </c>
      <c r="E77" s="9"/>
      <c r="F77" s="9" t="s">
        <v>75</v>
      </c>
      <c r="G77" s="9" t="s">
        <v>75</v>
      </c>
      <c r="H77" s="9" t="s">
        <v>190</v>
      </c>
      <c r="I77" s="9" t="str">
        <f aca="false">TRIM(A77) &amp; TRIM(F77) &amp; TRIM(H77)</f>
        <v>First ReviewBid Ecom Ads GroupPH</v>
      </c>
      <c r="J77" s="9" t="n">
        <f aca="false">IFERROR(VLOOKUP(I77,'WFM Q4 Target'!J:K,2,0),"-")</f>
        <v>106.374</v>
      </c>
      <c r="K77" s="9" t="n">
        <v>1144.2467</v>
      </c>
      <c r="L77" s="9" t="n">
        <v>54.0763</v>
      </c>
      <c r="M77" s="9" t="str">
        <f aca="false">IFERROR(IF(K77&gt;J77,"Not Meet Target","Meet Target"),"-")</f>
        <v>Not Meet Target</v>
      </c>
      <c r="N77" s="9" t="str">
        <f aca="false">IFERROR(VLOOKUP(D77,'Team Member List'!B:C,2,0),"")</f>
        <v>TL Okafor</v>
      </c>
      <c r="O77" s="9" t="s">
        <v>2408</v>
      </c>
    </row>
    <row r="78" customFormat="false" ht="15" hidden="false" customHeight="false" outlineLevel="0" collapsed="false">
      <c r="A78" s="9" t="s">
        <v>63</v>
      </c>
      <c r="B78" s="10"/>
      <c r="C78" s="9"/>
      <c r="D78" s="9" t="s">
        <v>2375</v>
      </c>
      <c r="E78" s="9" t="s">
        <v>973</v>
      </c>
      <c r="F78" s="9" t="s">
        <v>2410</v>
      </c>
      <c r="G78" s="9" t="s">
        <v>2410</v>
      </c>
      <c r="H78" s="9" t="s">
        <v>190</v>
      </c>
      <c r="I78" s="9" t="str">
        <f aca="false">TRIM(A78) &amp; TRIM(F78) &amp; TRIM(H78)</f>
        <v>First ReviewReach &amp; FrequencyPH</v>
      </c>
      <c r="J78" s="9" t="str">
        <f aca="false">IFERROR(VLOOKUP(I78,'WFM Q4 Target'!J:K,2,0),"-")</f>
        <v>-</v>
      </c>
      <c r="K78" s="9" t="n">
        <v>264.3304</v>
      </c>
      <c r="L78" s="9" t="n">
        <v>13.7508</v>
      </c>
      <c r="M78" s="9" t="str">
        <f aca="false">IFERROR(IF(K78&gt;J78,"Not Meet Target","Meet Target"),"-")</f>
        <v>Meet Target</v>
      </c>
      <c r="N78" s="9" t="str">
        <f aca="false">IFERROR(VLOOKUP(D78,'Team Member List'!B:C,2,0),"")</f>
        <v>TL Okafor</v>
      </c>
      <c r="O78" s="9" t="s">
        <v>2408</v>
      </c>
    </row>
    <row r="79" customFormat="false" ht="15" hidden="false" customHeight="false" outlineLevel="0" collapsed="false">
      <c r="A79" s="9" t="s">
        <v>63</v>
      </c>
      <c r="B79" s="10"/>
      <c r="C79" s="9"/>
      <c r="D79" s="9" t="s">
        <v>2375</v>
      </c>
      <c r="E79" s="9"/>
      <c r="F79" s="9" t="s">
        <v>974</v>
      </c>
      <c r="G79" s="9" t="s">
        <v>974</v>
      </c>
      <c r="H79" s="9" t="s">
        <v>73</v>
      </c>
      <c r="I79" s="9" t="str">
        <f aca="false">TRIM(A79) &amp; TRIM(F79) &amp; TRIM(H79)</f>
        <v>First ReviewHighlight ViewIQ</v>
      </c>
      <c r="J79" s="9" t="n">
        <f aca="false">IFERROR(VLOOKUP(I79,'WFM Q4 Target'!J:K,2,0),"-")</f>
        <v>703.266</v>
      </c>
      <c r="K79" s="9" t="n">
        <v>271.4097</v>
      </c>
      <c r="L79" s="9" t="n">
        <v>0</v>
      </c>
      <c r="M79" s="9" t="str">
        <f aca="false">IFERROR(IF(K79&gt;J79,"Not Meet Target","Meet Target"),"-")</f>
        <v>Meet Target</v>
      </c>
      <c r="N79" s="9" t="str">
        <f aca="false">IFERROR(VLOOKUP(D79,'Team Member List'!B:C,2,0),"")</f>
        <v>TL Okafor</v>
      </c>
      <c r="O79" s="9" t="s">
        <v>2408</v>
      </c>
    </row>
    <row r="80" customFormat="false" ht="15" hidden="false" customHeight="false" outlineLevel="0" collapsed="false">
      <c r="A80" s="9" t="s">
        <v>63</v>
      </c>
      <c r="B80" s="10"/>
      <c r="C80" s="9"/>
      <c r="D80" s="9" t="s">
        <v>2375</v>
      </c>
      <c r="E80" s="9"/>
      <c r="F80" s="9" t="s">
        <v>974</v>
      </c>
      <c r="G80" s="9"/>
      <c r="H80" s="9" t="s">
        <v>306</v>
      </c>
      <c r="I80" s="9" t="str">
        <f aca="false">TRIM(A80) &amp; TRIM(F80) &amp; TRIM(H80)</f>
        <v>First ReviewHighlight ViewTH</v>
      </c>
      <c r="J80" s="9" t="n">
        <f aca="false">IFERROR(VLOOKUP(I80,'WFM Q4 Target'!J:K,2,0),"-")</f>
        <v>225.126</v>
      </c>
      <c r="K80" s="9" t="n">
        <v>108.6925</v>
      </c>
      <c r="L80" s="9" t="n">
        <v>38.634</v>
      </c>
      <c r="M80" s="9" t="str">
        <f aca="false">IFERROR(IF(K80&gt;J80,"Not Meet Target","Meet Target"),"-")</f>
        <v>Meet Target</v>
      </c>
      <c r="N80" s="9" t="str">
        <f aca="false">IFERROR(VLOOKUP(D80,'Team Member List'!B:C,2,0),"")</f>
        <v>TL Okafor</v>
      </c>
      <c r="O80" s="9" t="s">
        <v>2408</v>
      </c>
    </row>
    <row r="81" customFormat="false" ht="15" hidden="false" customHeight="false" outlineLevel="0" collapsed="false">
      <c r="A81" s="9" t="s">
        <v>63</v>
      </c>
      <c r="B81" s="10"/>
      <c r="C81" s="9" t="s">
        <v>2391</v>
      </c>
      <c r="D81" s="9" t="s">
        <v>2391</v>
      </c>
      <c r="E81" s="9" t="s">
        <v>56</v>
      </c>
      <c r="F81" s="9" t="s">
        <v>57</v>
      </c>
      <c r="G81" s="9" t="s">
        <v>57</v>
      </c>
      <c r="H81" s="9" t="s">
        <v>106</v>
      </c>
      <c r="I81" s="9" t="str">
        <f aca="false">TRIM(A81) &amp; TRIM(F81) &amp; TRIM(H81)</f>
        <v>First ReviewBid Ad GroupMY</v>
      </c>
      <c r="J81" s="9" t="n">
        <f aca="false">IFERROR(VLOOKUP(I81,'WFM Q4 Target'!J:K,2,0),"-")</f>
        <v>108.99</v>
      </c>
      <c r="K81" s="9" t="n">
        <v>98.234</v>
      </c>
      <c r="L81" s="9" t="n">
        <v>365.2289</v>
      </c>
      <c r="M81" s="9" t="str">
        <f aca="false">IFERROR(IF(K81&gt;J81,"Not Meet Target","Meet Target"),"-")</f>
        <v>Meet Target</v>
      </c>
      <c r="N81" s="9" t="str">
        <f aca="false">IFERROR(VLOOKUP(D81,'Team Member List'!B:C,2,0),"")</f>
        <v>TL Cabrera</v>
      </c>
      <c r="O81" s="9" t="s">
        <v>2408</v>
      </c>
    </row>
    <row r="82" customFormat="false" ht="15" hidden="false" customHeight="false" outlineLevel="0" collapsed="false">
      <c r="A82" s="9" t="s">
        <v>63</v>
      </c>
      <c r="B82" s="10"/>
      <c r="C82" s="9"/>
      <c r="D82" s="9" t="s">
        <v>2391</v>
      </c>
      <c r="E82" s="9" t="s">
        <v>973</v>
      </c>
      <c r="F82" s="9" t="s">
        <v>979</v>
      </c>
      <c r="G82" s="9" t="s">
        <v>979</v>
      </c>
      <c r="H82" s="9" t="s">
        <v>106</v>
      </c>
      <c r="I82" s="9" t="str">
        <f aca="false">TRIM(A82) &amp; TRIM(F82) &amp; TRIM(H82)</f>
        <v>First ReviewBooking Ads Pre ApprovalMY</v>
      </c>
      <c r="J82" s="9" t="n">
        <f aca="false">IFERROR(VLOOKUP(I82,'WFM Q4 Target'!J:K,2,0),"-")</f>
        <v>91.824</v>
      </c>
      <c r="K82" s="9" t="n">
        <v>422.8073</v>
      </c>
      <c r="L82" s="9" t="n">
        <v>10.6231</v>
      </c>
      <c r="M82" s="9" t="str">
        <f aca="false">IFERROR(IF(K82&gt;J82,"Not Meet Target","Meet Target"),"-")</f>
        <v>Not Meet Target</v>
      </c>
      <c r="N82" s="9" t="str">
        <f aca="false">IFERROR(VLOOKUP(D82,'Team Member List'!B:C,2,0),"")</f>
        <v>TL Cabrera</v>
      </c>
      <c r="O82" s="9" t="s">
        <v>2408</v>
      </c>
    </row>
    <row r="83" customFormat="false" ht="15" hidden="false" customHeight="false" outlineLevel="0" collapsed="false">
      <c r="A83" s="9" t="s">
        <v>63</v>
      </c>
      <c r="B83" s="10"/>
      <c r="C83" s="9"/>
      <c r="D83" s="9" t="s">
        <v>2391</v>
      </c>
      <c r="E83" s="9"/>
      <c r="F83" s="9" t="s">
        <v>974</v>
      </c>
      <c r="G83" s="9" t="s">
        <v>974</v>
      </c>
      <c r="H83" s="9" t="s">
        <v>106</v>
      </c>
      <c r="I83" s="9" t="str">
        <f aca="false">TRIM(A83) &amp; TRIM(F83) &amp; TRIM(H83)</f>
        <v>First ReviewHighlight ViewMY</v>
      </c>
      <c r="J83" s="9" t="n">
        <f aca="false">IFERROR(VLOOKUP(I83,'WFM Q4 Target'!J:K,2,0),"-")</f>
        <v>242.28</v>
      </c>
      <c r="K83" s="9" t="n">
        <v>418.5507</v>
      </c>
      <c r="L83" s="9" t="n">
        <v>0</v>
      </c>
      <c r="M83" s="9" t="str">
        <f aca="false">IFERROR(IF(K83&gt;J83,"Not Meet Target","Meet Target"),"-")</f>
        <v>Not Meet Target</v>
      </c>
      <c r="N83" s="9" t="str">
        <f aca="false">IFERROR(VLOOKUP(D83,'Team Member List'!B:C,2,0),"")</f>
        <v>TL Cabrera</v>
      </c>
      <c r="O83" s="9" t="s">
        <v>2408</v>
      </c>
    </row>
    <row r="84" customFormat="false" ht="15" hidden="false" customHeight="false" outlineLevel="0" collapsed="false">
      <c r="A84" s="9" t="s">
        <v>63</v>
      </c>
      <c r="B84" s="10"/>
      <c r="C84" s="9" t="s">
        <v>2362</v>
      </c>
      <c r="D84" s="9" t="s">
        <v>2362</v>
      </c>
      <c r="E84" s="9" t="s">
        <v>56</v>
      </c>
      <c r="F84" s="9" t="s">
        <v>57</v>
      </c>
      <c r="G84" s="9" t="s">
        <v>57</v>
      </c>
      <c r="H84" s="9" t="s">
        <v>235</v>
      </c>
      <c r="I84" s="9" t="str">
        <f aca="false">TRIM(A84) &amp; TRIM(F84) &amp; TRIM(H84)</f>
        <v>First ReviewBid Ad GroupJP</v>
      </c>
      <c r="J84" s="9" t="n">
        <f aca="false">IFERROR(VLOOKUP(I84,'WFM Q4 Target'!J:K,2,0),"-")</f>
        <v>140.514</v>
      </c>
      <c r="K84" s="9" t="n">
        <v>99.2843</v>
      </c>
      <c r="L84" s="9" t="n">
        <v>17.0282</v>
      </c>
      <c r="M84" s="9" t="str">
        <f aca="false">IFERROR(IF(K84&gt;J84,"Not Meet Target","Meet Target"),"-")</f>
        <v>Meet Target</v>
      </c>
      <c r="N84" s="9" t="str">
        <f aca="false">IFERROR(VLOOKUP(D84,'Team Member List'!B:C,2,0),"")</f>
        <v>TL Okafor</v>
      </c>
      <c r="O84" s="9" t="s">
        <v>2408</v>
      </c>
    </row>
    <row r="85" customFormat="false" ht="15" hidden="false" customHeight="false" outlineLevel="0" collapsed="false">
      <c r="A85" s="9" t="s">
        <v>63</v>
      </c>
      <c r="B85" s="10"/>
      <c r="C85" s="9"/>
      <c r="D85" s="9" t="s">
        <v>2362</v>
      </c>
      <c r="E85" s="9"/>
      <c r="F85" s="9" t="s">
        <v>69</v>
      </c>
      <c r="G85" s="9" t="s">
        <v>69</v>
      </c>
      <c r="H85" s="9" t="s">
        <v>235</v>
      </c>
      <c r="I85" s="9" t="str">
        <f aca="false">TRIM(A85) &amp; TRIM(F85) &amp; TRIM(H85)</f>
        <v>First ReviewBid LinkJP</v>
      </c>
      <c r="J85" s="9" t="n">
        <f aca="false">IFERROR(VLOOKUP(I85,'WFM Q4 Target'!J:K,2,0),"-")</f>
        <v>87.018</v>
      </c>
      <c r="K85" s="9" t="n">
        <v>130.9856</v>
      </c>
      <c r="L85" s="9" t="n">
        <v>0</v>
      </c>
      <c r="M85" s="9" t="str">
        <f aca="false">IFERROR(IF(K85&gt;J85,"Not Meet Target","Meet Target"),"-")</f>
        <v>Not Meet Target</v>
      </c>
      <c r="N85" s="9" t="str">
        <f aca="false">IFERROR(VLOOKUP(D85,'Team Member List'!B:C,2,0),"")</f>
        <v>TL Okafor</v>
      </c>
      <c r="O85" s="9" t="s">
        <v>2408</v>
      </c>
    </row>
    <row r="86" customFormat="false" ht="15" hidden="false" customHeight="false" outlineLevel="0" collapsed="false">
      <c r="A86" s="9" t="s">
        <v>63</v>
      </c>
      <c r="B86" s="10"/>
      <c r="C86" s="9" t="s">
        <v>2334</v>
      </c>
      <c r="D86" s="9" t="s">
        <v>2334</v>
      </c>
      <c r="E86" s="9" t="s">
        <v>56</v>
      </c>
      <c r="F86" s="9" t="s">
        <v>57</v>
      </c>
      <c r="G86" s="9" t="s">
        <v>57</v>
      </c>
      <c r="H86" s="9" t="s">
        <v>267</v>
      </c>
      <c r="I86" s="9" t="str">
        <f aca="false">TRIM(A86) &amp; TRIM(F86) &amp; TRIM(H86)</f>
        <v>First ReviewBid Ad GroupID</v>
      </c>
      <c r="J86" s="9" t="n">
        <f aca="false">IFERROR(VLOOKUP(I86,'WFM Q4 Target'!J:K,2,0),"-")</f>
        <v>118.062</v>
      </c>
      <c r="K86" s="9" t="n">
        <v>142.8671</v>
      </c>
      <c r="L86" s="9" t="n">
        <v>68.7212</v>
      </c>
      <c r="M86" s="9" t="str">
        <f aca="false">IFERROR(IF(K86&gt;J86,"Not Meet Target","Meet Target"),"-")</f>
        <v>Not Meet Target</v>
      </c>
      <c r="N86" s="9" t="str">
        <f aca="false">IFERROR(VLOOKUP(D86,'Team Member List'!B:C,2,0),"")</f>
        <v>TL Ramirez</v>
      </c>
      <c r="O86" s="9" t="s">
        <v>2408</v>
      </c>
    </row>
    <row r="87" customFormat="false" ht="15" hidden="false" customHeight="false" outlineLevel="0" collapsed="false">
      <c r="A87" s="9" t="s">
        <v>63</v>
      </c>
      <c r="B87" s="10"/>
      <c r="C87" s="9"/>
      <c r="D87" s="9" t="s">
        <v>2334</v>
      </c>
      <c r="E87" s="9"/>
      <c r="F87" s="9" t="s">
        <v>61</v>
      </c>
      <c r="G87" s="9" t="s">
        <v>61</v>
      </c>
      <c r="H87" s="9" t="s">
        <v>267</v>
      </c>
      <c r="I87" s="9" t="str">
        <f aca="false">TRIM(A87) &amp; TRIM(F87) &amp; TRIM(H87)</f>
        <v>First ReviewBid Ecom URLID</v>
      </c>
      <c r="J87" s="9" t="n">
        <f aca="false">IFERROR(VLOOKUP(I87,'WFM Q4 Target'!J:K,2,0),"-")</f>
        <v>64.764</v>
      </c>
      <c r="K87" s="9" t="n">
        <v>138.2075</v>
      </c>
      <c r="L87" s="9" t="n">
        <v>0</v>
      </c>
      <c r="M87" s="9" t="str">
        <f aca="false">IFERROR(IF(K87&gt;J87,"Not Meet Target","Meet Target"),"-")</f>
        <v>Not Meet Target</v>
      </c>
      <c r="N87" s="9" t="str">
        <f aca="false">IFERROR(VLOOKUP(D87,'Team Member List'!B:C,2,0),"")</f>
        <v>TL Ramirez</v>
      </c>
      <c r="O87" s="9" t="s">
        <v>2408</v>
      </c>
    </row>
    <row r="88" customFormat="false" ht="15" hidden="false" customHeight="false" outlineLevel="0" collapsed="false">
      <c r="A88" s="9" t="s">
        <v>66</v>
      </c>
      <c r="B88" s="10"/>
      <c r="C88" s="9" t="s">
        <v>2385</v>
      </c>
      <c r="D88" s="9" t="s">
        <v>2385</v>
      </c>
      <c r="E88" s="9" t="s">
        <v>2009</v>
      </c>
      <c r="F88" s="9" t="s">
        <v>2012</v>
      </c>
      <c r="G88" s="9" t="s">
        <v>2012</v>
      </c>
      <c r="H88" s="9" t="s">
        <v>267</v>
      </c>
      <c r="I88" s="9" t="str">
        <f aca="false">TRIM(A88) &amp; TRIM(F88) &amp; TRIM(H88)</f>
        <v>Posted RecallTrial Install Android AppID</v>
      </c>
      <c r="J88" s="9" t="n">
        <f aca="false">IFERROR(VLOOKUP(I88,'WFM Q4 Target'!J:K,2,0),"-")</f>
        <v>532.764</v>
      </c>
      <c r="K88" s="9" t="n">
        <v>559.6106</v>
      </c>
      <c r="L88" s="9" t="n">
        <v>137.656</v>
      </c>
      <c r="M88" s="9" t="str">
        <f aca="false">IFERROR(IF(K88&gt;J88,"Not Meet Target","Meet Target"),"-")</f>
        <v>Not Meet Target</v>
      </c>
      <c r="N88" s="9" t="str">
        <f aca="false">IFERROR(VLOOKUP(D88,'Team Member List'!B:C,2,0),"")</f>
        <v>TL Cabrera</v>
      </c>
      <c r="O88" s="9" t="s">
        <v>2408</v>
      </c>
    </row>
    <row r="89" customFormat="false" ht="15" hidden="false" customHeight="false" outlineLevel="0" collapsed="false">
      <c r="A89" s="9" t="s">
        <v>66</v>
      </c>
      <c r="B89" s="10"/>
      <c r="C89" s="9"/>
      <c r="D89" s="9" t="s">
        <v>2385</v>
      </c>
      <c r="E89" s="9"/>
      <c r="F89" s="9" t="s">
        <v>2010</v>
      </c>
      <c r="G89" s="9" t="s">
        <v>2010</v>
      </c>
      <c r="H89" s="9" t="s">
        <v>267</v>
      </c>
      <c r="I89" s="9" t="str">
        <f aca="false">TRIM(A89) &amp; TRIM(F89) &amp; TRIM(H89)</f>
        <v>Posted RecallTrial Install IOS AppID</v>
      </c>
      <c r="J89" s="9" t="str">
        <f aca="false">IFERROR(VLOOKUP(I89,'WFM Q4 Target'!J:K,2,0),"-")</f>
        <v>-</v>
      </c>
      <c r="K89" s="9" t="n">
        <v>483.7575</v>
      </c>
      <c r="L89" s="9" t="n">
        <v>814.0627</v>
      </c>
      <c r="M89" s="9" t="str">
        <f aca="false">IFERROR(IF(K89&gt;J89,"Not Meet Target","Meet Target"),"-")</f>
        <v>Meet Target</v>
      </c>
      <c r="N89" s="9" t="str">
        <f aca="false">IFERROR(VLOOKUP(D89,'Team Member List'!B:C,2,0),"")</f>
        <v>TL Cabrera</v>
      </c>
      <c r="O89" s="9" t="s">
        <v>2408</v>
      </c>
    </row>
    <row r="90" customFormat="false" ht="15" hidden="false" customHeight="false" outlineLevel="0" collapsed="false">
      <c r="A90" s="9" t="s">
        <v>66</v>
      </c>
      <c r="B90" s="10"/>
      <c r="C90" s="9" t="s">
        <v>2371</v>
      </c>
      <c r="D90" s="9" t="s">
        <v>2371</v>
      </c>
      <c r="E90" s="9" t="s">
        <v>1828</v>
      </c>
      <c r="F90" s="9" t="s">
        <v>1829</v>
      </c>
      <c r="G90" s="9" t="s">
        <v>1829</v>
      </c>
      <c r="H90" s="9" t="s">
        <v>458</v>
      </c>
      <c r="I90" s="9" t="str">
        <f aca="false">TRIM(A90) &amp; TRIM(F90) &amp; TRIM(H90)</f>
        <v>Posted RecallDynamic Catalog WholeProdTW</v>
      </c>
      <c r="J90" s="9" t="str">
        <f aca="false">IFERROR(VLOOKUP(I90,'WFM Q4 Target'!J:K,2,0),"-")</f>
        <v>-</v>
      </c>
      <c r="K90" s="9" t="n">
        <v>371.9036</v>
      </c>
      <c r="L90" s="9" t="n">
        <v>0</v>
      </c>
      <c r="M90" s="9" t="str">
        <f aca="false">IFERROR(IF(K90&gt;J90,"Not Meet Target","Meet Target"),"-")</f>
        <v>Meet Target</v>
      </c>
      <c r="N90" s="9" t="str">
        <f aca="false">IFERROR(VLOOKUP(D90,'Team Member List'!B:C,2,0),"")</f>
        <v>TL Okafor</v>
      </c>
      <c r="O90" s="9" t="s">
        <v>2408</v>
      </c>
    </row>
    <row r="91" customFormat="false" ht="15" hidden="false" customHeight="false" outlineLevel="0" collapsed="false">
      <c r="A91" s="9" t="s">
        <v>66</v>
      </c>
      <c r="B91" s="10"/>
      <c r="C91" s="9" t="s">
        <v>2373</v>
      </c>
      <c r="D91" s="9" t="s">
        <v>2373</v>
      </c>
      <c r="E91" s="9" t="s">
        <v>56</v>
      </c>
      <c r="F91" s="9" t="s">
        <v>75</v>
      </c>
      <c r="G91" s="9" t="s">
        <v>75</v>
      </c>
      <c r="H91" s="9" t="s">
        <v>190</v>
      </c>
      <c r="I91" s="9" t="str">
        <f aca="false">TRIM(A91) &amp; TRIM(F91) &amp; TRIM(H91)</f>
        <v>Posted RecallBid Ecom Ads GroupPH</v>
      </c>
      <c r="J91" s="9" t="n">
        <f aca="false">IFERROR(VLOOKUP(I91,'WFM Q4 Target'!J:K,2,0),"-")</f>
        <v>77.622</v>
      </c>
      <c r="K91" s="9" t="n">
        <v>355.3703</v>
      </c>
      <c r="L91" s="9" t="n">
        <v>26.9648</v>
      </c>
      <c r="M91" s="9" t="str">
        <f aca="false">IFERROR(IF(K91&gt;J91,"Not Meet Target","Meet Target"),"-")</f>
        <v>Not Meet Target</v>
      </c>
      <c r="N91" s="9" t="str">
        <f aca="false">IFERROR(VLOOKUP(D91,'Team Member List'!B:C,2,0),"")</f>
        <v>TL Okafor</v>
      </c>
      <c r="O91" s="9" t="s">
        <v>2408</v>
      </c>
    </row>
    <row r="92" customFormat="false" ht="15" hidden="false" customHeight="false" outlineLevel="0" collapsed="false">
      <c r="A92" s="9" t="s">
        <v>66</v>
      </c>
      <c r="B92" s="10"/>
      <c r="C92" s="9" t="s">
        <v>2362</v>
      </c>
      <c r="D92" s="9" t="s">
        <v>2362</v>
      </c>
      <c r="E92" s="9" t="s">
        <v>56</v>
      </c>
      <c r="F92" s="9" t="s">
        <v>57</v>
      </c>
      <c r="G92" s="9" t="s">
        <v>57</v>
      </c>
      <c r="H92" s="9" t="s">
        <v>235</v>
      </c>
      <c r="I92" s="9" t="str">
        <f aca="false">TRIM(A92) &amp; TRIM(F92) &amp; TRIM(H92)</f>
        <v>Posted RecallBid Ad GroupJP</v>
      </c>
      <c r="J92" s="9" t="n">
        <f aca="false">IFERROR(VLOOKUP(I92,'WFM Q4 Target'!J:K,2,0),"-")</f>
        <v>100.644</v>
      </c>
      <c r="K92" s="9" t="n">
        <v>307.9623</v>
      </c>
      <c r="L92" s="9" t="n">
        <v>113.7633</v>
      </c>
      <c r="M92" s="9" t="str">
        <f aca="false">IFERROR(IF(K92&gt;J92,"Not Meet Target","Meet Target"),"-")</f>
        <v>Not Meet Target</v>
      </c>
      <c r="N92" s="9" t="str">
        <f aca="false">IFERROR(VLOOKUP(D92,'Team Member List'!B:C,2,0),"")</f>
        <v>TL Okafor</v>
      </c>
      <c r="O92" s="9" t="s">
        <v>2408</v>
      </c>
    </row>
    <row r="93" customFormat="false" ht="15" hidden="false" customHeight="false" outlineLevel="0" collapsed="false">
      <c r="A93" s="9" t="s">
        <v>66</v>
      </c>
      <c r="B93" s="10"/>
      <c r="C93" s="9"/>
      <c r="D93" s="9" t="s">
        <v>2362</v>
      </c>
      <c r="E93" s="9" t="s">
        <v>899</v>
      </c>
      <c r="F93" s="9" t="s">
        <v>900</v>
      </c>
      <c r="G93" s="9" t="s">
        <v>900</v>
      </c>
      <c r="H93" s="9" t="s">
        <v>235</v>
      </c>
      <c r="I93" s="9" t="str">
        <f aca="false">TRIM(A93) &amp; TRIM(F93) &amp; TRIM(H93)</f>
        <v>Posted RecallSponsored Content Community VideoJP</v>
      </c>
      <c r="J93" s="9" t="n">
        <f aca="false">IFERROR(VLOOKUP(I93,'WFM Q4 Target'!J:K,2,0),"-")</f>
        <v>96.984</v>
      </c>
      <c r="K93" s="9" t="n">
        <v>223.6176</v>
      </c>
      <c r="L93" s="9" t="n">
        <v>20.5113</v>
      </c>
      <c r="M93" s="9" t="str">
        <f aca="false">IFERROR(IF(K93&gt;J93,"Not Meet Target","Meet Target"),"-")</f>
        <v>Not Meet Target</v>
      </c>
      <c r="N93" s="9" t="str">
        <f aca="false">IFERROR(VLOOKUP(D93,'Team Member List'!B:C,2,0),"")</f>
        <v>TL Okafor</v>
      </c>
      <c r="O93" s="9" t="s">
        <v>2408</v>
      </c>
    </row>
    <row r="94" customFormat="false" ht="15" hidden="false" customHeight="false" outlineLevel="0" collapsed="false">
      <c r="A94" s="9" t="s">
        <v>66</v>
      </c>
      <c r="B94" s="10"/>
      <c r="C94" s="9" t="s">
        <v>2354</v>
      </c>
      <c r="D94" s="9" t="s">
        <v>2354</v>
      </c>
      <c r="E94" s="9" t="s">
        <v>56</v>
      </c>
      <c r="F94" s="9" t="s">
        <v>57</v>
      </c>
      <c r="G94" s="9" t="s">
        <v>57</v>
      </c>
      <c r="H94" s="9" t="s">
        <v>100</v>
      </c>
      <c r="I94" s="9" t="str">
        <f aca="false">TRIM(A94) &amp; TRIM(F94) &amp; TRIM(H94)</f>
        <v>Posted RecallBid Ad GroupAU</v>
      </c>
      <c r="J94" s="9" t="n">
        <f aca="false">IFERROR(VLOOKUP(I94,'WFM Q4 Target'!J:K,2,0),"-")</f>
        <v>95.904</v>
      </c>
      <c r="K94" s="9" t="n">
        <v>200.0193</v>
      </c>
      <c r="L94" s="9" t="n">
        <v>50.5396</v>
      </c>
      <c r="M94" s="9" t="str">
        <f aca="false">IFERROR(IF(K94&gt;J94,"Not Meet Target","Meet Target"),"-")</f>
        <v>Not Meet Target</v>
      </c>
      <c r="N94" s="9" t="str">
        <f aca="false">IFERROR(VLOOKUP(D94,'Team Member List'!B:C,2,0),"")</f>
        <v>TL Lindgren</v>
      </c>
      <c r="O94" s="9" t="s">
        <v>2408</v>
      </c>
    </row>
    <row r="95" customFormat="false" ht="15" hidden="false" customHeight="false" outlineLevel="0" collapsed="false">
      <c r="A95" s="9" t="s">
        <v>66</v>
      </c>
      <c r="B95" s="10"/>
      <c r="C95" s="9" t="s">
        <v>2338</v>
      </c>
      <c r="D95" s="9" t="s">
        <v>2338</v>
      </c>
      <c r="E95" s="9" t="s">
        <v>56</v>
      </c>
      <c r="F95" s="9" t="s">
        <v>57</v>
      </c>
      <c r="G95" s="9" t="s">
        <v>57</v>
      </c>
      <c r="H95" s="9" t="s">
        <v>106</v>
      </c>
      <c r="I95" s="9" t="str">
        <f aca="false">TRIM(A95) &amp; TRIM(F95) &amp; TRIM(H95)</f>
        <v>Posted RecallBid Ad GroupMY</v>
      </c>
      <c r="J95" s="9" t="n">
        <f aca="false">IFERROR(VLOOKUP(I95,'WFM Q4 Target'!J:K,2,0),"-")</f>
        <v>125.562</v>
      </c>
      <c r="K95" s="9" t="n">
        <v>182.7589</v>
      </c>
      <c r="L95" s="9" t="n">
        <v>327.7922</v>
      </c>
      <c r="M95" s="9" t="str">
        <f aca="false">IFERROR(IF(K95&gt;J95,"Not Meet Target","Meet Target"),"-")</f>
        <v>Not Meet Target</v>
      </c>
      <c r="N95" s="9" t="str">
        <f aca="false">IFERROR(VLOOKUP(D95,'Team Member List'!B:C,2,0),"")</f>
        <v>TL Ramirez</v>
      </c>
      <c r="O95" s="9" t="s">
        <v>2408</v>
      </c>
    </row>
    <row r="96" customFormat="false" ht="15" hidden="false" customHeight="false" outlineLevel="0" collapsed="false">
      <c r="A96" s="9" t="s">
        <v>66</v>
      </c>
      <c r="B96" s="10"/>
      <c r="C96" s="9"/>
      <c r="D96" s="9" t="s">
        <v>2338</v>
      </c>
      <c r="E96" s="9"/>
      <c r="F96" s="9" t="s">
        <v>57</v>
      </c>
      <c r="G96" s="9"/>
      <c r="H96" s="9" t="s">
        <v>58</v>
      </c>
      <c r="I96" s="9" t="str">
        <f aca="false">TRIM(A96) &amp; TRIM(F96) &amp; TRIM(H96)</f>
        <v>Posted RecallBid Ad GroupSG</v>
      </c>
      <c r="J96" s="9" t="n">
        <f aca="false">IFERROR(VLOOKUP(I96,'WFM Q4 Target'!J:K,2,0),"-")</f>
        <v>112.686</v>
      </c>
      <c r="K96" s="9" t="n">
        <v>213.5462</v>
      </c>
      <c r="L96" s="9" t="n">
        <v>672.0256</v>
      </c>
      <c r="M96" s="9" t="str">
        <f aca="false">IFERROR(IF(K96&gt;J96,"Not Meet Target","Meet Target"),"-")</f>
        <v>Not Meet Target</v>
      </c>
      <c r="N96" s="9" t="str">
        <f aca="false">IFERROR(VLOOKUP(D96,'Team Member List'!B:C,2,0),"")</f>
        <v>TL Ramirez</v>
      </c>
      <c r="O96" s="9" t="s">
        <v>2408</v>
      </c>
    </row>
    <row r="97" customFormat="false" ht="15" hidden="false" customHeight="false" outlineLevel="0" collapsed="false">
      <c r="A97" s="9" t="s">
        <v>66</v>
      </c>
      <c r="B97" s="10"/>
      <c r="C97" s="9" t="s">
        <v>2332</v>
      </c>
      <c r="D97" s="9" t="s">
        <v>2332</v>
      </c>
      <c r="E97" s="9" t="s">
        <v>56</v>
      </c>
      <c r="F97" s="9" t="s">
        <v>57</v>
      </c>
      <c r="G97" s="9" t="s">
        <v>57</v>
      </c>
      <c r="H97" s="9" t="s">
        <v>267</v>
      </c>
      <c r="I97" s="9" t="str">
        <f aca="false">TRIM(A97) &amp; TRIM(F97) &amp; TRIM(H97)</f>
        <v>Posted RecallBid Ad GroupID</v>
      </c>
      <c r="J97" s="9" t="n">
        <f aca="false">IFERROR(VLOOKUP(I97,'WFM Q4 Target'!J:K,2,0),"-")</f>
        <v>152.274</v>
      </c>
      <c r="K97" s="9" t="n">
        <v>234.1357</v>
      </c>
      <c r="L97" s="9" t="n">
        <v>359.1586</v>
      </c>
      <c r="M97" s="9" t="str">
        <f aca="false">IFERROR(IF(K97&gt;J97,"Not Meet Target","Meet Target"),"-")</f>
        <v>Not Meet Target</v>
      </c>
      <c r="N97" s="9" t="str">
        <f aca="false">IFERROR(VLOOKUP(D97,'Team Member List'!B:C,2,0),"")</f>
        <v>TL Ramirez</v>
      </c>
      <c r="O97" s="9" t="s">
        <v>2408</v>
      </c>
    </row>
    <row r="98" customFormat="false" ht="15" hidden="false" customHeight="false" outlineLevel="0" collapsed="false">
      <c r="A98" s="9" t="s">
        <v>66</v>
      </c>
      <c r="B98" s="10"/>
      <c r="C98" s="9"/>
      <c r="D98" s="9" t="s">
        <v>2332</v>
      </c>
      <c r="E98" s="9" t="s">
        <v>1526</v>
      </c>
      <c r="F98" s="9" t="s">
        <v>1535</v>
      </c>
      <c r="G98" s="9" t="s">
        <v>1535</v>
      </c>
      <c r="H98" s="9" t="s">
        <v>267</v>
      </c>
      <c r="I98" s="9" t="str">
        <f aca="false">TRIM(A98) &amp; TRIM(F98) &amp; TRIM(H98)</f>
        <v>Posted RecallBoost VideoID</v>
      </c>
      <c r="J98" s="9" t="n">
        <f aca="false">IFERROR(VLOOKUP(I98,'WFM Q4 Target'!J:K,2,0),"-")</f>
        <v>63.066</v>
      </c>
      <c r="K98" s="9" t="n">
        <v>181.9833</v>
      </c>
      <c r="L98" s="9" t="n">
        <v>171.7622</v>
      </c>
      <c r="M98" s="9" t="str">
        <f aca="false">IFERROR(IF(K98&gt;J98,"Not Meet Target","Meet Target"),"-")</f>
        <v>Not Meet Target</v>
      </c>
      <c r="N98" s="9" t="str">
        <f aca="false">IFERROR(VLOOKUP(D98,'Team Member List'!B:C,2,0),"")</f>
        <v>TL Ramirez</v>
      </c>
      <c r="O98" s="9" t="s">
        <v>2408</v>
      </c>
    </row>
    <row r="99" customFormat="false" ht="15" hidden="false" customHeight="false" outlineLevel="0" collapsed="false">
      <c r="A99" s="9" t="s">
        <v>66</v>
      </c>
      <c r="B99" s="10"/>
      <c r="C99" s="9" t="s">
        <v>2393</v>
      </c>
      <c r="D99" s="9" t="s">
        <v>2393</v>
      </c>
      <c r="E99" s="9" t="s">
        <v>56</v>
      </c>
      <c r="F99" s="9" t="s">
        <v>57</v>
      </c>
      <c r="G99" s="9" t="s">
        <v>57</v>
      </c>
      <c r="H99" s="9" t="s">
        <v>106</v>
      </c>
      <c r="I99" s="9" t="str">
        <f aca="false">TRIM(A99) &amp; TRIM(F99) &amp; TRIM(H99)</f>
        <v>Posted RecallBid Ad GroupMY</v>
      </c>
      <c r="J99" s="9" t="n">
        <f aca="false">IFERROR(VLOOKUP(I99,'WFM Q4 Target'!J:K,2,0),"-")</f>
        <v>125.562</v>
      </c>
      <c r="K99" s="9" t="n">
        <v>197.0433</v>
      </c>
      <c r="L99" s="9" t="n">
        <v>326.6806</v>
      </c>
      <c r="M99" s="9" t="str">
        <f aca="false">IFERROR(IF(K99&gt;J99,"Not Meet Target","Meet Target"),"-")</f>
        <v>Not Meet Target</v>
      </c>
      <c r="N99" s="9" t="str">
        <f aca="false">IFERROR(VLOOKUP(D99,'Team Member List'!B:C,2,0),"")</f>
        <v>TL Cabrera</v>
      </c>
      <c r="O99" s="9" t="s">
        <v>2408</v>
      </c>
    </row>
    <row r="100" customFormat="false" ht="15" hidden="false" customHeight="false" outlineLevel="0" collapsed="false">
      <c r="A100" s="9" t="s">
        <v>66</v>
      </c>
      <c r="B100" s="10"/>
      <c r="C100" s="9"/>
      <c r="D100" s="9" t="s">
        <v>2393</v>
      </c>
      <c r="E100" s="9"/>
      <c r="F100" s="9" t="s">
        <v>75</v>
      </c>
      <c r="G100" s="9" t="s">
        <v>75</v>
      </c>
      <c r="H100" s="9" t="s">
        <v>106</v>
      </c>
      <c r="I100" s="9" t="str">
        <f aca="false">TRIM(A100) &amp; TRIM(F100) &amp; TRIM(H100)</f>
        <v>Posted RecallBid Ecom Ads GroupMY</v>
      </c>
      <c r="J100" s="9" t="n">
        <f aca="false">IFERROR(VLOOKUP(I100,'WFM Q4 Target'!J:K,2,0),"-")</f>
        <v>111.516</v>
      </c>
      <c r="K100" s="9" t="n">
        <v>129.4723</v>
      </c>
      <c r="L100" s="9" t="n">
        <v>142.4825</v>
      </c>
      <c r="M100" s="9" t="str">
        <f aca="false">IFERROR(IF(K100&gt;J100,"Not Meet Target","Meet Target"),"-")</f>
        <v>Not Meet Target</v>
      </c>
      <c r="N100" s="9" t="str">
        <f aca="false">IFERROR(VLOOKUP(D100,'Team Member List'!B:C,2,0),"")</f>
        <v>TL Cabrera</v>
      </c>
      <c r="O100" s="9" t="s">
        <v>2408</v>
      </c>
    </row>
    <row r="101" customFormat="false" ht="15" hidden="false" customHeight="false" outlineLevel="0" collapsed="false">
      <c r="A101" s="9" t="s">
        <v>66</v>
      </c>
      <c r="B101" s="10"/>
      <c r="C101" s="9" t="s">
        <v>2330</v>
      </c>
      <c r="D101" s="9" t="s">
        <v>2330</v>
      </c>
      <c r="E101" s="9" t="s">
        <v>56</v>
      </c>
      <c r="F101" s="9" t="s">
        <v>57</v>
      </c>
      <c r="G101" s="9" t="s">
        <v>57</v>
      </c>
      <c r="H101" s="9" t="s">
        <v>267</v>
      </c>
      <c r="I101" s="9" t="str">
        <f aca="false">TRIM(A101) &amp; TRIM(F101) &amp; TRIM(H101)</f>
        <v>Posted RecallBid Ad GroupID</v>
      </c>
      <c r="J101" s="9" t="n">
        <f aca="false">IFERROR(VLOOKUP(I101,'WFM Q4 Target'!J:K,2,0),"-")</f>
        <v>152.274</v>
      </c>
      <c r="K101" s="9" t="n">
        <v>120.1494</v>
      </c>
      <c r="L101" s="9" t="n">
        <v>333.2701</v>
      </c>
      <c r="M101" s="9" t="str">
        <f aca="false">IFERROR(IF(K101&gt;J101,"Not Meet Target","Meet Target"),"-")</f>
        <v>Meet Target</v>
      </c>
      <c r="N101" s="9" t="str">
        <f aca="false">IFERROR(VLOOKUP(D101,'Team Member List'!B:C,2,0),"")</f>
        <v>TL Ramirez</v>
      </c>
      <c r="O101" s="9" t="s">
        <v>2408</v>
      </c>
    </row>
    <row r="102" customFormat="false" ht="15" hidden="false" customHeight="false" outlineLevel="0" collapsed="false">
      <c r="A102" s="9" t="s">
        <v>66</v>
      </c>
      <c r="B102" s="10"/>
      <c r="C102" s="9" t="s">
        <v>2351</v>
      </c>
      <c r="D102" s="9" t="s">
        <v>2351</v>
      </c>
      <c r="E102" s="9" t="s">
        <v>56</v>
      </c>
      <c r="F102" s="9" t="s">
        <v>57</v>
      </c>
      <c r="G102" s="9" t="s">
        <v>57</v>
      </c>
      <c r="H102" s="9" t="s">
        <v>95</v>
      </c>
      <c r="I102" s="9" t="str">
        <f aca="false">TRIM(A102) &amp; TRIM(F102) &amp; TRIM(H102)</f>
        <v>Posted RecallBid Ad GroupVN</v>
      </c>
      <c r="J102" s="9" t="n">
        <f aca="false">IFERROR(VLOOKUP(I102,'WFM Q4 Target'!J:K,2,0),"-")</f>
        <v>228.504</v>
      </c>
      <c r="K102" s="9" t="n">
        <v>124.7737</v>
      </c>
      <c r="L102" s="9" t="n">
        <v>63.9053</v>
      </c>
      <c r="M102" s="9" t="str">
        <f aca="false">IFERROR(IF(K102&gt;J102,"Not Meet Target","Meet Target"),"-")</f>
        <v>Meet Target</v>
      </c>
      <c r="N102" s="9" t="str">
        <f aca="false">IFERROR(VLOOKUP(D102,'Team Member List'!B:C,2,0),"")</f>
        <v>TL Lindgren</v>
      </c>
      <c r="O102" s="9" t="s">
        <v>2408</v>
      </c>
    </row>
    <row r="103" customFormat="false" ht="15" hidden="false" customHeight="false" outlineLevel="0" collapsed="false">
      <c r="A103" s="9" t="s">
        <v>66</v>
      </c>
      <c r="B103" s="10"/>
      <c r="C103" s="9"/>
      <c r="D103" s="9" t="s">
        <v>2351</v>
      </c>
      <c r="E103" s="9"/>
      <c r="F103" s="9" t="s">
        <v>75</v>
      </c>
      <c r="G103" s="9" t="s">
        <v>75</v>
      </c>
      <c r="H103" s="9" t="s">
        <v>95</v>
      </c>
      <c r="I103" s="9" t="str">
        <f aca="false">TRIM(A103) &amp; TRIM(F103) &amp; TRIM(H103)</f>
        <v>Posted RecallBid Ecom Ads GroupVN</v>
      </c>
      <c r="J103" s="9" t="n">
        <f aca="false">IFERROR(VLOOKUP(I103,'WFM Q4 Target'!J:K,2,0),"-")</f>
        <v>136.11</v>
      </c>
      <c r="K103" s="9" t="n">
        <v>152.4097</v>
      </c>
      <c r="L103" s="9" t="n">
        <v>49.2595</v>
      </c>
      <c r="M103" s="9" t="str">
        <f aca="false">IFERROR(IF(K103&gt;J103,"Not Meet Target","Meet Target"),"-")</f>
        <v>Not Meet Target</v>
      </c>
      <c r="N103" s="9" t="str">
        <f aca="false">IFERROR(VLOOKUP(D103,'Team Member List'!B:C,2,0),"")</f>
        <v>TL Lindgren</v>
      </c>
      <c r="O103" s="9" t="s">
        <v>2408</v>
      </c>
    </row>
    <row r="104" customFormat="false" ht="15" hidden="false" customHeight="false" outlineLevel="0" collapsed="false">
      <c r="A104" s="9" t="s">
        <v>66</v>
      </c>
      <c r="B104" s="10"/>
      <c r="C104" s="9" t="s">
        <v>2388</v>
      </c>
      <c r="D104" s="9" t="s">
        <v>2388</v>
      </c>
      <c r="E104" s="9" t="s">
        <v>2009</v>
      </c>
      <c r="F104" s="9" t="s">
        <v>2012</v>
      </c>
      <c r="G104" s="9" t="s">
        <v>2012</v>
      </c>
      <c r="H104" s="9" t="s">
        <v>267</v>
      </c>
      <c r="I104" s="9" t="str">
        <f aca="false">TRIM(A104) &amp; TRIM(F104) &amp; TRIM(H104)</f>
        <v>Posted RecallTrial Install Android AppID</v>
      </c>
      <c r="J104" s="9" t="n">
        <f aca="false">IFERROR(VLOOKUP(I104,'WFM Q4 Target'!J:K,2,0),"-")</f>
        <v>532.764</v>
      </c>
      <c r="K104" s="9" t="n">
        <v>217.7106</v>
      </c>
      <c r="L104" s="9" t="n">
        <v>1128.6357</v>
      </c>
      <c r="M104" s="9" t="str">
        <f aca="false">IFERROR(IF(K104&gt;J104,"Not Meet Target","Meet Target"),"-")</f>
        <v>Meet Target</v>
      </c>
      <c r="N104" s="9" t="str">
        <f aca="false">IFERROR(VLOOKUP(D104,'Team Member List'!B:C,2,0),"")</f>
        <v>TL Cabrera</v>
      </c>
      <c r="O104" s="9" t="s">
        <v>2408</v>
      </c>
    </row>
    <row r="105" customFormat="false" ht="15" hidden="false" customHeight="false" outlineLevel="0" collapsed="false">
      <c r="A105" s="9" t="s">
        <v>66</v>
      </c>
      <c r="B105" s="10"/>
      <c r="C105" s="9"/>
      <c r="D105" s="9" t="s">
        <v>2388</v>
      </c>
      <c r="E105" s="9"/>
      <c r="F105" s="9" t="s">
        <v>2010</v>
      </c>
      <c r="G105" s="9" t="s">
        <v>2010</v>
      </c>
      <c r="H105" s="9" t="s">
        <v>95</v>
      </c>
      <c r="I105" s="9" t="str">
        <f aca="false">TRIM(A105) &amp; TRIM(F105) &amp; TRIM(H105)</f>
        <v>Posted RecallTrial Install IOS AppVN</v>
      </c>
      <c r="J105" s="9" t="str">
        <f aca="false">IFERROR(VLOOKUP(I105,'WFM Q4 Target'!J:K,2,0),"-")</f>
        <v>-</v>
      </c>
      <c r="K105" s="9" t="n">
        <v>109.7519</v>
      </c>
      <c r="L105" s="9" t="n">
        <v>212.274</v>
      </c>
      <c r="M105" s="9" t="str">
        <f aca="false">IFERROR(IF(K105&gt;J105,"Not Meet Target","Meet Target"),"-")</f>
        <v>Meet Target</v>
      </c>
      <c r="N105" s="9" t="str">
        <f aca="false">IFERROR(VLOOKUP(D105,'Team Member List'!B:C,2,0),"")</f>
        <v>TL Cabrera</v>
      </c>
      <c r="O105" s="9" t="s">
        <v>2408</v>
      </c>
    </row>
    <row r="106" customFormat="false" ht="15" hidden="false" customHeight="false" outlineLevel="0" collapsed="false">
      <c r="A106" s="9" t="s">
        <v>66</v>
      </c>
      <c r="B106" s="10"/>
      <c r="C106" s="9" t="s">
        <v>2333</v>
      </c>
      <c r="D106" s="9" t="s">
        <v>2333</v>
      </c>
      <c r="E106" s="9" t="s">
        <v>56</v>
      </c>
      <c r="F106" s="9" t="s">
        <v>57</v>
      </c>
      <c r="G106" s="9" t="s">
        <v>57</v>
      </c>
      <c r="H106" s="9" t="s">
        <v>267</v>
      </c>
      <c r="I106" s="9" t="str">
        <f aca="false">TRIM(A106) &amp; TRIM(F106) &amp; TRIM(H106)</f>
        <v>Posted RecallBid Ad GroupID</v>
      </c>
      <c r="J106" s="9" t="n">
        <f aca="false">IFERROR(VLOOKUP(I106,'WFM Q4 Target'!J:K,2,0),"-")</f>
        <v>152.274</v>
      </c>
      <c r="K106" s="9" t="n">
        <v>113.1242</v>
      </c>
      <c r="L106" s="9" t="n">
        <v>75.512</v>
      </c>
      <c r="M106" s="9" t="str">
        <f aca="false">IFERROR(IF(K106&gt;J106,"Not Meet Target","Meet Target"),"-")</f>
        <v>Meet Target</v>
      </c>
      <c r="N106" s="9" t="str">
        <f aca="false">IFERROR(VLOOKUP(D106,'Team Member List'!B:C,2,0),"")</f>
        <v>TL Ramirez</v>
      </c>
      <c r="O106" s="9" t="s">
        <v>2408</v>
      </c>
    </row>
    <row r="107" customFormat="false" ht="15" hidden="false" customHeight="false" outlineLevel="0" collapsed="false">
      <c r="A107" s="9" t="s">
        <v>66</v>
      </c>
      <c r="B107" s="10"/>
      <c r="C107" s="9"/>
      <c r="D107" s="9" t="s">
        <v>2333</v>
      </c>
      <c r="E107" s="9"/>
      <c r="F107" s="9" t="s">
        <v>75</v>
      </c>
      <c r="G107" s="9" t="s">
        <v>75</v>
      </c>
      <c r="H107" s="9" t="s">
        <v>267</v>
      </c>
      <c r="I107" s="9" t="str">
        <f aca="false">TRIM(A107) &amp; TRIM(F107) &amp; TRIM(H107)</f>
        <v>Posted RecallBid Ecom Ads GroupID</v>
      </c>
      <c r="J107" s="9" t="n">
        <f aca="false">IFERROR(VLOOKUP(I107,'WFM Q4 Target'!J:K,2,0),"-")</f>
        <v>74.658</v>
      </c>
      <c r="K107" s="9" t="n">
        <v>113.5432</v>
      </c>
      <c r="L107" s="9" t="n">
        <v>61.2593</v>
      </c>
      <c r="M107" s="9" t="str">
        <f aca="false">IFERROR(IF(K107&gt;J107,"Not Meet Target","Meet Target"),"-")</f>
        <v>Not Meet Target</v>
      </c>
      <c r="N107" s="9" t="str">
        <f aca="false">IFERROR(VLOOKUP(D107,'Team Member List'!B:C,2,0),"")</f>
        <v>TL Ramirez</v>
      </c>
      <c r="O107" s="9" t="s">
        <v>2408</v>
      </c>
    </row>
    <row r="108" customFormat="false" ht="15" hidden="false" customHeight="false" outlineLevel="0" collapsed="false">
      <c r="A108" s="9" t="s">
        <v>66</v>
      </c>
      <c r="B108" s="10"/>
      <c r="C108" s="9" t="s">
        <v>2331</v>
      </c>
      <c r="D108" s="9" t="s">
        <v>2331</v>
      </c>
      <c r="E108" s="9" t="s">
        <v>56</v>
      </c>
      <c r="F108" s="9" t="s">
        <v>57</v>
      </c>
      <c r="G108" s="9" t="s">
        <v>57</v>
      </c>
      <c r="H108" s="9" t="s">
        <v>255</v>
      </c>
      <c r="I108" s="9" t="str">
        <f aca="false">TRIM(A108) &amp; TRIM(F108) &amp; TRIM(H108)</f>
        <v>Posted RecallBid Ad GroupNZ</v>
      </c>
      <c r="J108" s="9" t="n">
        <f aca="false">IFERROR(VLOOKUP(I108,'WFM Q4 Target'!J:K,2,0),"-")</f>
        <v>107.808</v>
      </c>
      <c r="K108" s="9" t="n">
        <v>135.3066</v>
      </c>
      <c r="L108" s="9" t="n">
        <v>79.1194</v>
      </c>
      <c r="M108" s="9" t="str">
        <f aca="false">IFERROR(IF(K108&gt;J108,"Not Meet Target","Meet Target"),"-")</f>
        <v>Not Meet Target</v>
      </c>
      <c r="N108" s="9" t="str">
        <f aca="false">IFERROR(VLOOKUP(D108,'Team Member List'!B:C,2,0),"")</f>
        <v>TL Ramirez</v>
      </c>
      <c r="O108" s="9" t="s">
        <v>2408</v>
      </c>
    </row>
    <row r="109" customFormat="false" ht="15" hidden="false" customHeight="false" outlineLevel="0" collapsed="false">
      <c r="A109" s="9" t="s">
        <v>66</v>
      </c>
      <c r="B109" s="10"/>
      <c r="C109" s="9" t="s">
        <v>2334</v>
      </c>
      <c r="D109" s="9" t="s">
        <v>2334</v>
      </c>
      <c r="E109" s="9" t="s">
        <v>1136</v>
      </c>
      <c r="F109" s="9" t="s">
        <v>1141</v>
      </c>
      <c r="G109" s="9" t="s">
        <v>1141</v>
      </c>
      <c r="H109" s="9" t="s">
        <v>267</v>
      </c>
      <c r="I109" s="9" t="str">
        <f aca="false">TRIM(A109) &amp; TRIM(F109) &amp; TRIM(H109)</f>
        <v>Posted RecallPro Account 3P Lead Gen AnchorID</v>
      </c>
      <c r="J109" s="9" t="str">
        <f aca="false">IFERROR(VLOOKUP(I109,'WFM Q4 Target'!J:K,2,0),"-")</f>
        <v>-</v>
      </c>
      <c r="K109" s="9" t="n">
        <v>137.8071</v>
      </c>
      <c r="L109" s="9" t="n">
        <v>0</v>
      </c>
      <c r="M109" s="9" t="str">
        <f aca="false">IFERROR(IF(K109&gt;J109,"Not Meet Target","Meet Target"),"-")</f>
        <v>Meet Target</v>
      </c>
      <c r="N109" s="9" t="str">
        <f aca="false">IFERROR(VLOOKUP(D109,'Team Member List'!B:C,2,0),"")</f>
        <v>TL Ramirez</v>
      </c>
      <c r="O109" s="9" t="s">
        <v>2408</v>
      </c>
    </row>
    <row r="110" customFormat="false" ht="15" hidden="false" customHeight="false" outlineLevel="0" collapsed="false">
      <c r="A110" s="9" t="s">
        <v>66</v>
      </c>
      <c r="B110" s="10"/>
      <c r="C110" s="9"/>
      <c r="D110" s="9" t="s">
        <v>2334</v>
      </c>
      <c r="E110" s="9" t="s">
        <v>1828</v>
      </c>
      <c r="F110" s="9" t="s">
        <v>1829</v>
      </c>
      <c r="G110" s="9" t="s">
        <v>1829</v>
      </c>
      <c r="H110" s="9" t="s">
        <v>267</v>
      </c>
      <c r="I110" s="9" t="str">
        <f aca="false">TRIM(A110) &amp; TRIM(F110) &amp; TRIM(H110)</f>
        <v>Posted RecallDynamic Catalog WholeProdID</v>
      </c>
      <c r="J110" s="9" t="n">
        <f aca="false">IFERROR(VLOOKUP(I110,'WFM Q4 Target'!J:K,2,0),"-")</f>
        <v>46.53</v>
      </c>
      <c r="K110" s="9" t="n">
        <v>154.009</v>
      </c>
      <c r="L110" s="9" t="n">
        <v>0</v>
      </c>
      <c r="M110" s="9" t="str">
        <f aca="false">IFERROR(IF(K110&gt;J110,"Not Meet Target","Meet Target"),"-")</f>
        <v>Not Meet Target</v>
      </c>
      <c r="N110" s="9" t="str">
        <f aca="false">IFERROR(VLOOKUP(D110,'Team Member List'!B:C,2,0),"")</f>
        <v>TL Ramirez</v>
      </c>
      <c r="O110" s="9" t="s">
        <v>2408</v>
      </c>
    </row>
    <row r="111" customFormat="false" ht="15" hidden="false" customHeight="false" outlineLevel="0" collapsed="false">
      <c r="A111" s="9" t="s">
        <v>66</v>
      </c>
      <c r="B111" s="10"/>
      <c r="C111" s="9" t="s">
        <v>2363</v>
      </c>
      <c r="D111" s="9" t="s">
        <v>2363</v>
      </c>
      <c r="E111" s="9" t="s">
        <v>56</v>
      </c>
      <c r="F111" s="9" t="s">
        <v>57</v>
      </c>
      <c r="G111" s="9" t="s">
        <v>57</v>
      </c>
      <c r="H111" s="9" t="s">
        <v>235</v>
      </c>
      <c r="I111" s="9" t="str">
        <f aca="false">TRIM(A111) &amp; TRIM(F111) &amp; TRIM(H111)</f>
        <v>Posted RecallBid Ad GroupJP</v>
      </c>
      <c r="J111" s="9" t="n">
        <f aca="false">IFERROR(VLOOKUP(I111,'WFM Q4 Target'!J:K,2,0),"-")</f>
        <v>100.644</v>
      </c>
      <c r="K111" s="9" t="n">
        <v>122.4481</v>
      </c>
      <c r="L111" s="9" t="n">
        <v>137.6818</v>
      </c>
      <c r="M111" s="9" t="str">
        <f aca="false">IFERROR(IF(K111&gt;J111,"Not Meet Target","Meet Target"),"-")</f>
        <v>Not Meet Target</v>
      </c>
      <c r="N111" s="9" t="str">
        <f aca="false">IFERROR(VLOOKUP(D111,'Team Member List'!B:C,2,0),"")</f>
        <v>TL Okafor</v>
      </c>
      <c r="O111" s="9" t="s">
        <v>2408</v>
      </c>
    </row>
  </sheetData>
  <mergeCells count="16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N3:N4"/>
    <mergeCell ref="O3:O4"/>
  </mergeCells>
  <conditionalFormatting sqref="M5:M111">
    <cfRule type="containsText" priority="2" operator="containsText" aboveAverage="0" equalAverage="0" bottom="0" percent="0" rank="0" text="Not Meet Target" dxfId="0">
      <formula>NOT(ISERROR(SEARCH("Not Meet Target",M5)))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2398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2399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8" t="s">
        <v>8</v>
      </c>
      <c r="B3" s="8" t="s">
        <v>8</v>
      </c>
      <c r="C3" s="8" t="s">
        <v>2400</v>
      </c>
      <c r="D3" s="8" t="s">
        <v>2401</v>
      </c>
      <c r="E3" s="8" t="s">
        <v>5</v>
      </c>
      <c r="F3" s="8" t="s">
        <v>6</v>
      </c>
      <c r="G3" s="8" t="s">
        <v>6</v>
      </c>
      <c r="H3" s="8" t="s">
        <v>7</v>
      </c>
      <c r="I3" s="8" t="s">
        <v>13</v>
      </c>
      <c r="J3" s="8" t="s">
        <v>2402</v>
      </c>
      <c r="K3" s="8" t="s">
        <v>2411</v>
      </c>
      <c r="L3" s="8"/>
      <c r="M3" s="8" t="s">
        <v>2404</v>
      </c>
      <c r="N3" s="8" t="s">
        <v>2321</v>
      </c>
      <c r="O3" s="8" t="s">
        <v>2405</v>
      </c>
    </row>
    <row r="4" customFormat="false" ht="23.8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5" t="s">
        <v>2406</v>
      </c>
      <c r="L4" s="3" t="s">
        <v>2407</v>
      </c>
      <c r="M4" s="8"/>
      <c r="N4" s="8"/>
      <c r="O4" s="8"/>
    </row>
    <row r="5" customFormat="false" ht="15" hidden="false" customHeight="false" outlineLevel="0" collapsed="false">
      <c r="A5" s="9" t="s">
        <v>63</v>
      </c>
      <c r="B5" s="10"/>
      <c r="C5" s="9" t="s">
        <v>2393</v>
      </c>
      <c r="D5" s="9" t="s">
        <v>2393</v>
      </c>
      <c r="E5" s="9" t="s">
        <v>973</v>
      </c>
      <c r="F5" s="9" t="s">
        <v>979</v>
      </c>
      <c r="G5" s="9" t="s">
        <v>979</v>
      </c>
      <c r="H5" s="9" t="s">
        <v>106</v>
      </c>
      <c r="I5" s="9" t="str">
        <f aca="false">TRIM(A5) &amp; TRIM(F5) &amp; TRIM(H5)</f>
        <v>First ReviewBooking Ads Pre ApprovalMY</v>
      </c>
      <c r="J5" s="9" t="n">
        <f aca="false">IFERROR(VLOOKUP(I5,'WFM Q4 Target'!J:K,2,0),"-")</f>
        <v>91.824</v>
      </c>
      <c r="K5" s="9" t="n">
        <v>214.4682</v>
      </c>
      <c r="L5" s="9" t="n">
        <v>18.5662</v>
      </c>
      <c r="M5" s="9" t="str">
        <f aca="false">IFERROR(IF(K5&gt;J5,"Not Meet Target","Meet Target"),"-")</f>
        <v>Not Meet Target</v>
      </c>
      <c r="N5" s="9" t="str">
        <f aca="false">IFERROR(VLOOKUP(D5,'Team Member List'!B:C,2,0),"")</f>
        <v>TL Cabrera</v>
      </c>
      <c r="O5" s="9" t="s">
        <v>2408</v>
      </c>
    </row>
    <row r="6" customFormat="false" ht="15" hidden="false" customHeight="false" outlineLevel="0" collapsed="false">
      <c r="A6" s="9" t="s">
        <v>63</v>
      </c>
      <c r="B6" s="10"/>
      <c r="C6" s="9"/>
      <c r="D6" s="9" t="s">
        <v>2393</v>
      </c>
      <c r="E6" s="9"/>
      <c r="F6" s="9" t="s">
        <v>979</v>
      </c>
      <c r="G6" s="9"/>
      <c r="H6" s="9" t="s">
        <v>190</v>
      </c>
      <c r="I6" s="9" t="str">
        <f aca="false">TRIM(A6) &amp; TRIM(F6) &amp; TRIM(H6)</f>
        <v>First ReviewBooking Ads Pre ApprovalPH</v>
      </c>
      <c r="J6" s="9" t="n">
        <f aca="false">IFERROR(VLOOKUP(I6,'WFM Q4 Target'!J:K,2,0),"-")</f>
        <v>151.176</v>
      </c>
      <c r="K6" s="9" t="n">
        <v>282.1479</v>
      </c>
      <c r="L6" s="9" t="n">
        <v>21.6812</v>
      </c>
      <c r="M6" s="9" t="str">
        <f aca="false">IFERROR(IF(K6&gt;J6,"Not Meet Target","Meet Target"),"-")</f>
        <v>Not Meet Target</v>
      </c>
      <c r="N6" s="9" t="str">
        <f aca="false">IFERROR(VLOOKUP(D6,'Team Member List'!B:C,2,0),"")</f>
        <v>TL Cabrera</v>
      </c>
      <c r="O6" s="9" t="s">
        <v>2408</v>
      </c>
    </row>
    <row r="7" customFormat="false" ht="15" hidden="false" customHeight="false" outlineLevel="0" collapsed="false">
      <c r="A7" s="9" t="s">
        <v>63</v>
      </c>
      <c r="B7" s="10"/>
      <c r="C7" s="9"/>
      <c r="D7" s="9" t="s">
        <v>2393</v>
      </c>
      <c r="E7" s="9"/>
      <c r="F7" s="9" t="s">
        <v>974</v>
      </c>
      <c r="G7" s="9" t="s">
        <v>974</v>
      </c>
      <c r="H7" s="9" t="s">
        <v>190</v>
      </c>
      <c r="I7" s="9" t="str">
        <f aca="false">TRIM(A7) &amp; TRIM(F7) &amp; TRIM(H7)</f>
        <v>First ReviewHighlight ViewPH</v>
      </c>
      <c r="J7" s="9" t="n">
        <f aca="false">IFERROR(VLOOKUP(I7,'WFM Q4 Target'!J:K,2,0),"-")</f>
        <v>469.32</v>
      </c>
      <c r="K7" s="9" t="n">
        <v>381.2682</v>
      </c>
      <c r="L7" s="9" t="n">
        <v>157.9353</v>
      </c>
      <c r="M7" s="9" t="str">
        <f aca="false">IFERROR(IF(K7&gt;J7,"Not Meet Target","Meet Target"),"-")</f>
        <v>Meet Target</v>
      </c>
      <c r="N7" s="9" t="str">
        <f aca="false">IFERROR(VLOOKUP(D7,'Team Member List'!B:C,2,0),"")</f>
        <v>TL Cabrera</v>
      </c>
      <c r="O7" s="9" t="s">
        <v>2408</v>
      </c>
    </row>
    <row r="8" customFormat="false" ht="15" hidden="false" customHeight="false" outlineLevel="0" collapsed="false">
      <c r="A8" s="9" t="s">
        <v>63</v>
      </c>
      <c r="B8" s="10"/>
      <c r="C8" s="9"/>
      <c r="D8" s="9" t="s">
        <v>2393</v>
      </c>
      <c r="E8" s="9"/>
      <c r="F8" s="9" t="s">
        <v>974</v>
      </c>
      <c r="G8" s="9"/>
      <c r="H8" s="9" t="s">
        <v>58</v>
      </c>
      <c r="I8" s="9" t="str">
        <f aca="false">TRIM(A8) &amp; TRIM(F8) &amp; TRIM(H8)</f>
        <v>First ReviewHighlight ViewSG</v>
      </c>
      <c r="J8" s="9" t="n">
        <f aca="false">IFERROR(VLOOKUP(I8,'WFM Q4 Target'!J:K,2,0),"-")</f>
        <v>225.912</v>
      </c>
      <c r="K8" s="9" t="n">
        <v>120.1627</v>
      </c>
      <c r="L8" s="9" t="n">
        <v>0</v>
      </c>
      <c r="M8" s="9" t="str">
        <f aca="false">IFERROR(IF(K8&gt;J8,"Not Meet Target","Meet Target"),"-")</f>
        <v>Meet Target</v>
      </c>
      <c r="N8" s="9" t="str">
        <f aca="false">IFERROR(VLOOKUP(D8,'Team Member List'!B:C,2,0),"")</f>
        <v>TL Cabrera</v>
      </c>
      <c r="O8" s="9" t="s">
        <v>2408</v>
      </c>
    </row>
    <row r="9" customFormat="false" ht="15" hidden="false" customHeight="false" outlineLevel="0" collapsed="false">
      <c r="A9" s="9" t="s">
        <v>63</v>
      </c>
      <c r="B9" s="10"/>
      <c r="C9" s="9"/>
      <c r="D9" s="9" t="s">
        <v>2393</v>
      </c>
      <c r="E9" s="9" t="s">
        <v>1432</v>
      </c>
      <c r="F9" s="9" t="s">
        <v>1498</v>
      </c>
      <c r="G9" s="9" t="s">
        <v>1498</v>
      </c>
      <c r="H9" s="9" t="s">
        <v>190</v>
      </c>
      <c r="I9" s="9" t="str">
        <f aca="false">TRIM(A9) &amp; TRIM(F9) &amp; TRIM(H9)</f>
        <v>First ReviewBE Adv CampaignPH</v>
      </c>
      <c r="J9" s="9" t="n">
        <f aca="false">IFERROR(VLOOKUP(I9,'WFM Q4 Target'!J:K,2,0),"-")</f>
        <v>77.454</v>
      </c>
      <c r="K9" s="9" t="n">
        <v>316.0179</v>
      </c>
      <c r="L9" s="9" t="n">
        <v>0</v>
      </c>
      <c r="M9" s="9" t="str">
        <f aca="false">IFERROR(IF(K9&gt;J9,"Not Meet Target","Meet Target"),"-")</f>
        <v>Not Meet Target</v>
      </c>
      <c r="N9" s="9" t="str">
        <f aca="false">IFERROR(VLOOKUP(D9,'Team Member List'!B:C,2,0),"")</f>
        <v>TL Cabrera</v>
      </c>
      <c r="O9" s="9" t="s">
        <v>2408</v>
      </c>
    </row>
    <row r="10" customFormat="false" ht="15" hidden="false" customHeight="false" outlineLevel="0" collapsed="false">
      <c r="A10" s="9" t="s">
        <v>63</v>
      </c>
      <c r="B10" s="10"/>
      <c r="C10" s="9"/>
      <c r="D10" s="9" t="s">
        <v>2393</v>
      </c>
      <c r="E10" s="9"/>
      <c r="F10" s="9" t="s">
        <v>1502</v>
      </c>
      <c r="G10" s="9" t="s">
        <v>1502</v>
      </c>
      <c r="H10" s="9" t="s">
        <v>190</v>
      </c>
      <c r="I10" s="9" t="str">
        <f aca="false">TRIM(A10) &amp; TRIM(F10) &amp; TRIM(H10)</f>
        <v>First ReviewBE Adv VideoPH</v>
      </c>
      <c r="J10" s="9" t="n">
        <f aca="false">IFERROR(VLOOKUP(I10,'WFM Q4 Target'!J:K,2,0),"-")</f>
        <v>6.606</v>
      </c>
      <c r="K10" s="9" t="n">
        <v>351.6912</v>
      </c>
      <c r="L10" s="9" t="n">
        <v>31.6412</v>
      </c>
      <c r="M10" s="9" t="str">
        <f aca="false">IFERROR(IF(K10&gt;J10,"Not Meet Target","Meet Target"),"-")</f>
        <v>Not Meet Target</v>
      </c>
      <c r="N10" s="9" t="str">
        <f aca="false">IFERROR(VLOOKUP(D10,'Team Member List'!B:C,2,0),"")</f>
        <v>TL Cabrera</v>
      </c>
      <c r="O10" s="9" t="s">
        <v>2408</v>
      </c>
    </row>
    <row r="11" customFormat="false" ht="15" hidden="false" customHeight="false" outlineLevel="0" collapsed="false">
      <c r="A11" s="9" t="s">
        <v>63</v>
      </c>
      <c r="B11" s="10"/>
      <c r="C11" s="9"/>
      <c r="D11" s="9" t="s">
        <v>2393</v>
      </c>
      <c r="E11" s="9"/>
      <c r="F11" s="9" t="s">
        <v>1440</v>
      </c>
      <c r="G11" s="9" t="s">
        <v>1440</v>
      </c>
      <c r="H11" s="9" t="s">
        <v>190</v>
      </c>
      <c r="I11" s="9" t="str">
        <f aca="false">TRIM(A11) &amp; TRIM(F11) &amp; TRIM(H11)</f>
        <v>First ReviewHTC Adv CampaignPH</v>
      </c>
      <c r="J11" s="9" t="n">
        <f aca="false">IFERROR(VLOOKUP(I11,'WFM Q4 Target'!J:K,2,0),"-")</f>
        <v>142.656</v>
      </c>
      <c r="K11" s="9" t="n">
        <v>466.1188</v>
      </c>
      <c r="L11" s="9" t="n">
        <v>0</v>
      </c>
      <c r="M11" s="9" t="str">
        <f aca="false">IFERROR(IF(K11&gt;J11,"Not Meet Target","Meet Target"),"-")</f>
        <v>Not Meet Target</v>
      </c>
      <c r="N11" s="9" t="str">
        <f aca="false">IFERROR(VLOOKUP(D11,'Team Member List'!B:C,2,0),"")</f>
        <v>TL Cabrera</v>
      </c>
      <c r="O11" s="9" t="s">
        <v>2408</v>
      </c>
    </row>
    <row r="12" customFormat="false" ht="15" hidden="false" customHeight="false" outlineLevel="0" collapsed="false">
      <c r="A12" s="9" t="s">
        <v>63</v>
      </c>
      <c r="B12" s="10"/>
      <c r="C12" s="9"/>
      <c r="D12" s="9" t="s">
        <v>2393</v>
      </c>
      <c r="E12" s="9"/>
      <c r="F12" s="9" t="s">
        <v>1458</v>
      </c>
      <c r="G12" s="9" t="s">
        <v>1458</v>
      </c>
      <c r="H12" s="9" t="s">
        <v>190</v>
      </c>
      <c r="I12" s="9" t="str">
        <f aca="false">TRIM(A12) &amp; TRIM(F12) &amp; TRIM(H12)</f>
        <v>First ReviewHTC Adv VideoPH</v>
      </c>
      <c r="J12" s="9" t="n">
        <f aca="false">IFERROR(VLOOKUP(I12,'WFM Q4 Target'!J:K,2,0),"-")</f>
        <v>29.562</v>
      </c>
      <c r="K12" s="9" t="n">
        <v>451.0152</v>
      </c>
      <c r="L12" s="9" t="n">
        <v>35.0741</v>
      </c>
      <c r="M12" s="9" t="str">
        <f aca="false">IFERROR(IF(K12&gt;J12,"Not Meet Target","Meet Target"),"-")</f>
        <v>Not Meet Target</v>
      </c>
      <c r="N12" s="9" t="str">
        <f aca="false">IFERROR(VLOOKUP(D12,'Team Member List'!B:C,2,0),"")</f>
        <v>TL Cabrera</v>
      </c>
      <c r="O12" s="9" t="s">
        <v>2408</v>
      </c>
    </row>
    <row r="13" customFormat="false" ht="15" hidden="false" customHeight="false" outlineLevel="0" collapsed="false">
      <c r="A13" s="9" t="s">
        <v>63</v>
      </c>
      <c r="B13" s="10"/>
      <c r="C13" s="9"/>
      <c r="D13" s="9" t="s">
        <v>2393</v>
      </c>
      <c r="E13" s="9"/>
      <c r="F13" s="9" t="s">
        <v>1438</v>
      </c>
      <c r="G13" s="9" t="s">
        <v>1438</v>
      </c>
      <c r="H13" s="9" t="s">
        <v>190</v>
      </c>
      <c r="I13" s="9" t="str">
        <f aca="false">TRIM(A13) &amp; TRIM(F13) &amp; TRIM(H13)</f>
        <v>First ReviewQuest Adv VideoPH</v>
      </c>
      <c r="J13" s="9" t="n">
        <f aca="false">IFERROR(VLOOKUP(I13,'WFM Q4 Target'!J:K,2,0),"-")</f>
        <v>13.278</v>
      </c>
      <c r="K13" s="9" t="n">
        <v>357.1996</v>
      </c>
      <c r="L13" s="9" t="n">
        <v>40.4655</v>
      </c>
      <c r="M13" s="9" t="str">
        <f aca="false">IFERROR(IF(K13&gt;J13,"Not Meet Target","Meet Target"),"-")</f>
        <v>Not Meet Target</v>
      </c>
      <c r="N13" s="9" t="str">
        <f aca="false">IFERROR(VLOOKUP(D13,'Team Member List'!B:C,2,0),"")</f>
        <v>TL Cabrera</v>
      </c>
      <c r="O13" s="9" t="s">
        <v>2408</v>
      </c>
    </row>
    <row r="14" customFormat="false" ht="15" hidden="false" customHeight="false" outlineLevel="0" collapsed="false">
      <c r="A14" s="9" t="s">
        <v>63</v>
      </c>
      <c r="B14" s="10"/>
      <c r="C14" s="9" t="s">
        <v>2325</v>
      </c>
      <c r="D14" s="9" t="s">
        <v>2325</v>
      </c>
      <c r="E14" s="9" t="s">
        <v>973</v>
      </c>
      <c r="F14" s="9" t="s">
        <v>974</v>
      </c>
      <c r="G14" s="9" t="s">
        <v>974</v>
      </c>
      <c r="H14" s="9" t="s">
        <v>208</v>
      </c>
      <c r="I14" s="9" t="str">
        <f aca="false">TRIM(A14) &amp; TRIM(F14) &amp; TRIM(H14)</f>
        <v>First ReviewHighlight ViewCO</v>
      </c>
      <c r="J14" s="9" t="n">
        <f aca="false">IFERROR(VLOOKUP(I14,'WFM Q4 Target'!J:K,2,0),"-")</f>
        <v>513.444</v>
      </c>
      <c r="K14" s="9" t="n">
        <v>762.4357</v>
      </c>
      <c r="L14" s="9" t="n">
        <v>0</v>
      </c>
      <c r="M14" s="9" t="str">
        <f aca="false">IFERROR(IF(K14&gt;J14,"Not Meet Target","Meet Target"),"-")</f>
        <v>Not Meet Target</v>
      </c>
      <c r="N14" s="9" t="str">
        <f aca="false">IFERROR(VLOOKUP(D14,'Team Member List'!B:C,2,0),"")</f>
        <v>TL Ramirez</v>
      </c>
      <c r="O14" s="9" t="s">
        <v>2408</v>
      </c>
    </row>
    <row r="15" customFormat="false" ht="15" hidden="false" customHeight="false" outlineLevel="0" collapsed="false">
      <c r="A15" s="9" t="s">
        <v>63</v>
      </c>
      <c r="B15" s="10"/>
      <c r="C15" s="9"/>
      <c r="D15" s="9" t="s">
        <v>2325</v>
      </c>
      <c r="E15" s="9"/>
      <c r="F15" s="9" t="s">
        <v>974</v>
      </c>
      <c r="G15" s="9"/>
      <c r="H15" s="9" t="s">
        <v>275</v>
      </c>
      <c r="I15" s="9" t="str">
        <f aca="false">TRIM(A15) &amp; TRIM(F15) &amp; TRIM(H15)</f>
        <v>First ReviewHighlight ViewGB</v>
      </c>
      <c r="J15" s="9" t="n">
        <f aca="false">IFERROR(VLOOKUP(I15,'WFM Q4 Target'!J:K,2,0),"-")</f>
        <v>151.884</v>
      </c>
      <c r="K15" s="9" t="n">
        <v>731.1806</v>
      </c>
      <c r="L15" s="9" t="n">
        <v>0</v>
      </c>
      <c r="M15" s="9" t="str">
        <f aca="false">IFERROR(IF(K15&gt;J15,"Not Meet Target","Meet Target"),"-")</f>
        <v>Not Meet Target</v>
      </c>
      <c r="N15" s="9" t="str">
        <f aca="false">IFERROR(VLOOKUP(D15,'Team Member List'!B:C,2,0),"")</f>
        <v>TL Ramirez</v>
      </c>
      <c r="O15" s="9" t="s">
        <v>2408</v>
      </c>
    </row>
    <row r="16" customFormat="false" ht="15" hidden="false" customHeight="false" outlineLevel="0" collapsed="false">
      <c r="A16" s="9" t="s">
        <v>63</v>
      </c>
      <c r="B16" s="10"/>
      <c r="C16" s="9"/>
      <c r="D16" s="9" t="s">
        <v>2325</v>
      </c>
      <c r="E16" s="9"/>
      <c r="F16" s="9" t="s">
        <v>974</v>
      </c>
      <c r="G16" s="9"/>
      <c r="H16" s="9" t="s">
        <v>267</v>
      </c>
      <c r="I16" s="9" t="str">
        <f aca="false">TRIM(A16) &amp; TRIM(F16) &amp; TRIM(H16)</f>
        <v>First ReviewHighlight ViewID</v>
      </c>
      <c r="J16" s="9" t="n">
        <f aca="false">IFERROR(VLOOKUP(I16,'WFM Q4 Target'!J:K,2,0),"-")</f>
        <v>590.502</v>
      </c>
      <c r="K16" s="9" t="n">
        <v>156.6612</v>
      </c>
      <c r="L16" s="9" t="n">
        <v>7.7121</v>
      </c>
      <c r="M16" s="9" t="str">
        <f aca="false">IFERROR(IF(K16&gt;J16,"Not Meet Target","Meet Target"),"-")</f>
        <v>Meet Target</v>
      </c>
      <c r="N16" s="9" t="str">
        <f aca="false">IFERROR(VLOOKUP(D16,'Team Member List'!B:C,2,0),"")</f>
        <v>TL Ramirez</v>
      </c>
      <c r="O16" s="9" t="s">
        <v>2408</v>
      </c>
    </row>
    <row r="17" customFormat="false" ht="15" hidden="false" customHeight="false" outlineLevel="0" collapsed="false">
      <c r="A17" s="9" t="s">
        <v>63</v>
      </c>
      <c r="B17" s="10"/>
      <c r="C17" s="9" t="s">
        <v>2354</v>
      </c>
      <c r="D17" s="9" t="s">
        <v>2354</v>
      </c>
      <c r="E17" s="9" t="s">
        <v>973</v>
      </c>
      <c r="F17" s="9" t="s">
        <v>979</v>
      </c>
      <c r="G17" s="9" t="s">
        <v>979</v>
      </c>
      <c r="H17" s="9" t="s">
        <v>97</v>
      </c>
      <c r="I17" s="9" t="str">
        <f aca="false">TRIM(A17) &amp; TRIM(F17) &amp; TRIM(H17)</f>
        <v>First ReviewBooking Ads Pre ApprovalBR</v>
      </c>
      <c r="J17" s="9" t="n">
        <f aca="false">IFERROR(VLOOKUP(I17,'WFM Q4 Target'!J:K,2,0),"-")</f>
        <v>1137.432</v>
      </c>
      <c r="K17" s="9" t="n">
        <v>125.6088</v>
      </c>
      <c r="L17" s="9" t="n">
        <v>73.83</v>
      </c>
      <c r="M17" s="9" t="str">
        <f aca="false">IFERROR(IF(K17&gt;J17,"Not Meet Target","Meet Target"),"-")</f>
        <v>Meet Target</v>
      </c>
      <c r="N17" s="9" t="str">
        <f aca="false">IFERROR(VLOOKUP(D17,'Team Member List'!B:C,2,0),"")</f>
        <v>TL Lindgren</v>
      </c>
      <c r="O17" s="9" t="s">
        <v>2408</v>
      </c>
    </row>
    <row r="18" customFormat="false" ht="15" hidden="false" customHeight="false" outlineLevel="0" collapsed="false">
      <c r="A18" s="9" t="s">
        <v>63</v>
      </c>
      <c r="B18" s="10"/>
      <c r="C18" s="9" t="s">
        <v>2388</v>
      </c>
      <c r="D18" s="9" t="s">
        <v>2388</v>
      </c>
      <c r="E18" s="9" t="s">
        <v>973</v>
      </c>
      <c r="F18" s="9" t="s">
        <v>974</v>
      </c>
      <c r="G18" s="9" t="s">
        <v>974</v>
      </c>
      <c r="H18" s="9" t="s">
        <v>62</v>
      </c>
      <c r="I18" s="9" t="str">
        <f aca="false">TRIM(A18) &amp; TRIM(F18) &amp; TRIM(H18)</f>
        <v>First ReviewHighlight ViewCL</v>
      </c>
      <c r="J18" s="9" t="n">
        <f aca="false">IFERROR(VLOOKUP(I18,'WFM Q4 Target'!J:K,2,0),"-")</f>
        <v>677.166</v>
      </c>
      <c r="K18" s="9" t="n">
        <v>1981.8708</v>
      </c>
      <c r="L18" s="9" t="n">
        <v>0</v>
      </c>
      <c r="M18" s="9" t="str">
        <f aca="false">IFERROR(IF(K18&gt;J18,"Not Meet Target","Meet Target"),"-")</f>
        <v>Not Meet Target</v>
      </c>
      <c r="N18" s="9" t="str">
        <f aca="false">IFERROR(VLOOKUP(D18,'Team Member List'!B:C,2,0),"")</f>
        <v>TL Cabrera</v>
      </c>
      <c r="O18" s="9" t="s">
        <v>2408</v>
      </c>
    </row>
    <row r="19" customFormat="false" ht="15" hidden="false" customHeight="false" outlineLevel="0" collapsed="false">
      <c r="A19" s="9" t="s">
        <v>63</v>
      </c>
      <c r="B19" s="10"/>
      <c r="C19" s="9" t="s">
        <v>2332</v>
      </c>
      <c r="D19" s="9" t="s">
        <v>2332</v>
      </c>
      <c r="E19" s="9" t="s">
        <v>56</v>
      </c>
      <c r="F19" s="9" t="s">
        <v>57</v>
      </c>
      <c r="G19" s="9" t="s">
        <v>57</v>
      </c>
      <c r="H19" s="9" t="s">
        <v>267</v>
      </c>
      <c r="I19" s="9" t="str">
        <f aca="false">TRIM(A19) &amp; TRIM(F19) &amp; TRIM(H19)</f>
        <v>First ReviewBid Ad GroupID</v>
      </c>
      <c r="J19" s="9" t="n">
        <f aca="false">IFERROR(VLOOKUP(I19,'WFM Q4 Target'!J:K,2,0),"-")</f>
        <v>118.062</v>
      </c>
      <c r="K19" s="9" t="n">
        <v>147.8476</v>
      </c>
      <c r="L19" s="9" t="n">
        <v>121.144</v>
      </c>
      <c r="M19" s="9" t="str">
        <f aca="false">IFERROR(IF(K19&gt;J19,"Not Meet Target","Meet Target"),"-")</f>
        <v>Not Meet Target</v>
      </c>
      <c r="N19" s="9" t="str">
        <f aca="false">IFERROR(VLOOKUP(D19,'Team Member List'!B:C,2,0),"")</f>
        <v>TL Ramirez</v>
      </c>
      <c r="O19" s="9" t="s">
        <v>2408</v>
      </c>
    </row>
    <row r="20" customFormat="false" ht="15" hidden="false" customHeight="false" outlineLevel="0" collapsed="false">
      <c r="A20" s="9" t="s">
        <v>63</v>
      </c>
      <c r="B20" s="10"/>
      <c r="C20" s="9"/>
      <c r="D20" s="9" t="s">
        <v>2332</v>
      </c>
      <c r="E20" s="9"/>
      <c r="F20" s="9" t="s">
        <v>78</v>
      </c>
      <c r="G20" s="9" t="s">
        <v>78</v>
      </c>
      <c r="H20" s="9" t="s">
        <v>267</v>
      </c>
      <c r="I20" s="9" t="str">
        <f aca="false">TRIM(A20) &amp; TRIM(F20) &amp; TRIM(H20)</f>
        <v>First ReviewBid VideoID</v>
      </c>
      <c r="J20" s="9" t="n">
        <f aca="false">IFERROR(VLOOKUP(I20,'WFM Q4 Target'!J:K,2,0),"-")</f>
        <v>71.064</v>
      </c>
      <c r="K20" s="9" t="n">
        <v>142.4999</v>
      </c>
      <c r="L20" s="9" t="n">
        <v>202.87</v>
      </c>
      <c r="M20" s="9" t="str">
        <f aca="false">IFERROR(IF(K20&gt;J20,"Not Meet Target","Meet Target"),"-")</f>
        <v>Not Meet Target</v>
      </c>
      <c r="N20" s="9" t="str">
        <f aca="false">IFERROR(VLOOKUP(D20,'Team Member List'!B:C,2,0),"")</f>
        <v>TL Ramirez</v>
      </c>
      <c r="O20" s="9" t="s">
        <v>2408</v>
      </c>
    </row>
    <row r="21" customFormat="false" ht="15" hidden="false" customHeight="false" outlineLevel="0" collapsed="false">
      <c r="A21" s="9" t="s">
        <v>63</v>
      </c>
      <c r="B21" s="10"/>
      <c r="C21" s="9"/>
      <c r="D21" s="9" t="s">
        <v>2332</v>
      </c>
      <c r="E21" s="9" t="s">
        <v>973</v>
      </c>
      <c r="F21" s="9" t="s">
        <v>979</v>
      </c>
      <c r="G21" s="9" t="s">
        <v>979</v>
      </c>
      <c r="H21" s="9" t="s">
        <v>267</v>
      </c>
      <c r="I21" s="9" t="str">
        <f aca="false">TRIM(A21) &amp; TRIM(F21) &amp; TRIM(H21)</f>
        <v>First ReviewBooking Ads Pre ApprovalID</v>
      </c>
      <c r="J21" s="9" t="n">
        <f aca="false">IFERROR(VLOOKUP(I21,'WFM Q4 Target'!J:K,2,0),"-")</f>
        <v>271.992</v>
      </c>
      <c r="K21" s="9" t="n">
        <v>215.7852</v>
      </c>
      <c r="L21" s="9" t="n">
        <v>11.4765</v>
      </c>
      <c r="M21" s="9" t="str">
        <f aca="false">IFERROR(IF(K21&gt;J21,"Not Meet Target","Meet Target"),"-")</f>
        <v>Meet Target</v>
      </c>
      <c r="N21" s="9" t="str">
        <f aca="false">IFERROR(VLOOKUP(D21,'Team Member List'!B:C,2,0),"")</f>
        <v>TL Ramirez</v>
      </c>
      <c r="O21" s="9" t="s">
        <v>2408</v>
      </c>
    </row>
    <row r="22" customFormat="false" ht="15" hidden="false" customHeight="false" outlineLevel="0" collapsed="false">
      <c r="A22" s="9" t="s">
        <v>63</v>
      </c>
      <c r="B22" s="10"/>
      <c r="C22" s="9"/>
      <c r="D22" s="9" t="s">
        <v>2332</v>
      </c>
      <c r="E22" s="9"/>
      <c r="F22" s="9" t="s">
        <v>974</v>
      </c>
      <c r="G22" s="9" t="s">
        <v>974</v>
      </c>
      <c r="H22" s="9" t="s">
        <v>267</v>
      </c>
      <c r="I22" s="9" t="str">
        <f aca="false">TRIM(A22) &amp; TRIM(F22) &amp; TRIM(H22)</f>
        <v>First ReviewHighlight ViewID</v>
      </c>
      <c r="J22" s="9" t="n">
        <f aca="false">IFERROR(VLOOKUP(I22,'WFM Q4 Target'!J:K,2,0),"-")</f>
        <v>590.502</v>
      </c>
      <c r="K22" s="9" t="n">
        <v>194.5777</v>
      </c>
      <c r="L22" s="9" t="n">
        <v>5.1173</v>
      </c>
      <c r="M22" s="9" t="str">
        <f aca="false">IFERROR(IF(K22&gt;J22,"Not Meet Target","Meet Target"),"-")</f>
        <v>Meet Target</v>
      </c>
      <c r="N22" s="9" t="str">
        <f aca="false">IFERROR(VLOOKUP(D22,'Team Member List'!B:C,2,0),"")</f>
        <v>TL Ramirez</v>
      </c>
      <c r="O22" s="9" t="s">
        <v>2408</v>
      </c>
    </row>
    <row r="23" customFormat="false" ht="15" hidden="false" customHeight="false" outlineLevel="0" collapsed="false">
      <c r="A23" s="9" t="s">
        <v>63</v>
      </c>
      <c r="B23" s="10"/>
      <c r="C23" s="9"/>
      <c r="D23" s="9" t="s">
        <v>2332</v>
      </c>
      <c r="E23" s="9" t="s">
        <v>1346</v>
      </c>
      <c r="F23" s="9" t="s">
        <v>1347</v>
      </c>
      <c r="G23" s="9" t="s">
        <v>1347</v>
      </c>
      <c r="H23" s="9" t="s">
        <v>267</v>
      </c>
      <c r="I23" s="9" t="str">
        <f aca="false">TRIM(A23) &amp; TRIM(F23) &amp; TRIM(H23)</f>
        <v>First ReviewFX StudioID</v>
      </c>
      <c r="J23" s="9" t="str">
        <f aca="false">IFERROR(VLOOKUP(I23,'WFM Q4 Target'!J:K,2,0),"-")</f>
        <v>-</v>
      </c>
      <c r="K23" s="9" t="n">
        <v>260.6349</v>
      </c>
      <c r="L23" s="9" t="n">
        <v>10.2397</v>
      </c>
      <c r="M23" s="9" t="str">
        <f aca="false">IFERROR(IF(K23&gt;J23,"Not Meet Target","Meet Target"),"-")</f>
        <v>Meet Target</v>
      </c>
      <c r="N23" s="9" t="str">
        <f aca="false">IFERROR(VLOOKUP(D23,'Team Member List'!B:C,2,0),"")</f>
        <v>TL Ramirez</v>
      </c>
      <c r="O23" s="9" t="s">
        <v>2408</v>
      </c>
    </row>
    <row r="24" customFormat="false" ht="15" hidden="false" customHeight="false" outlineLevel="0" collapsed="false">
      <c r="A24" s="9" t="s">
        <v>63</v>
      </c>
      <c r="B24" s="10"/>
      <c r="C24" s="9" t="s">
        <v>2395</v>
      </c>
      <c r="D24" s="9" t="s">
        <v>2395</v>
      </c>
      <c r="E24" s="9" t="s">
        <v>973</v>
      </c>
      <c r="F24" s="9" t="s">
        <v>979</v>
      </c>
      <c r="G24" s="9" t="s">
        <v>979</v>
      </c>
      <c r="H24" s="9" t="s">
        <v>82</v>
      </c>
      <c r="I24" s="9" t="str">
        <f aca="false">TRIM(A24) &amp; TRIM(F24) &amp; TRIM(H24)</f>
        <v>First ReviewBooking Ads Pre ApprovalKH</v>
      </c>
      <c r="J24" s="9" t="n">
        <f aca="false">IFERROR(VLOOKUP(I24,'WFM Q4 Target'!J:K,2,0),"-")</f>
        <v>179.94</v>
      </c>
      <c r="K24" s="9" t="n">
        <v>501.553</v>
      </c>
      <c r="L24" s="9" t="n">
        <v>16.3442</v>
      </c>
      <c r="M24" s="9" t="str">
        <f aca="false">IFERROR(IF(K24&gt;J24,"Not Meet Target","Meet Target"),"-")</f>
        <v>Not Meet Target</v>
      </c>
      <c r="N24" s="9" t="str">
        <f aca="false">IFERROR(VLOOKUP(D24,'Team Member List'!B:C,2,0),"")</f>
        <v>TL Cabrera</v>
      </c>
      <c r="O24" s="9" t="s">
        <v>2408</v>
      </c>
    </row>
    <row r="25" customFormat="false" ht="15" hidden="false" customHeight="false" outlineLevel="0" collapsed="false">
      <c r="A25" s="9" t="s">
        <v>63</v>
      </c>
      <c r="B25" s="10"/>
      <c r="C25" s="9"/>
      <c r="D25" s="9" t="s">
        <v>2395</v>
      </c>
      <c r="E25" s="9"/>
      <c r="F25" s="9" t="s">
        <v>974</v>
      </c>
      <c r="G25" s="9" t="s">
        <v>974</v>
      </c>
      <c r="H25" s="9" t="s">
        <v>190</v>
      </c>
      <c r="I25" s="9" t="str">
        <f aca="false">TRIM(A25) &amp; TRIM(F25) &amp; TRIM(H25)</f>
        <v>First ReviewHighlight ViewPH</v>
      </c>
      <c r="J25" s="9" t="n">
        <f aca="false">IFERROR(VLOOKUP(I25,'WFM Q4 Target'!J:K,2,0),"-")</f>
        <v>469.32</v>
      </c>
      <c r="K25" s="9" t="n">
        <v>185.2313</v>
      </c>
      <c r="L25" s="9" t="n">
        <v>184.4357</v>
      </c>
      <c r="M25" s="9" t="str">
        <f aca="false">IFERROR(IF(K25&gt;J25,"Not Meet Target","Meet Target"),"-")</f>
        <v>Meet Target</v>
      </c>
      <c r="N25" s="9" t="str">
        <f aca="false">IFERROR(VLOOKUP(D25,'Team Member List'!B:C,2,0),"")</f>
        <v>TL Cabrera</v>
      </c>
      <c r="O25" s="9" t="s">
        <v>2408</v>
      </c>
    </row>
    <row r="26" customFormat="false" ht="15" hidden="false" customHeight="false" outlineLevel="0" collapsed="false">
      <c r="A26" s="9" t="s">
        <v>63</v>
      </c>
      <c r="B26" s="10"/>
      <c r="C26" s="9" t="s">
        <v>2383</v>
      </c>
      <c r="D26" s="9" t="s">
        <v>2383</v>
      </c>
      <c r="E26" s="9" t="s">
        <v>56</v>
      </c>
      <c r="F26" s="9" t="s">
        <v>57</v>
      </c>
      <c r="G26" s="9" t="s">
        <v>57</v>
      </c>
      <c r="H26" s="9" t="s">
        <v>306</v>
      </c>
      <c r="I26" s="9" t="str">
        <f aca="false">TRIM(A26) &amp; TRIM(F26) &amp; TRIM(H26)</f>
        <v>First ReviewBid Ad GroupTH</v>
      </c>
      <c r="J26" s="9" t="n">
        <f aca="false">IFERROR(VLOOKUP(I26,'WFM Q4 Target'!J:K,2,0),"-")</f>
        <v>99.684</v>
      </c>
      <c r="K26" s="9" t="n">
        <v>272.6248</v>
      </c>
      <c r="L26" s="9" t="n">
        <v>373.3113</v>
      </c>
      <c r="M26" s="9" t="str">
        <f aca="false">IFERROR(IF(K26&gt;J26,"Not Meet Target","Meet Target"),"-")</f>
        <v>Not Meet Target</v>
      </c>
      <c r="N26" s="9" t="str">
        <f aca="false">IFERROR(VLOOKUP(D26,'Team Member List'!B:C,2,0),"")</f>
        <v>TL Cabrera</v>
      </c>
      <c r="O26" s="9" t="s">
        <v>2408</v>
      </c>
    </row>
    <row r="27" customFormat="false" ht="15" hidden="false" customHeight="false" outlineLevel="0" collapsed="false">
      <c r="A27" s="9" t="s">
        <v>63</v>
      </c>
      <c r="B27" s="10"/>
      <c r="C27" s="9" t="s">
        <v>2386</v>
      </c>
      <c r="D27" s="9" t="s">
        <v>2386</v>
      </c>
      <c r="E27" s="9" t="s">
        <v>973</v>
      </c>
      <c r="F27" s="9" t="s">
        <v>979</v>
      </c>
      <c r="G27" s="9" t="s">
        <v>979</v>
      </c>
      <c r="H27" s="9" t="s">
        <v>58</v>
      </c>
      <c r="I27" s="9" t="str">
        <f aca="false">TRIM(A27) &amp; TRIM(F27) &amp; TRIM(H27)</f>
        <v>First ReviewBooking Ads Pre ApprovalSG</v>
      </c>
      <c r="J27" s="9" t="n">
        <f aca="false">IFERROR(VLOOKUP(I27,'WFM Q4 Target'!J:K,2,0),"-")</f>
        <v>59.52</v>
      </c>
      <c r="K27" s="9" t="n">
        <v>4215.6333</v>
      </c>
      <c r="L27" s="9" t="n">
        <v>17.6391</v>
      </c>
      <c r="M27" s="9" t="str">
        <f aca="false">IFERROR(IF(K27&gt;J27,"Not Meet Target","Meet Target"),"-")</f>
        <v>Not Meet Target</v>
      </c>
      <c r="N27" s="9" t="str">
        <f aca="false">IFERROR(VLOOKUP(D27,'Team Member List'!B:C,2,0),"")</f>
        <v>TL Cabrera</v>
      </c>
      <c r="O27" s="9" t="s">
        <v>2408</v>
      </c>
    </row>
    <row r="28" customFormat="false" ht="15" hidden="false" customHeight="false" outlineLevel="0" collapsed="false">
      <c r="A28" s="9" t="s">
        <v>63</v>
      </c>
      <c r="B28" s="10"/>
      <c r="C28" s="9"/>
      <c r="D28" s="9" t="s">
        <v>2386</v>
      </c>
      <c r="E28" s="9"/>
      <c r="F28" s="9" t="s">
        <v>979</v>
      </c>
      <c r="G28" s="9"/>
      <c r="H28" s="9" t="s">
        <v>284</v>
      </c>
      <c r="I28" s="9" t="str">
        <f aca="false">TRIM(A28) &amp; TRIM(F28) &amp; TRIM(H28)</f>
        <v>First ReviewBooking Ads Pre ApprovalTR</v>
      </c>
      <c r="J28" s="9" t="n">
        <f aca="false">IFERROR(VLOOKUP(I28,'WFM Q4 Target'!J:K,2,0),"-")</f>
        <v>79.158</v>
      </c>
      <c r="K28" s="9" t="n">
        <v>184.5435</v>
      </c>
      <c r="L28" s="9" t="n">
        <v>32.4543</v>
      </c>
      <c r="M28" s="9" t="str">
        <f aca="false">IFERROR(IF(K28&gt;J28,"Not Meet Target","Meet Target"),"-")</f>
        <v>Not Meet Target</v>
      </c>
      <c r="N28" s="9" t="str">
        <f aca="false">IFERROR(VLOOKUP(D28,'Team Member List'!B:C,2,0),"")</f>
        <v>TL Cabrera</v>
      </c>
      <c r="O28" s="9" t="s">
        <v>2408</v>
      </c>
    </row>
    <row r="29" customFormat="false" ht="15" hidden="false" customHeight="false" outlineLevel="0" collapsed="false">
      <c r="A29" s="9" t="s">
        <v>63</v>
      </c>
      <c r="B29" s="10"/>
      <c r="C29" s="9"/>
      <c r="D29" s="9" t="s">
        <v>2386</v>
      </c>
      <c r="E29" s="9"/>
      <c r="F29" s="9" t="s">
        <v>974</v>
      </c>
      <c r="G29" s="9" t="s">
        <v>974</v>
      </c>
      <c r="H29" s="9" t="s">
        <v>190</v>
      </c>
      <c r="I29" s="9" t="str">
        <f aca="false">TRIM(A29) &amp; TRIM(F29) &amp; TRIM(H29)</f>
        <v>First ReviewHighlight ViewPH</v>
      </c>
      <c r="J29" s="9" t="n">
        <f aca="false">IFERROR(VLOOKUP(I29,'WFM Q4 Target'!J:K,2,0),"-")</f>
        <v>469.32</v>
      </c>
      <c r="K29" s="9" t="n">
        <v>1150.8605</v>
      </c>
      <c r="L29" s="9" t="n">
        <v>0</v>
      </c>
      <c r="M29" s="9" t="str">
        <f aca="false">IFERROR(IF(K29&gt;J29,"Not Meet Target","Meet Target"),"-")</f>
        <v>Not Meet Target</v>
      </c>
      <c r="N29" s="9" t="str">
        <f aca="false">IFERROR(VLOOKUP(D29,'Team Member List'!B:C,2,0),"")</f>
        <v>TL Cabrera</v>
      </c>
      <c r="O29" s="9" t="s">
        <v>2408</v>
      </c>
    </row>
    <row r="30" customFormat="false" ht="15" hidden="false" customHeight="false" outlineLevel="0" collapsed="false">
      <c r="A30" s="9" t="s">
        <v>63</v>
      </c>
      <c r="B30" s="10"/>
      <c r="C30" s="9"/>
      <c r="D30" s="9" t="s">
        <v>2386</v>
      </c>
      <c r="E30" s="9" t="s">
        <v>1432</v>
      </c>
      <c r="F30" s="9" t="s">
        <v>1502</v>
      </c>
      <c r="G30" s="9" t="s">
        <v>1502</v>
      </c>
      <c r="H30" s="9" t="s">
        <v>190</v>
      </c>
      <c r="I30" s="9" t="str">
        <f aca="false">TRIM(A30) &amp; TRIM(F30) &amp; TRIM(H30)</f>
        <v>First ReviewBE Adv VideoPH</v>
      </c>
      <c r="J30" s="9" t="n">
        <f aca="false">IFERROR(VLOOKUP(I30,'WFM Q4 Target'!J:K,2,0),"-")</f>
        <v>6.606</v>
      </c>
      <c r="K30" s="9" t="n">
        <v>364.4566</v>
      </c>
      <c r="L30" s="9" t="n">
        <v>13.3572</v>
      </c>
      <c r="M30" s="9" t="str">
        <f aca="false">IFERROR(IF(K30&gt;J30,"Not Meet Target","Meet Target"),"-")</f>
        <v>Not Meet Target</v>
      </c>
      <c r="N30" s="9" t="str">
        <f aca="false">IFERROR(VLOOKUP(D30,'Team Member List'!B:C,2,0),"")</f>
        <v>TL Cabrera</v>
      </c>
      <c r="O30" s="9" t="s">
        <v>2408</v>
      </c>
    </row>
    <row r="31" customFormat="false" ht="15" hidden="false" customHeight="false" outlineLevel="0" collapsed="false">
      <c r="A31" s="9" t="s">
        <v>63</v>
      </c>
      <c r="B31" s="10"/>
      <c r="C31" s="9" t="s">
        <v>2378</v>
      </c>
      <c r="D31" s="9" t="s">
        <v>2378</v>
      </c>
      <c r="E31" s="9" t="s">
        <v>973</v>
      </c>
      <c r="F31" s="9" t="s">
        <v>979</v>
      </c>
      <c r="G31" s="9" t="s">
        <v>979</v>
      </c>
      <c r="H31" s="9" t="s">
        <v>306</v>
      </c>
      <c r="I31" s="9" t="str">
        <f aca="false">TRIM(A31) &amp; TRIM(F31) &amp; TRIM(H31)</f>
        <v>First ReviewBooking Ads Pre ApprovalTH</v>
      </c>
      <c r="J31" s="9" t="n">
        <f aca="false">IFERROR(VLOOKUP(I31,'WFM Q4 Target'!J:K,2,0),"-")</f>
        <v>84.51</v>
      </c>
      <c r="K31" s="9" t="n">
        <v>142.4707</v>
      </c>
      <c r="L31" s="9" t="n">
        <v>22.0158</v>
      </c>
      <c r="M31" s="9" t="str">
        <f aca="false">IFERROR(IF(K31&gt;J31,"Not Meet Target","Meet Target"),"-")</f>
        <v>Not Meet Target</v>
      </c>
      <c r="N31" s="9" t="str">
        <f aca="false">IFERROR(VLOOKUP(D31,'Team Member List'!B:C,2,0),"")</f>
        <v>TL Okafor</v>
      </c>
      <c r="O31" s="9" t="s">
        <v>2408</v>
      </c>
    </row>
    <row r="32" customFormat="false" ht="15" hidden="false" customHeight="false" outlineLevel="0" collapsed="false">
      <c r="A32" s="9" t="s">
        <v>63</v>
      </c>
      <c r="B32" s="10"/>
      <c r="C32" s="9" t="s">
        <v>2357</v>
      </c>
      <c r="D32" s="9" t="s">
        <v>2357</v>
      </c>
      <c r="E32" s="9" t="s">
        <v>56</v>
      </c>
      <c r="F32" s="9" t="s">
        <v>75</v>
      </c>
      <c r="G32" s="9" t="s">
        <v>75</v>
      </c>
      <c r="H32" s="9" t="s">
        <v>100</v>
      </c>
      <c r="I32" s="9" t="str">
        <f aca="false">TRIM(A32) &amp; TRIM(F32) &amp; TRIM(H32)</f>
        <v>First ReviewBid Ecom Ads GroupAU</v>
      </c>
      <c r="J32" s="9" t="n">
        <f aca="false">IFERROR(VLOOKUP(I32,'WFM Q4 Target'!J:K,2,0),"-")</f>
        <v>157.866</v>
      </c>
      <c r="K32" s="9" t="n">
        <v>480.3002</v>
      </c>
      <c r="L32" s="9" t="n">
        <v>24.3736</v>
      </c>
      <c r="M32" s="9" t="str">
        <f aca="false">IFERROR(IF(K32&gt;J32,"Not Meet Target","Meet Target"),"-")</f>
        <v>Not Meet Target</v>
      </c>
      <c r="N32" s="9" t="str">
        <f aca="false">IFERROR(VLOOKUP(D32,'Team Member List'!B:C,2,0),"")</f>
        <v>TL Lindgren</v>
      </c>
      <c r="O32" s="9" t="s">
        <v>2408</v>
      </c>
    </row>
    <row r="33" customFormat="false" ht="15" hidden="false" customHeight="false" outlineLevel="0" collapsed="false">
      <c r="A33" s="9" t="s">
        <v>63</v>
      </c>
      <c r="B33" s="10"/>
      <c r="C33" s="9"/>
      <c r="D33" s="9" t="s">
        <v>2357</v>
      </c>
      <c r="E33" s="9" t="s">
        <v>973</v>
      </c>
      <c r="F33" s="9" t="s">
        <v>979</v>
      </c>
      <c r="G33" s="9" t="s">
        <v>979</v>
      </c>
      <c r="H33" s="9" t="s">
        <v>100</v>
      </c>
      <c r="I33" s="9" t="str">
        <f aca="false">TRIM(A33) &amp; TRIM(F33) &amp; TRIM(H33)</f>
        <v>First ReviewBooking Ads Pre ApprovalAU</v>
      </c>
      <c r="J33" s="9" t="n">
        <f aca="false">IFERROR(VLOOKUP(I33,'WFM Q4 Target'!J:K,2,0),"-")</f>
        <v>174.66</v>
      </c>
      <c r="K33" s="9" t="n">
        <v>130.1958</v>
      </c>
      <c r="L33" s="9" t="n">
        <v>48.7343</v>
      </c>
      <c r="M33" s="9" t="str">
        <f aca="false">IFERROR(IF(K33&gt;J33,"Not Meet Target","Meet Target"),"-")</f>
        <v>Meet Target</v>
      </c>
      <c r="N33" s="9" t="str">
        <f aca="false">IFERROR(VLOOKUP(D33,'Team Member List'!B:C,2,0),"")</f>
        <v>TL Lindgren</v>
      </c>
      <c r="O33" s="9" t="s">
        <v>2408</v>
      </c>
    </row>
    <row r="34" customFormat="false" ht="15" hidden="false" customHeight="false" outlineLevel="0" collapsed="false">
      <c r="A34" s="9" t="s">
        <v>63</v>
      </c>
      <c r="B34" s="10"/>
      <c r="C34" s="9"/>
      <c r="D34" s="9" t="s">
        <v>2357</v>
      </c>
      <c r="E34" s="9"/>
      <c r="F34" s="9" t="s">
        <v>979</v>
      </c>
      <c r="G34" s="9"/>
      <c r="H34" s="9" t="s">
        <v>284</v>
      </c>
      <c r="I34" s="9" t="str">
        <f aca="false">TRIM(A34) &amp; TRIM(F34) &amp; TRIM(H34)</f>
        <v>First ReviewBooking Ads Pre ApprovalTR</v>
      </c>
      <c r="J34" s="9" t="n">
        <f aca="false">IFERROR(VLOOKUP(I34,'WFM Q4 Target'!J:K,2,0),"-")</f>
        <v>79.158</v>
      </c>
      <c r="K34" s="9" t="n">
        <v>1310.8278</v>
      </c>
      <c r="L34" s="9" t="n">
        <v>18.0585</v>
      </c>
      <c r="M34" s="9" t="str">
        <f aca="false">IFERROR(IF(K34&gt;J34,"Not Meet Target","Meet Target"),"-")</f>
        <v>Not Meet Target</v>
      </c>
      <c r="N34" s="9" t="str">
        <f aca="false">IFERROR(VLOOKUP(D34,'Team Member List'!B:C,2,0),"")</f>
        <v>TL Lindgren</v>
      </c>
      <c r="O34" s="9" t="s">
        <v>2408</v>
      </c>
    </row>
    <row r="35" customFormat="false" ht="15" hidden="false" customHeight="false" outlineLevel="0" collapsed="false">
      <c r="A35" s="9" t="s">
        <v>63</v>
      </c>
      <c r="B35" s="10"/>
      <c r="C35" s="9"/>
      <c r="D35" s="9" t="s">
        <v>2357</v>
      </c>
      <c r="E35" s="9"/>
      <c r="F35" s="9" t="s">
        <v>974</v>
      </c>
      <c r="G35" s="9" t="s">
        <v>974</v>
      </c>
      <c r="H35" s="9" t="s">
        <v>126</v>
      </c>
      <c r="I35" s="9" t="str">
        <f aca="false">TRIM(A35) &amp; TRIM(F35) &amp; TRIM(H35)</f>
        <v>First ReviewHighlight ViewMX</v>
      </c>
      <c r="J35" s="9" t="n">
        <f aca="false">IFERROR(VLOOKUP(I35,'WFM Q4 Target'!J:K,2,0),"-")</f>
        <v>573.366</v>
      </c>
      <c r="K35" s="9" t="n">
        <v>200.0048</v>
      </c>
      <c r="L35" s="9" t="n">
        <v>0</v>
      </c>
      <c r="M35" s="9" t="str">
        <f aca="false">IFERROR(IF(K35&gt;J35,"Not Meet Target","Meet Target"),"-")</f>
        <v>Meet Target</v>
      </c>
      <c r="N35" s="9" t="str">
        <f aca="false">IFERROR(VLOOKUP(D35,'Team Member List'!B:C,2,0),"")</f>
        <v>TL Lindgren</v>
      </c>
      <c r="O35" s="9" t="s">
        <v>2408</v>
      </c>
    </row>
    <row r="36" customFormat="false" ht="15" hidden="false" customHeight="false" outlineLevel="0" collapsed="false">
      <c r="A36" s="9" t="s">
        <v>63</v>
      </c>
      <c r="B36" s="10"/>
      <c r="C36" s="9"/>
      <c r="D36" s="9" t="s">
        <v>2357</v>
      </c>
      <c r="E36" s="9"/>
      <c r="F36" s="9" t="s">
        <v>974</v>
      </c>
      <c r="G36" s="9"/>
      <c r="H36" s="9" t="s">
        <v>157</v>
      </c>
      <c r="I36" s="9" t="str">
        <f aca="false">TRIM(A36) &amp; TRIM(F36) &amp; TRIM(H36)</f>
        <v>First ReviewHighlight ViewSA</v>
      </c>
      <c r="J36" s="9" t="n">
        <f aca="false">IFERROR(VLOOKUP(I36,'WFM Q4 Target'!J:K,2,0),"-")</f>
        <v>778.374</v>
      </c>
      <c r="K36" s="9" t="n">
        <v>441.1748</v>
      </c>
      <c r="L36" s="9" t="n">
        <v>0</v>
      </c>
      <c r="M36" s="9" t="str">
        <f aca="false">IFERROR(IF(K36&gt;J36,"Not Meet Target","Meet Target"),"-")</f>
        <v>Meet Target</v>
      </c>
      <c r="N36" s="9" t="str">
        <f aca="false">IFERROR(VLOOKUP(D36,'Team Member List'!B:C,2,0),"")</f>
        <v>TL Lindgren</v>
      </c>
      <c r="O36" s="9" t="s">
        <v>2408</v>
      </c>
    </row>
    <row r="37" customFormat="false" ht="15" hidden="false" customHeight="false" outlineLevel="0" collapsed="false">
      <c r="A37" s="9" t="s">
        <v>63</v>
      </c>
      <c r="B37" s="10"/>
      <c r="C37" s="9" t="s">
        <v>2374</v>
      </c>
      <c r="D37" s="9" t="s">
        <v>2374</v>
      </c>
      <c r="E37" s="9" t="s">
        <v>973</v>
      </c>
      <c r="F37" s="9" t="s">
        <v>989</v>
      </c>
      <c r="G37" s="9" t="s">
        <v>989</v>
      </c>
      <c r="H37" s="9" t="s">
        <v>306</v>
      </c>
      <c r="I37" s="9" t="str">
        <f aca="false">TRIM(A37) &amp; TRIM(F37) &amp; TRIM(H37)</f>
        <v>First ReviewMedia AdsTH</v>
      </c>
      <c r="J37" s="9" t="str">
        <f aca="false">IFERROR(VLOOKUP(I37,'WFM Q4 Target'!J:K,2,0),"-")</f>
        <v>-</v>
      </c>
      <c r="K37" s="9" t="n">
        <v>215.6858</v>
      </c>
      <c r="L37" s="9" t="n">
        <v>0</v>
      </c>
      <c r="M37" s="9" t="str">
        <f aca="false">IFERROR(IF(K37&gt;J37,"Not Meet Target","Meet Target"),"-")</f>
        <v>Meet Target</v>
      </c>
      <c r="N37" s="9" t="str">
        <f aca="false">IFERROR(VLOOKUP(D37,'Team Member List'!B:C,2,0),"")</f>
        <v>TL Okafor</v>
      </c>
      <c r="O37" s="9" t="s">
        <v>2408</v>
      </c>
    </row>
    <row r="38" customFormat="false" ht="15" hidden="false" customHeight="false" outlineLevel="0" collapsed="false">
      <c r="A38" s="9" t="s">
        <v>63</v>
      </c>
      <c r="B38" s="10"/>
      <c r="C38" s="9"/>
      <c r="D38" s="9" t="s">
        <v>2374</v>
      </c>
      <c r="E38" s="9"/>
      <c r="F38" s="9" t="s">
        <v>979</v>
      </c>
      <c r="G38" s="9" t="s">
        <v>979</v>
      </c>
      <c r="H38" s="9" t="s">
        <v>82</v>
      </c>
      <c r="I38" s="9" t="str">
        <f aca="false">TRIM(A38) &amp; TRIM(F38) &amp; TRIM(H38)</f>
        <v>First ReviewBooking Ads Pre ApprovalKH</v>
      </c>
      <c r="J38" s="9" t="n">
        <f aca="false">IFERROR(VLOOKUP(I38,'WFM Q4 Target'!J:K,2,0),"-")</f>
        <v>179.94</v>
      </c>
      <c r="K38" s="9" t="n">
        <v>784.0086</v>
      </c>
      <c r="L38" s="9" t="n">
        <v>13.6212</v>
      </c>
      <c r="M38" s="9" t="str">
        <f aca="false">IFERROR(IF(K38&gt;J38,"Not Meet Target","Meet Target"),"-")</f>
        <v>Not Meet Target</v>
      </c>
      <c r="N38" s="9" t="str">
        <f aca="false">IFERROR(VLOOKUP(D38,'Team Member List'!B:C,2,0),"")</f>
        <v>TL Okafor</v>
      </c>
      <c r="O38" s="9" t="s">
        <v>2408</v>
      </c>
    </row>
    <row r="39" customFormat="false" ht="15" hidden="false" customHeight="false" outlineLevel="0" collapsed="false">
      <c r="A39" s="9" t="s">
        <v>63</v>
      </c>
      <c r="B39" s="10"/>
      <c r="C39" s="9"/>
      <c r="D39" s="9" t="s">
        <v>2374</v>
      </c>
      <c r="E39" s="9"/>
      <c r="F39" s="9" t="s">
        <v>974</v>
      </c>
      <c r="G39" s="9" t="s">
        <v>974</v>
      </c>
      <c r="H39" s="9" t="s">
        <v>126</v>
      </c>
      <c r="I39" s="9" t="str">
        <f aca="false">TRIM(A39) &amp; TRIM(F39) &amp; TRIM(H39)</f>
        <v>First ReviewHighlight ViewMX</v>
      </c>
      <c r="J39" s="9" t="n">
        <f aca="false">IFERROR(VLOOKUP(I39,'WFM Q4 Target'!J:K,2,0),"-")</f>
        <v>573.366</v>
      </c>
      <c r="K39" s="9" t="n">
        <v>514.3632</v>
      </c>
      <c r="L39" s="9" t="n">
        <v>0</v>
      </c>
      <c r="M39" s="9" t="str">
        <f aca="false">IFERROR(IF(K39&gt;J39,"Not Meet Target","Meet Target"),"-")</f>
        <v>Meet Target</v>
      </c>
      <c r="N39" s="9" t="str">
        <f aca="false">IFERROR(VLOOKUP(D39,'Team Member List'!B:C,2,0),"")</f>
        <v>TL Okafor</v>
      </c>
      <c r="O39" s="9" t="s">
        <v>2408</v>
      </c>
    </row>
    <row r="40" customFormat="false" ht="15" hidden="false" customHeight="false" outlineLevel="0" collapsed="false">
      <c r="A40" s="9" t="s">
        <v>63</v>
      </c>
      <c r="B40" s="10"/>
      <c r="C40" s="9"/>
      <c r="D40" s="9" t="s">
        <v>2374</v>
      </c>
      <c r="E40" s="9" t="s">
        <v>1432</v>
      </c>
      <c r="F40" s="9" t="s">
        <v>1438</v>
      </c>
      <c r="G40" s="9" t="s">
        <v>1438</v>
      </c>
      <c r="H40" s="9" t="s">
        <v>190</v>
      </c>
      <c r="I40" s="9" t="str">
        <f aca="false">TRIM(A40) &amp; TRIM(F40) &amp; TRIM(H40)</f>
        <v>First ReviewQuest Adv VideoPH</v>
      </c>
      <c r="J40" s="9" t="n">
        <f aca="false">IFERROR(VLOOKUP(I40,'WFM Q4 Target'!J:K,2,0),"-")</f>
        <v>13.278</v>
      </c>
      <c r="K40" s="9" t="n">
        <v>124.9605</v>
      </c>
      <c r="L40" s="9" t="n">
        <v>16.9869</v>
      </c>
      <c r="M40" s="9" t="str">
        <f aca="false">IFERROR(IF(K40&gt;J40,"Not Meet Target","Meet Target"),"-")</f>
        <v>Not Meet Target</v>
      </c>
      <c r="N40" s="9" t="str">
        <f aca="false">IFERROR(VLOOKUP(D40,'Team Member List'!B:C,2,0),"")</f>
        <v>TL Okafor</v>
      </c>
      <c r="O40" s="9" t="s">
        <v>2408</v>
      </c>
    </row>
    <row r="41" customFormat="false" ht="15" hidden="false" customHeight="false" outlineLevel="0" collapsed="false">
      <c r="A41" s="9" t="s">
        <v>63</v>
      </c>
      <c r="B41" s="10"/>
      <c r="C41" s="9" t="s">
        <v>2340</v>
      </c>
      <c r="D41" s="9" t="s">
        <v>2340</v>
      </c>
      <c r="E41" s="9" t="s">
        <v>56</v>
      </c>
      <c r="F41" s="9" t="s">
        <v>57</v>
      </c>
      <c r="G41" s="9" t="s">
        <v>57</v>
      </c>
      <c r="H41" s="9" t="s">
        <v>95</v>
      </c>
      <c r="I41" s="9" t="str">
        <f aca="false">TRIM(A41) &amp; TRIM(F41) &amp; TRIM(H41)</f>
        <v>First ReviewBid Ad GroupVN</v>
      </c>
      <c r="J41" s="9" t="n">
        <f aca="false">IFERROR(VLOOKUP(I41,'WFM Q4 Target'!J:K,2,0),"-")</f>
        <v>220.83</v>
      </c>
      <c r="K41" s="9" t="n">
        <v>287.1488</v>
      </c>
      <c r="L41" s="9" t="n">
        <v>131.9703</v>
      </c>
      <c r="M41" s="9" t="str">
        <f aca="false">IFERROR(IF(K41&gt;J41,"Not Meet Target","Meet Target"),"-")</f>
        <v>Not Meet Target</v>
      </c>
      <c r="N41" s="9" t="str">
        <f aca="false">IFERROR(VLOOKUP(D41,'Team Member List'!B:C,2,0),"")</f>
        <v>TL Lindgren</v>
      </c>
      <c r="O41" s="9" t="s">
        <v>2408</v>
      </c>
    </row>
    <row r="42" customFormat="false" ht="15" hidden="false" customHeight="false" outlineLevel="0" collapsed="false">
      <c r="A42" s="9" t="s">
        <v>63</v>
      </c>
      <c r="B42" s="10"/>
      <c r="C42" s="9"/>
      <c r="D42" s="9" t="s">
        <v>2340</v>
      </c>
      <c r="E42" s="9" t="s">
        <v>973</v>
      </c>
      <c r="F42" s="9" t="s">
        <v>974</v>
      </c>
      <c r="G42" s="9" t="s">
        <v>974</v>
      </c>
      <c r="H42" s="9" t="s">
        <v>166</v>
      </c>
      <c r="I42" s="9" t="str">
        <f aca="false">TRIM(A42) &amp; TRIM(F42) &amp; TRIM(H42)</f>
        <v>First ReviewHighlight ViewCZ</v>
      </c>
      <c r="J42" s="9" t="n">
        <f aca="false">IFERROR(VLOOKUP(I42,'WFM Q4 Target'!J:K,2,0),"-")</f>
        <v>6.51</v>
      </c>
      <c r="K42" s="9" t="n">
        <v>526.9756</v>
      </c>
      <c r="L42" s="9" t="n">
        <v>0</v>
      </c>
      <c r="M42" s="9" t="str">
        <f aca="false">IFERROR(IF(K42&gt;J42,"Not Meet Target","Meet Target"),"-")</f>
        <v>Not Meet Target</v>
      </c>
      <c r="N42" s="9" t="str">
        <f aca="false">IFERROR(VLOOKUP(D42,'Team Member List'!B:C,2,0),"")</f>
        <v>TL Lindgren</v>
      </c>
      <c r="O42" s="9" t="s">
        <v>2408</v>
      </c>
    </row>
    <row r="43" customFormat="false" ht="15" hidden="false" customHeight="false" outlineLevel="0" collapsed="false">
      <c r="A43" s="9" t="s">
        <v>63</v>
      </c>
      <c r="B43" s="10"/>
      <c r="C43" s="9"/>
      <c r="D43" s="9" t="s">
        <v>2340</v>
      </c>
      <c r="E43" s="9"/>
      <c r="F43" s="9" t="s">
        <v>974</v>
      </c>
      <c r="G43" s="9"/>
      <c r="H43" s="9" t="s">
        <v>95</v>
      </c>
      <c r="I43" s="9" t="str">
        <f aca="false">TRIM(A43) &amp; TRIM(F43) &amp; TRIM(H43)</f>
        <v>First ReviewHighlight ViewVN</v>
      </c>
      <c r="J43" s="9" t="n">
        <f aca="false">IFERROR(VLOOKUP(I43,'WFM Q4 Target'!J:K,2,0),"-")</f>
        <v>286.158</v>
      </c>
      <c r="K43" s="9" t="n">
        <v>252.2946</v>
      </c>
      <c r="L43" s="9" t="n">
        <v>4.4037</v>
      </c>
      <c r="M43" s="9" t="str">
        <f aca="false">IFERROR(IF(K43&gt;J43,"Not Meet Target","Meet Target"),"-")</f>
        <v>Meet Target</v>
      </c>
      <c r="N43" s="9" t="str">
        <f aca="false">IFERROR(VLOOKUP(D43,'Team Member List'!B:C,2,0),"")</f>
        <v>TL Lindgren</v>
      </c>
      <c r="O43" s="9" t="s">
        <v>2408</v>
      </c>
    </row>
    <row r="44" customFormat="false" ht="15" hidden="false" customHeight="false" outlineLevel="0" collapsed="false">
      <c r="A44" s="9" t="s">
        <v>63</v>
      </c>
      <c r="B44" s="10"/>
      <c r="C44" s="9" t="s">
        <v>2345</v>
      </c>
      <c r="D44" s="9" t="s">
        <v>2345</v>
      </c>
      <c r="E44" s="9" t="s">
        <v>973</v>
      </c>
      <c r="F44" s="9" t="s">
        <v>979</v>
      </c>
      <c r="G44" s="9" t="s">
        <v>979</v>
      </c>
      <c r="H44" s="9" t="s">
        <v>95</v>
      </c>
      <c r="I44" s="9" t="str">
        <f aca="false">TRIM(A44) &amp; TRIM(F44) &amp; TRIM(H44)</f>
        <v>First ReviewBooking Ads Pre ApprovalVN</v>
      </c>
      <c r="J44" s="9" t="n">
        <f aca="false">IFERROR(VLOOKUP(I44,'WFM Q4 Target'!J:K,2,0),"-")</f>
        <v>213.222</v>
      </c>
      <c r="K44" s="9" t="n">
        <v>813.7086</v>
      </c>
      <c r="L44" s="9" t="n">
        <v>11.5575</v>
      </c>
      <c r="M44" s="9" t="str">
        <f aca="false">IFERROR(IF(K44&gt;J44,"Not Meet Target","Meet Target"),"-")</f>
        <v>Not Meet Target</v>
      </c>
      <c r="N44" s="9" t="str">
        <f aca="false">IFERROR(VLOOKUP(D44,'Team Member List'!B:C,2,0),"")</f>
        <v>TL Lindgren</v>
      </c>
      <c r="O44" s="9" t="s">
        <v>2408</v>
      </c>
    </row>
    <row r="45" customFormat="false" ht="15" hidden="false" customHeight="false" outlineLevel="0" collapsed="false">
      <c r="A45" s="9" t="s">
        <v>63</v>
      </c>
      <c r="B45" s="10"/>
      <c r="C45" s="9"/>
      <c r="D45" s="9" t="s">
        <v>2345</v>
      </c>
      <c r="E45" s="9"/>
      <c r="F45" s="9" t="s">
        <v>974</v>
      </c>
      <c r="G45" s="9" t="s">
        <v>974</v>
      </c>
      <c r="H45" s="9" t="s">
        <v>166</v>
      </c>
      <c r="I45" s="9" t="str">
        <f aca="false">TRIM(A45) &amp; TRIM(F45) &amp; TRIM(H45)</f>
        <v>First ReviewHighlight ViewCZ</v>
      </c>
      <c r="J45" s="9" t="n">
        <f aca="false">IFERROR(VLOOKUP(I45,'WFM Q4 Target'!J:K,2,0),"-")</f>
        <v>6.51</v>
      </c>
      <c r="K45" s="9" t="n">
        <v>369.0642</v>
      </c>
      <c r="L45" s="9" t="n">
        <v>0</v>
      </c>
      <c r="M45" s="9" t="str">
        <f aca="false">IFERROR(IF(K45&gt;J45,"Not Meet Target","Meet Target"),"-")</f>
        <v>Not Meet Target</v>
      </c>
      <c r="N45" s="9" t="str">
        <f aca="false">IFERROR(VLOOKUP(D45,'Team Member List'!B:C,2,0),"")</f>
        <v>TL Lindgren</v>
      </c>
      <c r="O45" s="9" t="s">
        <v>2408</v>
      </c>
    </row>
    <row r="46" customFormat="false" ht="15" hidden="false" customHeight="false" outlineLevel="0" collapsed="false">
      <c r="A46" s="9" t="s">
        <v>63</v>
      </c>
      <c r="B46" s="10"/>
      <c r="C46" s="9"/>
      <c r="D46" s="9" t="s">
        <v>2345</v>
      </c>
      <c r="E46" s="9"/>
      <c r="F46" s="9" t="s">
        <v>974</v>
      </c>
      <c r="G46" s="9"/>
      <c r="H46" s="9" t="s">
        <v>150</v>
      </c>
      <c r="I46" s="9" t="str">
        <f aca="false">TRIM(A46) &amp; TRIM(F46) &amp; TRIM(H46)</f>
        <v>First ReviewHighlight ViewDE</v>
      </c>
      <c r="J46" s="9" t="n">
        <f aca="false">IFERROR(VLOOKUP(I46,'WFM Q4 Target'!J:K,2,0),"-")</f>
        <v>682.752</v>
      </c>
      <c r="K46" s="9" t="n">
        <v>846.1999</v>
      </c>
      <c r="L46" s="9" t="n">
        <v>0</v>
      </c>
      <c r="M46" s="9" t="str">
        <f aca="false">IFERROR(IF(K46&gt;J46,"Not Meet Target","Meet Target"),"-")</f>
        <v>Not Meet Target</v>
      </c>
      <c r="N46" s="9" t="str">
        <f aca="false">IFERROR(VLOOKUP(D46,'Team Member List'!B:C,2,0),"")</f>
        <v>TL Lindgren</v>
      </c>
      <c r="O46" s="9" t="s">
        <v>2408</v>
      </c>
    </row>
    <row r="47" customFormat="false" ht="15" hidden="false" customHeight="false" outlineLevel="0" collapsed="false">
      <c r="A47" s="9" t="s">
        <v>63</v>
      </c>
      <c r="B47" s="10"/>
      <c r="C47" s="9" t="s">
        <v>2379</v>
      </c>
      <c r="D47" s="9" t="s">
        <v>2379</v>
      </c>
      <c r="E47" s="9" t="s">
        <v>973</v>
      </c>
      <c r="F47" s="9" t="s">
        <v>974</v>
      </c>
      <c r="G47" s="9" t="s">
        <v>974</v>
      </c>
      <c r="H47" s="9" t="s">
        <v>62</v>
      </c>
      <c r="I47" s="9" t="str">
        <f aca="false">TRIM(A47) &amp; TRIM(F47) &amp; TRIM(H47)</f>
        <v>First ReviewHighlight ViewCL</v>
      </c>
      <c r="J47" s="9" t="n">
        <f aca="false">IFERROR(VLOOKUP(I47,'WFM Q4 Target'!J:K,2,0),"-")</f>
        <v>677.166</v>
      </c>
      <c r="K47" s="9" t="n">
        <v>490.8073</v>
      </c>
      <c r="L47" s="9" t="n">
        <v>0</v>
      </c>
      <c r="M47" s="9" t="str">
        <f aca="false">IFERROR(IF(K47&gt;J47,"Not Meet Target","Meet Target"),"-")</f>
        <v>Meet Target</v>
      </c>
      <c r="N47" s="9" t="str">
        <f aca="false">IFERROR(VLOOKUP(D47,'Team Member List'!B:C,2,0),"")</f>
        <v>TL Okafor</v>
      </c>
      <c r="O47" s="9" t="s">
        <v>2408</v>
      </c>
    </row>
    <row r="48" customFormat="false" ht="15" hidden="false" customHeight="false" outlineLevel="0" collapsed="false">
      <c r="A48" s="9" t="s">
        <v>63</v>
      </c>
      <c r="B48" s="10"/>
      <c r="C48" s="9" t="s">
        <v>2385</v>
      </c>
      <c r="D48" s="9" t="s">
        <v>2385</v>
      </c>
      <c r="E48" s="9" t="s">
        <v>973</v>
      </c>
      <c r="F48" s="9" t="s">
        <v>974</v>
      </c>
      <c r="G48" s="9" t="s">
        <v>974</v>
      </c>
      <c r="H48" s="9" t="s">
        <v>190</v>
      </c>
      <c r="I48" s="9" t="str">
        <f aca="false">TRIM(A48) &amp; TRIM(F48) &amp; TRIM(H48)</f>
        <v>First ReviewHighlight ViewPH</v>
      </c>
      <c r="J48" s="9" t="n">
        <f aca="false">IFERROR(VLOOKUP(I48,'WFM Q4 Target'!J:K,2,0),"-")</f>
        <v>469.32</v>
      </c>
      <c r="K48" s="9" t="n">
        <v>1715.1502</v>
      </c>
      <c r="L48" s="9" t="n">
        <v>165.3721</v>
      </c>
      <c r="M48" s="9" t="str">
        <f aca="false">IFERROR(IF(K48&gt;J48,"Not Meet Target","Meet Target"),"-")</f>
        <v>Not Meet Target</v>
      </c>
      <c r="N48" s="9" t="str">
        <f aca="false">IFERROR(VLOOKUP(D48,'Team Member List'!B:C,2,0),"")</f>
        <v>TL Cabrera</v>
      </c>
      <c r="O48" s="9" t="s">
        <v>2408</v>
      </c>
    </row>
    <row r="49" customFormat="false" ht="15" hidden="false" customHeight="false" outlineLevel="0" collapsed="false">
      <c r="A49" s="9" t="s">
        <v>63</v>
      </c>
      <c r="B49" s="10"/>
      <c r="C49" s="9" t="s">
        <v>2376</v>
      </c>
      <c r="D49" s="9" t="s">
        <v>2376</v>
      </c>
      <c r="E49" s="9" t="s">
        <v>973</v>
      </c>
      <c r="F49" s="9" t="s">
        <v>974</v>
      </c>
      <c r="G49" s="9" t="s">
        <v>974</v>
      </c>
      <c r="H49" s="9" t="s">
        <v>275</v>
      </c>
      <c r="I49" s="9" t="str">
        <f aca="false">TRIM(A49) &amp; TRIM(F49) &amp; TRIM(H49)</f>
        <v>First ReviewHighlight ViewGB</v>
      </c>
      <c r="J49" s="9" t="n">
        <f aca="false">IFERROR(VLOOKUP(I49,'WFM Q4 Target'!J:K,2,0),"-")</f>
        <v>151.884</v>
      </c>
      <c r="K49" s="9" t="n">
        <v>135.8956</v>
      </c>
      <c r="L49" s="9" t="n">
        <v>0</v>
      </c>
      <c r="M49" s="9" t="str">
        <f aca="false">IFERROR(IF(K49&gt;J49,"Not Meet Target","Meet Target"),"-")</f>
        <v>Meet Target</v>
      </c>
      <c r="N49" s="9" t="str">
        <f aca="false">IFERROR(VLOOKUP(D49,'Team Member List'!B:C,2,0),"")</f>
        <v>TL Okafor</v>
      </c>
      <c r="O49" s="9" t="s">
        <v>2408</v>
      </c>
    </row>
    <row r="50" customFormat="false" ht="15" hidden="false" customHeight="false" outlineLevel="0" collapsed="false">
      <c r="A50" s="9" t="s">
        <v>63</v>
      </c>
      <c r="B50" s="10"/>
      <c r="C50" s="9" t="s">
        <v>2326</v>
      </c>
      <c r="D50" s="9" t="s">
        <v>2326</v>
      </c>
      <c r="E50" s="9" t="s">
        <v>56</v>
      </c>
      <c r="F50" s="9" t="s">
        <v>75</v>
      </c>
      <c r="G50" s="9" t="s">
        <v>75</v>
      </c>
      <c r="H50" s="9" t="s">
        <v>267</v>
      </c>
      <c r="I50" s="9" t="str">
        <f aca="false">TRIM(A50) &amp; TRIM(F50) &amp; TRIM(H50)</f>
        <v>First ReviewBid Ecom Ads GroupID</v>
      </c>
      <c r="J50" s="9" t="n">
        <f aca="false">IFERROR(VLOOKUP(I50,'WFM Q4 Target'!J:K,2,0),"-")</f>
        <v>155.28</v>
      </c>
      <c r="K50" s="9" t="n">
        <v>206.8217</v>
      </c>
      <c r="L50" s="9" t="n">
        <v>399.1934</v>
      </c>
      <c r="M50" s="9" t="str">
        <f aca="false">IFERROR(IF(K50&gt;J50,"Not Meet Target","Meet Target"),"-")</f>
        <v>Not Meet Target</v>
      </c>
      <c r="N50" s="9" t="str">
        <f aca="false">IFERROR(VLOOKUP(D50,'Team Member List'!B:C,2,0),"")</f>
        <v>TL Ramirez</v>
      </c>
      <c r="O50" s="9" t="s">
        <v>2408</v>
      </c>
    </row>
    <row r="51" customFormat="false" ht="15" hidden="false" customHeight="false" outlineLevel="0" collapsed="false">
      <c r="A51" s="9" t="s">
        <v>63</v>
      </c>
      <c r="B51" s="10"/>
      <c r="C51" s="9" t="s">
        <v>2342</v>
      </c>
      <c r="D51" s="9" t="s">
        <v>2342</v>
      </c>
      <c r="E51" s="9" t="s">
        <v>56</v>
      </c>
      <c r="F51" s="9" t="s">
        <v>57</v>
      </c>
      <c r="G51" s="9" t="s">
        <v>57</v>
      </c>
      <c r="H51" s="9" t="s">
        <v>111</v>
      </c>
      <c r="I51" s="9" t="str">
        <f aca="false">TRIM(A51) &amp; TRIM(F51) &amp; TRIM(H51)</f>
        <v>First ReviewBid Ad GroupUS</v>
      </c>
      <c r="J51" s="9" t="n">
        <f aca="false">IFERROR(VLOOKUP(I51,'WFM Q4 Target'!J:K,2,0),"-")</f>
        <v>139.032</v>
      </c>
      <c r="K51" s="9" t="n">
        <v>369.8117</v>
      </c>
      <c r="L51" s="9" t="n">
        <v>183.0572</v>
      </c>
      <c r="M51" s="9" t="str">
        <f aca="false">IFERROR(IF(K51&gt;J51,"Not Meet Target","Meet Target"),"-")</f>
        <v>Not Meet Target</v>
      </c>
      <c r="N51" s="9" t="str">
        <f aca="false">IFERROR(VLOOKUP(D51,'Team Member List'!B:C,2,0),"")</f>
        <v>TL Lindgren</v>
      </c>
      <c r="O51" s="9" t="s">
        <v>2408</v>
      </c>
    </row>
    <row r="52" customFormat="false" ht="15" hidden="false" customHeight="false" outlineLevel="0" collapsed="false">
      <c r="A52" s="9" t="s">
        <v>63</v>
      </c>
      <c r="B52" s="10"/>
      <c r="C52" s="9"/>
      <c r="D52" s="9" t="s">
        <v>2342</v>
      </c>
      <c r="E52" s="9" t="s">
        <v>973</v>
      </c>
      <c r="F52" s="9" t="s">
        <v>974</v>
      </c>
      <c r="G52" s="9" t="s">
        <v>974</v>
      </c>
      <c r="H52" s="9" t="s">
        <v>150</v>
      </c>
      <c r="I52" s="9" t="str">
        <f aca="false">TRIM(A52) &amp; TRIM(F52) &amp; TRIM(H52)</f>
        <v>First ReviewHighlight ViewDE</v>
      </c>
      <c r="J52" s="9" t="n">
        <f aca="false">IFERROR(VLOOKUP(I52,'WFM Q4 Target'!J:K,2,0),"-")</f>
        <v>682.752</v>
      </c>
      <c r="K52" s="9" t="n">
        <v>664.8906</v>
      </c>
      <c r="L52" s="9" t="n">
        <v>0</v>
      </c>
      <c r="M52" s="9" t="str">
        <f aca="false">IFERROR(IF(K52&gt;J52,"Not Meet Target","Meet Target"),"-")</f>
        <v>Meet Target</v>
      </c>
      <c r="N52" s="9" t="str">
        <f aca="false">IFERROR(VLOOKUP(D52,'Team Member List'!B:C,2,0),"")</f>
        <v>TL Lindgren</v>
      </c>
      <c r="O52" s="9" t="s">
        <v>2408</v>
      </c>
    </row>
    <row r="53" customFormat="false" ht="15" hidden="false" customHeight="false" outlineLevel="0" collapsed="false">
      <c r="A53" s="9" t="s">
        <v>63</v>
      </c>
      <c r="B53" s="10"/>
      <c r="C53" s="9" t="s">
        <v>2373</v>
      </c>
      <c r="D53" s="9" t="s">
        <v>2373</v>
      </c>
      <c r="E53" s="9" t="s">
        <v>56</v>
      </c>
      <c r="F53" s="9" t="s">
        <v>57</v>
      </c>
      <c r="G53" s="9" t="s">
        <v>57</v>
      </c>
      <c r="H53" s="9" t="s">
        <v>87</v>
      </c>
      <c r="I53" s="9" t="str">
        <f aca="false">TRIM(A53) &amp; TRIM(F53) &amp; TRIM(H53)</f>
        <v>First ReviewBid Ad GroupAE</v>
      </c>
      <c r="J53" s="9" t="n">
        <f aca="false">IFERROR(VLOOKUP(I53,'WFM Q4 Target'!J:K,2,0),"-")</f>
        <v>99.72</v>
      </c>
      <c r="K53" s="9" t="n">
        <v>191.039</v>
      </c>
      <c r="L53" s="9" t="n">
        <v>60.2435</v>
      </c>
      <c r="M53" s="9" t="str">
        <f aca="false">IFERROR(IF(K53&gt;J53,"Not Meet Target","Meet Target"),"-")</f>
        <v>Not Meet Target</v>
      </c>
      <c r="N53" s="9" t="str">
        <f aca="false">IFERROR(VLOOKUP(D53,'Team Member List'!B:C,2,0),"")</f>
        <v>TL Okafor</v>
      </c>
      <c r="O53" s="9" t="s">
        <v>2408</v>
      </c>
    </row>
    <row r="54" customFormat="false" ht="15" hidden="false" customHeight="false" outlineLevel="0" collapsed="false">
      <c r="A54" s="9" t="s">
        <v>63</v>
      </c>
      <c r="B54" s="10"/>
      <c r="C54" s="9"/>
      <c r="D54" s="9" t="s">
        <v>2373</v>
      </c>
      <c r="E54" s="9"/>
      <c r="F54" s="9" t="s">
        <v>57</v>
      </c>
      <c r="G54" s="9"/>
      <c r="H54" s="9" t="s">
        <v>157</v>
      </c>
      <c r="I54" s="9" t="str">
        <f aca="false">TRIM(A54) &amp; TRIM(F54) &amp; TRIM(H54)</f>
        <v>First ReviewBid Ad GroupSA</v>
      </c>
      <c r="J54" s="9" t="n">
        <f aca="false">IFERROR(VLOOKUP(I54,'WFM Q4 Target'!J:K,2,0),"-")</f>
        <v>111.966</v>
      </c>
      <c r="K54" s="9" t="n">
        <v>134.181</v>
      </c>
      <c r="L54" s="9" t="n">
        <v>66.645</v>
      </c>
      <c r="M54" s="9" t="str">
        <f aca="false">IFERROR(IF(K54&gt;J54,"Not Meet Target","Meet Target"),"-")</f>
        <v>Not Meet Target</v>
      </c>
      <c r="N54" s="9" t="str">
        <f aca="false">IFERROR(VLOOKUP(D54,'Team Member List'!B:C,2,0),"")</f>
        <v>TL Okafor</v>
      </c>
      <c r="O54" s="9" t="s">
        <v>2408</v>
      </c>
    </row>
    <row r="55" customFormat="false" ht="15" hidden="false" customHeight="false" outlineLevel="0" collapsed="false">
      <c r="A55" s="9" t="s">
        <v>63</v>
      </c>
      <c r="B55" s="10"/>
      <c r="C55" s="9"/>
      <c r="D55" s="9" t="s">
        <v>2373</v>
      </c>
      <c r="E55" s="9" t="s">
        <v>973</v>
      </c>
      <c r="F55" s="9" t="s">
        <v>979</v>
      </c>
      <c r="G55" s="9" t="s">
        <v>979</v>
      </c>
      <c r="H55" s="9" t="s">
        <v>121</v>
      </c>
      <c r="I55" s="9" t="str">
        <f aca="false">TRIM(A55) &amp; TRIM(F55) &amp; TRIM(H55)</f>
        <v>First ReviewBooking Ads Pre ApprovalKR</v>
      </c>
      <c r="J55" s="9" t="str">
        <f aca="false">IFERROR(VLOOKUP(I55,'WFM Q4 Target'!J:K,2,0),"-")</f>
        <v>-</v>
      </c>
      <c r="K55" s="9" t="n">
        <v>152.629</v>
      </c>
      <c r="L55" s="9" t="n">
        <v>20.2095</v>
      </c>
      <c r="M55" s="9" t="str">
        <f aca="false">IFERROR(IF(K55&gt;J55,"Not Meet Target","Meet Target"),"-")</f>
        <v>Meet Target</v>
      </c>
      <c r="N55" s="9" t="str">
        <f aca="false">IFERROR(VLOOKUP(D55,'Team Member List'!B:C,2,0),"")</f>
        <v>TL Okafor</v>
      </c>
      <c r="O55" s="9" t="s">
        <v>2408</v>
      </c>
    </row>
    <row r="56" customFormat="false" ht="15" hidden="false" customHeight="false" outlineLevel="0" collapsed="false">
      <c r="A56" s="9" t="s">
        <v>63</v>
      </c>
      <c r="B56" s="10"/>
      <c r="C56" s="9"/>
      <c r="D56" s="9" t="s">
        <v>2373</v>
      </c>
      <c r="E56" s="9" t="s">
        <v>1432</v>
      </c>
      <c r="F56" s="9" t="s">
        <v>1498</v>
      </c>
      <c r="G56" s="9" t="s">
        <v>1498</v>
      </c>
      <c r="H56" s="9" t="s">
        <v>190</v>
      </c>
      <c r="I56" s="9" t="str">
        <f aca="false">TRIM(A56) &amp; TRIM(F56) &amp; TRIM(H56)</f>
        <v>First ReviewBE Adv CampaignPH</v>
      </c>
      <c r="J56" s="9" t="n">
        <f aca="false">IFERROR(VLOOKUP(I56,'WFM Q4 Target'!J:K,2,0),"-")</f>
        <v>77.454</v>
      </c>
      <c r="K56" s="9" t="n">
        <v>287.0117</v>
      </c>
      <c r="L56" s="9" t="n">
        <v>0</v>
      </c>
      <c r="M56" s="9" t="str">
        <f aca="false">IFERROR(IF(K56&gt;J56,"Not Meet Target","Meet Target"),"-")</f>
        <v>Not Meet Target</v>
      </c>
      <c r="N56" s="9" t="str">
        <f aca="false">IFERROR(VLOOKUP(D56,'Team Member List'!B:C,2,0),"")</f>
        <v>TL Okafor</v>
      </c>
      <c r="O56" s="9" t="s">
        <v>2408</v>
      </c>
    </row>
    <row r="57" customFormat="false" ht="15" hidden="false" customHeight="false" outlineLevel="0" collapsed="false">
      <c r="A57" s="9" t="s">
        <v>63</v>
      </c>
      <c r="B57" s="10"/>
      <c r="C57" s="9"/>
      <c r="D57" s="9" t="s">
        <v>2373</v>
      </c>
      <c r="E57" s="9"/>
      <c r="F57" s="9" t="s">
        <v>1438</v>
      </c>
      <c r="G57" s="9" t="s">
        <v>1438</v>
      </c>
      <c r="H57" s="9" t="s">
        <v>190</v>
      </c>
      <c r="I57" s="9" t="str">
        <f aca="false">TRIM(A57) &amp; TRIM(F57) &amp; TRIM(H57)</f>
        <v>First ReviewQuest Adv VideoPH</v>
      </c>
      <c r="J57" s="9" t="n">
        <f aca="false">IFERROR(VLOOKUP(I57,'WFM Q4 Target'!J:K,2,0),"-")</f>
        <v>13.278</v>
      </c>
      <c r="K57" s="9" t="n">
        <v>356.0621</v>
      </c>
      <c r="L57" s="9" t="n">
        <v>47.4267</v>
      </c>
      <c r="M57" s="9" t="str">
        <f aca="false">IFERROR(IF(K57&gt;J57,"Not Meet Target","Meet Target"),"-")</f>
        <v>Not Meet Target</v>
      </c>
      <c r="N57" s="9" t="str">
        <f aca="false">IFERROR(VLOOKUP(D57,'Team Member List'!B:C,2,0),"")</f>
        <v>TL Okafor</v>
      </c>
      <c r="O57" s="9" t="s">
        <v>2408</v>
      </c>
    </row>
    <row r="58" customFormat="false" ht="15" hidden="false" customHeight="false" outlineLevel="0" collapsed="false">
      <c r="A58" s="9" t="s">
        <v>63</v>
      </c>
      <c r="B58" s="10"/>
      <c r="C58" s="9" t="s">
        <v>2338</v>
      </c>
      <c r="D58" s="9" t="s">
        <v>2338</v>
      </c>
      <c r="E58" s="9" t="s">
        <v>56</v>
      </c>
      <c r="F58" s="9" t="s">
        <v>57</v>
      </c>
      <c r="G58" s="9" t="s">
        <v>57</v>
      </c>
      <c r="H58" s="9" t="s">
        <v>106</v>
      </c>
      <c r="I58" s="9" t="str">
        <f aca="false">TRIM(A58) &amp; TRIM(F58) &amp; TRIM(H58)</f>
        <v>First ReviewBid Ad GroupMY</v>
      </c>
      <c r="J58" s="9" t="n">
        <f aca="false">IFERROR(VLOOKUP(I58,'WFM Q4 Target'!J:K,2,0),"-")</f>
        <v>108.99</v>
      </c>
      <c r="K58" s="9" t="n">
        <v>176.8491</v>
      </c>
      <c r="L58" s="9" t="n">
        <v>485.8725</v>
      </c>
      <c r="M58" s="9" t="str">
        <f aca="false">IFERROR(IF(K58&gt;J58,"Not Meet Target","Meet Target"),"-")</f>
        <v>Not Meet Target</v>
      </c>
      <c r="N58" s="9" t="str">
        <f aca="false">IFERROR(VLOOKUP(D58,'Team Member List'!B:C,2,0),"")</f>
        <v>TL Ramirez</v>
      </c>
      <c r="O58" s="9" t="s">
        <v>2408</v>
      </c>
    </row>
    <row r="59" customFormat="false" ht="15" hidden="false" customHeight="false" outlineLevel="0" collapsed="false">
      <c r="A59" s="9" t="s">
        <v>63</v>
      </c>
      <c r="B59" s="10"/>
      <c r="C59" s="9"/>
      <c r="D59" s="9" t="s">
        <v>2338</v>
      </c>
      <c r="E59" s="9"/>
      <c r="F59" s="9" t="s">
        <v>57</v>
      </c>
      <c r="G59" s="9"/>
      <c r="H59" s="9" t="s">
        <v>58</v>
      </c>
      <c r="I59" s="9" t="str">
        <f aca="false">TRIM(A59) &amp; TRIM(F59) &amp; TRIM(H59)</f>
        <v>First ReviewBid Ad GroupSG</v>
      </c>
      <c r="J59" s="9" t="n">
        <f aca="false">IFERROR(VLOOKUP(I59,'WFM Q4 Target'!J:K,2,0),"-")</f>
        <v>104.316</v>
      </c>
      <c r="K59" s="9" t="n">
        <v>331.8032</v>
      </c>
      <c r="L59" s="9" t="n">
        <v>85.9466</v>
      </c>
      <c r="M59" s="9" t="str">
        <f aca="false">IFERROR(IF(K59&gt;J59,"Not Meet Target","Meet Target"),"-")</f>
        <v>Not Meet Target</v>
      </c>
      <c r="N59" s="9" t="str">
        <f aca="false">IFERROR(VLOOKUP(D59,'Team Member List'!B:C,2,0),"")</f>
        <v>TL Ramirez</v>
      </c>
      <c r="O59" s="9" t="s">
        <v>2408</v>
      </c>
    </row>
    <row r="60" customFormat="false" ht="15" hidden="false" customHeight="false" outlineLevel="0" collapsed="false">
      <c r="A60" s="9" t="s">
        <v>63</v>
      </c>
      <c r="B60" s="10"/>
      <c r="C60" s="9"/>
      <c r="D60" s="9" t="s">
        <v>2338</v>
      </c>
      <c r="E60" s="9"/>
      <c r="F60" s="9" t="s">
        <v>75</v>
      </c>
      <c r="G60" s="9" t="s">
        <v>75</v>
      </c>
      <c r="H60" s="9" t="s">
        <v>106</v>
      </c>
      <c r="I60" s="9" t="str">
        <f aca="false">TRIM(A60) &amp; TRIM(F60) &amp; TRIM(H60)</f>
        <v>First ReviewBid Ecom Ads GroupMY</v>
      </c>
      <c r="J60" s="9" t="n">
        <f aca="false">IFERROR(VLOOKUP(I60,'WFM Q4 Target'!J:K,2,0),"-")</f>
        <v>148.482</v>
      </c>
      <c r="K60" s="9" t="n">
        <v>134.7602</v>
      </c>
      <c r="L60" s="9" t="n">
        <v>213.2307</v>
      </c>
      <c r="M60" s="9" t="str">
        <f aca="false">IFERROR(IF(K60&gt;J60,"Not Meet Target","Meet Target"),"-")</f>
        <v>Meet Target</v>
      </c>
      <c r="N60" s="9" t="str">
        <f aca="false">IFERROR(VLOOKUP(D60,'Team Member List'!B:C,2,0),"")</f>
        <v>TL Ramirez</v>
      </c>
      <c r="O60" s="9" t="s">
        <v>2408</v>
      </c>
    </row>
    <row r="61" customFormat="false" ht="15" hidden="false" customHeight="false" outlineLevel="0" collapsed="false">
      <c r="A61" s="9" t="s">
        <v>63</v>
      </c>
      <c r="B61" s="10"/>
      <c r="C61" s="9"/>
      <c r="D61" s="9" t="s">
        <v>2338</v>
      </c>
      <c r="E61" s="9" t="s">
        <v>973</v>
      </c>
      <c r="F61" s="9" t="s">
        <v>989</v>
      </c>
      <c r="G61" s="9" t="s">
        <v>989</v>
      </c>
      <c r="H61" s="9" t="s">
        <v>58</v>
      </c>
      <c r="I61" s="9" t="str">
        <f aca="false">TRIM(A61) &amp; TRIM(F61) &amp; TRIM(H61)</f>
        <v>First ReviewMedia AdsSG</v>
      </c>
      <c r="J61" s="9" t="n">
        <f aca="false">IFERROR(VLOOKUP(I61,'WFM Q4 Target'!J:K,2,0),"-")</f>
        <v>54.522</v>
      </c>
      <c r="K61" s="9" t="n">
        <v>823.4187</v>
      </c>
      <c r="L61" s="9" t="n">
        <v>0</v>
      </c>
      <c r="M61" s="9" t="str">
        <f aca="false">IFERROR(IF(K61&gt;J61,"Not Meet Target","Meet Target"),"-")</f>
        <v>Not Meet Target</v>
      </c>
      <c r="N61" s="9" t="str">
        <f aca="false">IFERROR(VLOOKUP(D61,'Team Member List'!B:C,2,0),"")</f>
        <v>TL Ramirez</v>
      </c>
      <c r="O61" s="9" t="s">
        <v>2408</v>
      </c>
    </row>
    <row r="62" customFormat="false" ht="15" hidden="false" customHeight="false" outlineLevel="0" collapsed="false">
      <c r="A62" s="9" t="s">
        <v>63</v>
      </c>
      <c r="B62" s="10"/>
      <c r="C62" s="9"/>
      <c r="D62" s="9" t="s">
        <v>2338</v>
      </c>
      <c r="E62" s="9"/>
      <c r="F62" s="9" t="s">
        <v>979</v>
      </c>
      <c r="G62" s="9" t="s">
        <v>979</v>
      </c>
      <c r="H62" s="9" t="s">
        <v>106</v>
      </c>
      <c r="I62" s="9" t="str">
        <f aca="false">TRIM(A62) &amp; TRIM(F62) &amp; TRIM(H62)</f>
        <v>First ReviewBooking Ads Pre ApprovalMY</v>
      </c>
      <c r="J62" s="9" t="n">
        <f aca="false">IFERROR(VLOOKUP(I62,'WFM Q4 Target'!J:K,2,0),"-")</f>
        <v>91.824</v>
      </c>
      <c r="K62" s="9" t="n">
        <v>96.5703</v>
      </c>
      <c r="L62" s="9" t="n">
        <v>0</v>
      </c>
      <c r="M62" s="9" t="str">
        <f aca="false">IFERROR(IF(K62&gt;J62,"Not Meet Target","Meet Target"),"-")</f>
        <v>Not Meet Target</v>
      </c>
      <c r="N62" s="9" t="str">
        <f aca="false">IFERROR(VLOOKUP(D62,'Team Member List'!B:C,2,0),"")</f>
        <v>TL Ramirez</v>
      </c>
      <c r="O62" s="9" t="s">
        <v>2408</v>
      </c>
    </row>
    <row r="63" customFormat="false" ht="15" hidden="false" customHeight="false" outlineLevel="0" collapsed="false">
      <c r="A63" s="9" t="s">
        <v>63</v>
      </c>
      <c r="B63" s="10"/>
      <c r="C63" s="9" t="s">
        <v>2391</v>
      </c>
      <c r="D63" s="9" t="s">
        <v>2391</v>
      </c>
      <c r="E63" s="9" t="s">
        <v>973</v>
      </c>
      <c r="F63" s="9" t="s">
        <v>979</v>
      </c>
      <c r="G63" s="9" t="s">
        <v>979</v>
      </c>
      <c r="H63" s="9" t="s">
        <v>58</v>
      </c>
      <c r="I63" s="9" t="str">
        <f aca="false">TRIM(A63) &amp; TRIM(F63) &amp; TRIM(H63)</f>
        <v>First ReviewBooking Ads Pre ApprovalSG</v>
      </c>
      <c r="J63" s="9" t="n">
        <f aca="false">IFERROR(VLOOKUP(I63,'WFM Q4 Target'!J:K,2,0),"-")</f>
        <v>59.52</v>
      </c>
      <c r="K63" s="9" t="n">
        <v>372.005</v>
      </c>
      <c r="L63" s="9" t="n">
        <v>16.8504</v>
      </c>
      <c r="M63" s="9" t="str">
        <f aca="false">IFERROR(IF(K63&gt;J63,"Not Meet Target","Meet Target"),"-")</f>
        <v>Not Meet Target</v>
      </c>
      <c r="N63" s="9" t="str">
        <f aca="false">IFERROR(VLOOKUP(D63,'Team Member List'!B:C,2,0),"")</f>
        <v>TL Cabrera</v>
      </c>
      <c r="O63" s="9" t="s">
        <v>2408</v>
      </c>
    </row>
    <row r="64" customFormat="false" ht="15" hidden="false" customHeight="false" outlineLevel="0" collapsed="false">
      <c r="A64" s="9" t="s">
        <v>63</v>
      </c>
      <c r="B64" s="10"/>
      <c r="C64" s="9" t="s">
        <v>2350</v>
      </c>
      <c r="D64" s="9" t="s">
        <v>2350</v>
      </c>
      <c r="E64" s="9" t="s">
        <v>973</v>
      </c>
      <c r="F64" s="9" t="s">
        <v>974</v>
      </c>
      <c r="G64" s="9" t="s">
        <v>974</v>
      </c>
      <c r="H64" s="9" t="s">
        <v>62</v>
      </c>
      <c r="I64" s="9" t="str">
        <f aca="false">TRIM(A64) &amp; TRIM(F64) &amp; TRIM(H64)</f>
        <v>First ReviewHighlight ViewCL</v>
      </c>
      <c r="J64" s="9" t="n">
        <f aca="false">IFERROR(VLOOKUP(I64,'WFM Q4 Target'!J:K,2,0),"-")</f>
        <v>677.166</v>
      </c>
      <c r="K64" s="9" t="n">
        <v>830.3568</v>
      </c>
      <c r="L64" s="9" t="n">
        <v>0</v>
      </c>
      <c r="M64" s="9" t="str">
        <f aca="false">IFERROR(IF(K64&gt;J64,"Not Meet Target","Meet Target"),"-")</f>
        <v>Not Meet Target</v>
      </c>
      <c r="N64" s="9" t="str">
        <f aca="false">IFERROR(VLOOKUP(D64,'Team Member List'!B:C,2,0),"")</f>
        <v>TL Lindgren</v>
      </c>
      <c r="O64" s="9" t="s">
        <v>2408</v>
      </c>
    </row>
    <row r="65" customFormat="false" ht="15" hidden="false" customHeight="false" outlineLevel="0" collapsed="false">
      <c r="A65" s="9" t="s">
        <v>63</v>
      </c>
      <c r="B65" s="10"/>
      <c r="C65" s="9"/>
      <c r="D65" s="9" t="s">
        <v>2350</v>
      </c>
      <c r="E65" s="9"/>
      <c r="F65" s="9" t="s">
        <v>974</v>
      </c>
      <c r="G65" s="9"/>
      <c r="H65" s="9" t="s">
        <v>208</v>
      </c>
      <c r="I65" s="9" t="str">
        <f aca="false">TRIM(A65) &amp; TRIM(F65) &amp; TRIM(H65)</f>
        <v>First ReviewHighlight ViewCO</v>
      </c>
      <c r="J65" s="9" t="n">
        <f aca="false">IFERROR(VLOOKUP(I65,'WFM Q4 Target'!J:K,2,0),"-")</f>
        <v>513.444</v>
      </c>
      <c r="K65" s="9" t="n">
        <v>437.6683</v>
      </c>
      <c r="L65" s="9" t="n">
        <v>0</v>
      </c>
      <c r="M65" s="9" t="str">
        <f aca="false">IFERROR(IF(K65&gt;J65,"Not Meet Target","Meet Target"),"-")</f>
        <v>Meet Target</v>
      </c>
      <c r="N65" s="9" t="str">
        <f aca="false">IFERROR(VLOOKUP(D65,'Team Member List'!B:C,2,0),"")</f>
        <v>TL Lindgren</v>
      </c>
      <c r="O65" s="9" t="s">
        <v>2408</v>
      </c>
    </row>
    <row r="66" customFormat="false" ht="15" hidden="false" customHeight="false" outlineLevel="0" collapsed="false">
      <c r="A66" s="9" t="s">
        <v>63</v>
      </c>
      <c r="B66" s="10"/>
      <c r="C66" s="9" t="s">
        <v>2369</v>
      </c>
      <c r="D66" s="9" t="s">
        <v>2369</v>
      </c>
      <c r="E66" s="9" t="s">
        <v>973</v>
      </c>
      <c r="F66" s="9" t="s">
        <v>974</v>
      </c>
      <c r="G66" s="9" t="s">
        <v>974</v>
      </c>
      <c r="H66" s="9" t="s">
        <v>458</v>
      </c>
      <c r="I66" s="9" t="str">
        <f aca="false">TRIM(A66) &amp; TRIM(F66) &amp; TRIM(H66)</f>
        <v>First ReviewHighlight ViewTW</v>
      </c>
      <c r="J66" s="9" t="n">
        <f aca="false">IFERROR(VLOOKUP(I66,'WFM Q4 Target'!J:K,2,0),"-")</f>
        <v>261.162</v>
      </c>
      <c r="K66" s="9" t="n">
        <v>186.6123</v>
      </c>
      <c r="L66" s="9" t="n">
        <v>0</v>
      </c>
      <c r="M66" s="9" t="str">
        <f aca="false">IFERROR(IF(K66&gt;J66,"Not Meet Target","Meet Target"),"-")</f>
        <v>Meet Target</v>
      </c>
      <c r="N66" s="9" t="str">
        <f aca="false">IFERROR(VLOOKUP(D66,'Team Member List'!B:C,2,0),"")</f>
        <v>TL Okafor</v>
      </c>
      <c r="O66" s="9" t="s">
        <v>2408</v>
      </c>
    </row>
    <row r="67" customFormat="false" ht="15" hidden="false" customHeight="false" outlineLevel="0" collapsed="false">
      <c r="A67" s="9" t="s">
        <v>63</v>
      </c>
      <c r="B67" s="10"/>
      <c r="C67" s="9" t="s">
        <v>2362</v>
      </c>
      <c r="D67" s="9" t="s">
        <v>2362</v>
      </c>
      <c r="E67" s="9" t="s">
        <v>56</v>
      </c>
      <c r="F67" s="9" t="s">
        <v>57</v>
      </c>
      <c r="G67" s="9" t="s">
        <v>57</v>
      </c>
      <c r="H67" s="9" t="s">
        <v>235</v>
      </c>
      <c r="I67" s="9" t="str">
        <f aca="false">TRIM(A67) &amp; TRIM(F67) &amp; TRIM(H67)</f>
        <v>First ReviewBid Ad GroupJP</v>
      </c>
      <c r="J67" s="9" t="n">
        <f aca="false">IFERROR(VLOOKUP(I67,'WFM Q4 Target'!J:K,2,0),"-")</f>
        <v>140.514</v>
      </c>
      <c r="K67" s="9" t="n">
        <v>280.2434</v>
      </c>
      <c r="L67" s="9" t="n">
        <v>69.7508</v>
      </c>
      <c r="M67" s="9" t="str">
        <f aca="false">IFERROR(IF(K67&gt;J67,"Not Meet Target","Meet Target"),"-")</f>
        <v>Not Meet Target</v>
      </c>
      <c r="N67" s="9" t="str">
        <f aca="false">IFERROR(VLOOKUP(D67,'Team Member List'!B:C,2,0),"")</f>
        <v>TL Okafor</v>
      </c>
      <c r="O67" s="9" t="s">
        <v>2408</v>
      </c>
    </row>
    <row r="68" customFormat="false" ht="15" hidden="false" customHeight="false" outlineLevel="0" collapsed="false">
      <c r="A68" s="9" t="s">
        <v>63</v>
      </c>
      <c r="B68" s="10"/>
      <c r="C68" s="9"/>
      <c r="D68" s="9" t="s">
        <v>2362</v>
      </c>
      <c r="E68" s="9"/>
      <c r="F68" s="9" t="s">
        <v>84</v>
      </c>
      <c r="G68" s="9" t="s">
        <v>84</v>
      </c>
      <c r="H68" s="9" t="s">
        <v>235</v>
      </c>
      <c r="I68" s="9" t="str">
        <f aca="false">TRIM(A68) &amp; TRIM(F68) &amp; TRIM(H68)</f>
        <v>First ReviewBid Ecom VideoJP</v>
      </c>
      <c r="J68" s="9" t="n">
        <f aca="false">IFERROR(VLOOKUP(I68,'WFM Q4 Target'!J:K,2,0),"-")</f>
        <v>60.69</v>
      </c>
      <c r="K68" s="9" t="n">
        <v>265.5028</v>
      </c>
      <c r="L68" s="9" t="n">
        <v>72.0195</v>
      </c>
      <c r="M68" s="9" t="str">
        <f aca="false">IFERROR(IF(K68&gt;J68,"Not Meet Target","Meet Target"),"-")</f>
        <v>Not Meet Target</v>
      </c>
      <c r="N68" s="9" t="str">
        <f aca="false">IFERROR(VLOOKUP(D68,'Team Member List'!B:C,2,0),"")</f>
        <v>TL Okafor</v>
      </c>
      <c r="O68" s="9" t="s">
        <v>2408</v>
      </c>
    </row>
    <row r="69" customFormat="false" ht="15" hidden="false" customHeight="false" outlineLevel="0" collapsed="false">
      <c r="A69" s="9" t="s">
        <v>63</v>
      </c>
      <c r="B69" s="10"/>
      <c r="C69" s="9" t="s">
        <v>2334</v>
      </c>
      <c r="D69" s="9" t="s">
        <v>2334</v>
      </c>
      <c r="E69" s="9" t="s">
        <v>56</v>
      </c>
      <c r="F69" s="9" t="s">
        <v>57</v>
      </c>
      <c r="G69" s="9" t="s">
        <v>57</v>
      </c>
      <c r="H69" s="9" t="s">
        <v>267</v>
      </c>
      <c r="I69" s="9" t="str">
        <f aca="false">TRIM(A69) &amp; TRIM(F69) &amp; TRIM(H69)</f>
        <v>First ReviewBid Ad GroupID</v>
      </c>
      <c r="J69" s="9" t="n">
        <f aca="false">IFERROR(VLOOKUP(I69,'WFM Q4 Target'!J:K,2,0),"-")</f>
        <v>118.062</v>
      </c>
      <c r="K69" s="9" t="n">
        <v>287.4702</v>
      </c>
      <c r="L69" s="9" t="n">
        <v>152.5862</v>
      </c>
      <c r="M69" s="9" t="str">
        <f aca="false">IFERROR(IF(K69&gt;J69,"Not Meet Target","Meet Target"),"-")</f>
        <v>Not Meet Target</v>
      </c>
      <c r="N69" s="9" t="str">
        <f aca="false">IFERROR(VLOOKUP(D69,'Team Member List'!B:C,2,0),"")</f>
        <v>TL Ramirez</v>
      </c>
      <c r="O69" s="9" t="s">
        <v>2408</v>
      </c>
    </row>
    <row r="70" customFormat="false" ht="15" hidden="false" customHeight="false" outlineLevel="0" collapsed="false">
      <c r="A70" s="9" t="s">
        <v>63</v>
      </c>
      <c r="B70" s="10"/>
      <c r="C70" s="9"/>
      <c r="D70" s="9" t="s">
        <v>2334</v>
      </c>
      <c r="E70" s="9"/>
      <c r="F70" s="9" t="s">
        <v>75</v>
      </c>
      <c r="G70" s="9" t="s">
        <v>75</v>
      </c>
      <c r="H70" s="9" t="s">
        <v>267</v>
      </c>
      <c r="I70" s="9" t="str">
        <f aca="false">TRIM(A70) &amp; TRIM(F70) &amp; TRIM(H70)</f>
        <v>First ReviewBid Ecom Ads GroupID</v>
      </c>
      <c r="J70" s="9" t="n">
        <f aca="false">IFERROR(VLOOKUP(I70,'WFM Q4 Target'!J:K,2,0),"-")</f>
        <v>155.28</v>
      </c>
      <c r="K70" s="9" t="n">
        <v>144.5607</v>
      </c>
      <c r="L70" s="9" t="n">
        <v>90.8473</v>
      </c>
      <c r="M70" s="9" t="str">
        <f aca="false">IFERROR(IF(K70&gt;J70,"Not Meet Target","Meet Target"),"-")</f>
        <v>Meet Target</v>
      </c>
      <c r="N70" s="9" t="str">
        <f aca="false">IFERROR(VLOOKUP(D70,'Team Member List'!B:C,2,0),"")</f>
        <v>TL Ramirez</v>
      </c>
      <c r="O70" s="9" t="s">
        <v>2408</v>
      </c>
    </row>
    <row r="71" customFormat="false" ht="15" hidden="false" customHeight="false" outlineLevel="0" collapsed="false">
      <c r="A71" s="9" t="s">
        <v>63</v>
      </c>
      <c r="B71" s="10"/>
      <c r="C71" s="9"/>
      <c r="D71" s="9" t="s">
        <v>2334</v>
      </c>
      <c r="E71" s="9"/>
      <c r="F71" s="9" t="s">
        <v>61</v>
      </c>
      <c r="G71" s="9" t="s">
        <v>61</v>
      </c>
      <c r="H71" s="9" t="s">
        <v>267</v>
      </c>
      <c r="I71" s="9" t="str">
        <f aca="false">TRIM(A71) &amp; TRIM(F71) &amp; TRIM(H71)</f>
        <v>First ReviewBid Ecom URLID</v>
      </c>
      <c r="J71" s="9" t="n">
        <f aca="false">IFERROR(VLOOKUP(I71,'WFM Q4 Target'!J:K,2,0),"-")</f>
        <v>64.764</v>
      </c>
      <c r="K71" s="9" t="n">
        <v>233.051</v>
      </c>
      <c r="L71" s="9" t="n">
        <v>0</v>
      </c>
      <c r="M71" s="9" t="str">
        <f aca="false">IFERROR(IF(K71&gt;J71,"Not Meet Target","Meet Target"),"-")</f>
        <v>Not Meet Target</v>
      </c>
      <c r="N71" s="9" t="str">
        <f aca="false">IFERROR(VLOOKUP(D71,'Team Member List'!B:C,2,0),"")</f>
        <v>TL Ramirez</v>
      </c>
      <c r="O71" s="9" t="s">
        <v>2408</v>
      </c>
    </row>
    <row r="72" customFormat="false" ht="15" hidden="false" customHeight="false" outlineLevel="0" collapsed="false">
      <c r="A72" s="9" t="s">
        <v>63</v>
      </c>
      <c r="B72" s="10"/>
      <c r="C72" s="9"/>
      <c r="D72" s="9" t="s">
        <v>2334</v>
      </c>
      <c r="E72" s="9" t="s">
        <v>973</v>
      </c>
      <c r="F72" s="9" t="s">
        <v>2410</v>
      </c>
      <c r="G72" s="9" t="s">
        <v>2410</v>
      </c>
      <c r="H72" s="9" t="s">
        <v>267</v>
      </c>
      <c r="I72" s="9" t="str">
        <f aca="false">TRIM(A72) &amp; TRIM(F72) &amp; TRIM(H72)</f>
        <v>First ReviewReach &amp; FrequencyID</v>
      </c>
      <c r="J72" s="9" t="str">
        <f aca="false">IFERROR(VLOOKUP(I72,'WFM Q4 Target'!J:K,2,0),"-")</f>
        <v>-</v>
      </c>
      <c r="K72" s="9" t="n">
        <v>477.3395</v>
      </c>
      <c r="L72" s="9" t="n">
        <v>231.4824</v>
      </c>
      <c r="M72" s="9" t="str">
        <f aca="false">IFERROR(IF(K72&gt;J72,"Not Meet Target","Meet Target"),"-")</f>
        <v>Meet Target</v>
      </c>
      <c r="N72" s="9" t="str">
        <f aca="false">IFERROR(VLOOKUP(D72,'Team Member List'!B:C,2,0),"")</f>
        <v>TL Ramirez</v>
      </c>
      <c r="O72" s="9" t="s">
        <v>2408</v>
      </c>
    </row>
    <row r="73" customFormat="false" ht="15" hidden="false" customHeight="false" outlineLevel="0" collapsed="false">
      <c r="A73" s="9" t="s">
        <v>63</v>
      </c>
      <c r="B73" s="10"/>
      <c r="C73" s="9"/>
      <c r="D73" s="9" t="s">
        <v>2334</v>
      </c>
      <c r="E73" s="9"/>
      <c r="F73" s="9" t="s">
        <v>974</v>
      </c>
      <c r="G73" s="9" t="s">
        <v>974</v>
      </c>
      <c r="H73" s="9" t="s">
        <v>267</v>
      </c>
      <c r="I73" s="9" t="str">
        <f aca="false">TRIM(A73) &amp; TRIM(F73) &amp; TRIM(H73)</f>
        <v>First ReviewHighlight ViewID</v>
      </c>
      <c r="J73" s="9" t="n">
        <f aca="false">IFERROR(VLOOKUP(I73,'WFM Q4 Target'!J:K,2,0),"-")</f>
        <v>590.502</v>
      </c>
      <c r="K73" s="9" t="n">
        <v>116.8596</v>
      </c>
      <c r="L73" s="9" t="n">
        <v>17.3837</v>
      </c>
      <c r="M73" s="9" t="str">
        <f aca="false">IFERROR(IF(K73&gt;J73,"Not Meet Target","Meet Target"),"-")</f>
        <v>Meet Target</v>
      </c>
      <c r="N73" s="9" t="str">
        <f aca="false">IFERROR(VLOOKUP(D73,'Team Member List'!B:C,2,0),"")</f>
        <v>TL Ramirez</v>
      </c>
      <c r="O73" s="9" t="s">
        <v>2408</v>
      </c>
    </row>
    <row r="74" customFormat="false" ht="15" hidden="false" customHeight="false" outlineLevel="0" collapsed="false">
      <c r="A74" s="9" t="s">
        <v>63</v>
      </c>
      <c r="B74" s="10"/>
      <c r="C74" s="9" t="s">
        <v>2351</v>
      </c>
      <c r="D74" s="9" t="s">
        <v>2351</v>
      </c>
      <c r="E74" s="9" t="s">
        <v>973</v>
      </c>
      <c r="F74" s="9" t="s">
        <v>979</v>
      </c>
      <c r="G74" s="9" t="s">
        <v>979</v>
      </c>
      <c r="H74" s="9" t="s">
        <v>95</v>
      </c>
      <c r="I74" s="9" t="str">
        <f aca="false">TRIM(A74) &amp; TRIM(F74) &amp; TRIM(H74)</f>
        <v>First ReviewBooking Ads Pre ApprovalVN</v>
      </c>
      <c r="J74" s="9" t="n">
        <f aca="false">IFERROR(VLOOKUP(I74,'WFM Q4 Target'!J:K,2,0),"-")</f>
        <v>213.222</v>
      </c>
      <c r="K74" s="9" t="n">
        <v>636.8632</v>
      </c>
      <c r="L74" s="9" t="n">
        <v>32.0359</v>
      </c>
      <c r="M74" s="9" t="str">
        <f aca="false">IFERROR(IF(K74&gt;J74,"Not Meet Target","Meet Target"),"-")</f>
        <v>Not Meet Target</v>
      </c>
      <c r="N74" s="9" t="str">
        <f aca="false">IFERROR(VLOOKUP(D74,'Team Member List'!B:C,2,0),"")</f>
        <v>TL Lindgren</v>
      </c>
      <c r="O74" s="9" t="s">
        <v>2408</v>
      </c>
    </row>
    <row r="75" customFormat="false" ht="15" hidden="false" customHeight="false" outlineLevel="0" collapsed="false">
      <c r="A75" s="9" t="s">
        <v>63</v>
      </c>
      <c r="B75" s="10"/>
      <c r="C75" s="9"/>
      <c r="D75" s="9" t="s">
        <v>2351</v>
      </c>
      <c r="E75" s="9"/>
      <c r="F75" s="9" t="s">
        <v>974</v>
      </c>
      <c r="G75" s="9" t="s">
        <v>974</v>
      </c>
      <c r="H75" s="9" t="s">
        <v>95</v>
      </c>
      <c r="I75" s="9" t="str">
        <f aca="false">TRIM(A75) &amp; TRIM(F75) &amp; TRIM(H75)</f>
        <v>First ReviewHighlight ViewVN</v>
      </c>
      <c r="J75" s="9" t="n">
        <f aca="false">IFERROR(VLOOKUP(I75,'WFM Q4 Target'!J:K,2,0),"-")</f>
        <v>286.158</v>
      </c>
      <c r="K75" s="9" t="n">
        <v>532.1362</v>
      </c>
      <c r="L75" s="9" t="n">
        <v>24.1226</v>
      </c>
      <c r="M75" s="9" t="str">
        <f aca="false">IFERROR(IF(K75&gt;J75,"Not Meet Target","Meet Target"),"-")</f>
        <v>Not Meet Target</v>
      </c>
      <c r="N75" s="9" t="str">
        <f aca="false">IFERROR(VLOOKUP(D75,'Team Member List'!B:C,2,0),"")</f>
        <v>TL Lindgren</v>
      </c>
      <c r="O75" s="9" t="s">
        <v>2408</v>
      </c>
    </row>
    <row r="76" customFormat="false" ht="15" hidden="false" customHeight="false" outlineLevel="0" collapsed="false">
      <c r="A76" s="9" t="s">
        <v>63</v>
      </c>
      <c r="B76" s="10"/>
      <c r="C76" s="9" t="s">
        <v>2327</v>
      </c>
      <c r="D76" s="9" t="s">
        <v>2327</v>
      </c>
      <c r="E76" s="9" t="s">
        <v>56</v>
      </c>
      <c r="F76" s="9" t="s">
        <v>57</v>
      </c>
      <c r="G76" s="9" t="s">
        <v>57</v>
      </c>
      <c r="H76" s="9" t="s">
        <v>267</v>
      </c>
      <c r="I76" s="9" t="str">
        <f aca="false">TRIM(A76) &amp; TRIM(F76) &amp; TRIM(H76)</f>
        <v>First ReviewBid Ad GroupID</v>
      </c>
      <c r="J76" s="9" t="n">
        <f aca="false">IFERROR(VLOOKUP(I76,'WFM Q4 Target'!J:K,2,0),"-")</f>
        <v>118.062</v>
      </c>
      <c r="K76" s="9" t="n">
        <v>102.2693</v>
      </c>
      <c r="L76" s="9" t="n">
        <v>294.825</v>
      </c>
      <c r="M76" s="9" t="str">
        <f aca="false">IFERROR(IF(K76&gt;J76,"Not Meet Target","Meet Target"),"-")</f>
        <v>Meet Target</v>
      </c>
      <c r="N76" s="9" t="str">
        <f aca="false">IFERROR(VLOOKUP(D76,'Team Member List'!B:C,2,0),"")</f>
        <v>TL Ramirez</v>
      </c>
      <c r="O76" s="9" t="s">
        <v>2408</v>
      </c>
    </row>
    <row r="77" customFormat="false" ht="15" hidden="false" customHeight="false" outlineLevel="0" collapsed="false">
      <c r="A77" s="9" t="s">
        <v>63</v>
      </c>
      <c r="B77" s="10"/>
      <c r="C77" s="9"/>
      <c r="D77" s="9" t="s">
        <v>2327</v>
      </c>
      <c r="E77" s="9" t="s">
        <v>973</v>
      </c>
      <c r="F77" s="9" t="s">
        <v>979</v>
      </c>
      <c r="G77" s="9" t="s">
        <v>979</v>
      </c>
      <c r="H77" s="9" t="s">
        <v>267</v>
      </c>
      <c r="I77" s="9" t="str">
        <f aca="false">TRIM(A77) &amp; TRIM(F77) &amp; TRIM(H77)</f>
        <v>First ReviewBooking Ads Pre ApprovalID</v>
      </c>
      <c r="J77" s="9" t="n">
        <f aca="false">IFERROR(VLOOKUP(I77,'WFM Q4 Target'!J:K,2,0),"-")</f>
        <v>271.992</v>
      </c>
      <c r="K77" s="9" t="n">
        <v>314.1535</v>
      </c>
      <c r="L77" s="9" t="n">
        <v>11.6321</v>
      </c>
      <c r="M77" s="9" t="str">
        <f aca="false">IFERROR(IF(K77&gt;J77,"Not Meet Target","Meet Target"),"-")</f>
        <v>Not Meet Target</v>
      </c>
      <c r="N77" s="9" t="str">
        <f aca="false">IFERROR(VLOOKUP(D77,'Team Member List'!B:C,2,0),"")</f>
        <v>TL Ramirez</v>
      </c>
      <c r="O77" s="9" t="s">
        <v>2408</v>
      </c>
    </row>
    <row r="78" customFormat="false" ht="15" hidden="false" customHeight="false" outlineLevel="0" collapsed="false">
      <c r="A78" s="9" t="s">
        <v>63</v>
      </c>
      <c r="B78" s="10"/>
      <c r="C78" s="9"/>
      <c r="D78" s="9" t="s">
        <v>2327</v>
      </c>
      <c r="E78" s="9"/>
      <c r="F78" s="9" t="s">
        <v>974</v>
      </c>
      <c r="G78" s="9" t="s">
        <v>974</v>
      </c>
      <c r="H78" s="9" t="s">
        <v>128</v>
      </c>
      <c r="I78" s="9" t="str">
        <f aca="false">TRIM(A78) &amp; TRIM(F78) &amp; TRIM(H78)</f>
        <v>First ReviewHighlight ViewBD</v>
      </c>
      <c r="J78" s="9" t="n">
        <f aca="false">IFERROR(VLOOKUP(I78,'WFM Q4 Target'!J:K,2,0),"-")</f>
        <v>129.36</v>
      </c>
      <c r="K78" s="9" t="n">
        <v>1025.4526</v>
      </c>
      <c r="L78" s="9" t="n">
        <v>0</v>
      </c>
      <c r="M78" s="9" t="str">
        <f aca="false">IFERROR(IF(K78&gt;J78,"Not Meet Target","Meet Target"),"-")</f>
        <v>Not Meet Target</v>
      </c>
      <c r="N78" s="9" t="str">
        <f aca="false">IFERROR(VLOOKUP(D78,'Team Member List'!B:C,2,0),"")</f>
        <v>TL Ramirez</v>
      </c>
      <c r="O78" s="9" t="s">
        <v>2408</v>
      </c>
    </row>
    <row r="79" customFormat="false" ht="15" hidden="false" customHeight="false" outlineLevel="0" collapsed="false">
      <c r="A79" s="9" t="s">
        <v>63</v>
      </c>
      <c r="B79" s="10"/>
      <c r="C79" s="9"/>
      <c r="D79" s="9" t="s">
        <v>2327</v>
      </c>
      <c r="E79" s="9"/>
      <c r="F79" s="9" t="s">
        <v>974</v>
      </c>
      <c r="G79" s="9"/>
      <c r="H79" s="9" t="s">
        <v>150</v>
      </c>
      <c r="I79" s="9" t="str">
        <f aca="false">TRIM(A79) &amp; TRIM(F79) &amp; TRIM(H79)</f>
        <v>First ReviewHighlight ViewDE</v>
      </c>
      <c r="J79" s="9" t="n">
        <f aca="false">IFERROR(VLOOKUP(I79,'WFM Q4 Target'!J:K,2,0),"-")</f>
        <v>682.752</v>
      </c>
      <c r="K79" s="9" t="n">
        <v>265.7897</v>
      </c>
      <c r="L79" s="9" t="n">
        <v>0</v>
      </c>
      <c r="M79" s="9" t="str">
        <f aca="false">IFERROR(IF(K79&gt;J79,"Not Meet Target","Meet Target"),"-")</f>
        <v>Meet Target</v>
      </c>
      <c r="N79" s="9" t="str">
        <f aca="false">IFERROR(VLOOKUP(D79,'Team Member List'!B:C,2,0),"")</f>
        <v>TL Ramirez</v>
      </c>
      <c r="O79" s="9" t="s">
        <v>2408</v>
      </c>
    </row>
    <row r="80" customFormat="false" ht="15" hidden="false" customHeight="false" outlineLevel="0" collapsed="false">
      <c r="A80" s="9" t="s">
        <v>63</v>
      </c>
      <c r="B80" s="10"/>
      <c r="C80" s="9"/>
      <c r="D80" s="9" t="s">
        <v>2327</v>
      </c>
      <c r="E80" s="9"/>
      <c r="F80" s="9" t="s">
        <v>974</v>
      </c>
      <c r="G80" s="9"/>
      <c r="H80" s="9" t="s">
        <v>154</v>
      </c>
      <c r="I80" s="9" t="str">
        <f aca="false">TRIM(A80) &amp; TRIM(F80) &amp; TRIM(H80)</f>
        <v>First ReviewHighlight ViewES</v>
      </c>
      <c r="J80" s="9" t="n">
        <f aca="false">IFERROR(VLOOKUP(I80,'WFM Q4 Target'!J:K,2,0),"-")</f>
        <v>168.468</v>
      </c>
      <c r="K80" s="9" t="n">
        <v>311.0365</v>
      </c>
      <c r="L80" s="9" t="n">
        <v>0</v>
      </c>
      <c r="M80" s="9" t="str">
        <f aca="false">IFERROR(IF(K80&gt;J80,"Not Meet Target","Meet Target"),"-")</f>
        <v>Not Meet Target</v>
      </c>
      <c r="N80" s="9" t="str">
        <f aca="false">IFERROR(VLOOKUP(D80,'Team Member List'!B:C,2,0),"")</f>
        <v>TL Ramirez</v>
      </c>
      <c r="O80" s="9" t="s">
        <v>2408</v>
      </c>
    </row>
    <row r="81" customFormat="false" ht="15" hidden="false" customHeight="false" outlineLevel="0" collapsed="false">
      <c r="A81" s="9" t="s">
        <v>63</v>
      </c>
      <c r="B81" s="10"/>
      <c r="C81" s="9"/>
      <c r="D81" s="9" t="s">
        <v>2327</v>
      </c>
      <c r="E81" s="9"/>
      <c r="F81" s="9" t="s">
        <v>974</v>
      </c>
      <c r="G81" s="9"/>
      <c r="H81" s="9" t="s">
        <v>275</v>
      </c>
      <c r="I81" s="9" t="str">
        <f aca="false">TRIM(A81) &amp; TRIM(F81) &amp; TRIM(H81)</f>
        <v>First ReviewHighlight ViewGB</v>
      </c>
      <c r="J81" s="9" t="n">
        <f aca="false">IFERROR(VLOOKUP(I81,'WFM Q4 Target'!J:K,2,0),"-")</f>
        <v>151.884</v>
      </c>
      <c r="K81" s="9" t="n">
        <v>509.1419</v>
      </c>
      <c r="L81" s="9" t="n">
        <v>0</v>
      </c>
      <c r="M81" s="9" t="str">
        <f aca="false">IFERROR(IF(K81&gt;J81,"Not Meet Target","Meet Target"),"-")</f>
        <v>Not Meet Target</v>
      </c>
      <c r="N81" s="9" t="str">
        <f aca="false">IFERROR(VLOOKUP(D81,'Team Member List'!B:C,2,0),"")</f>
        <v>TL Ramirez</v>
      </c>
      <c r="O81" s="9" t="s">
        <v>2408</v>
      </c>
    </row>
    <row r="82" customFormat="false" ht="15" hidden="false" customHeight="false" outlineLevel="0" collapsed="false">
      <c r="A82" s="9" t="s">
        <v>63</v>
      </c>
      <c r="B82" s="10"/>
      <c r="C82" s="9"/>
      <c r="D82" s="9" t="s">
        <v>2327</v>
      </c>
      <c r="E82" s="9"/>
      <c r="F82" s="9" t="s">
        <v>974</v>
      </c>
      <c r="G82" s="9"/>
      <c r="H82" s="9" t="s">
        <v>267</v>
      </c>
      <c r="I82" s="9" t="str">
        <f aca="false">TRIM(A82) &amp; TRIM(F82) &amp; TRIM(H82)</f>
        <v>First ReviewHighlight ViewID</v>
      </c>
      <c r="J82" s="9" t="n">
        <f aca="false">IFERROR(VLOOKUP(I82,'WFM Q4 Target'!J:K,2,0),"-")</f>
        <v>590.502</v>
      </c>
      <c r="K82" s="9" t="n">
        <v>116.6679</v>
      </c>
      <c r="L82" s="9" t="n">
        <v>7.7691</v>
      </c>
      <c r="M82" s="9" t="str">
        <f aca="false">IFERROR(IF(K82&gt;J82,"Not Meet Target","Meet Target"),"-")</f>
        <v>Meet Target</v>
      </c>
      <c r="N82" s="9" t="str">
        <f aca="false">IFERROR(VLOOKUP(D82,'Team Member List'!B:C,2,0),"")</f>
        <v>TL Ramirez</v>
      </c>
      <c r="O82" s="9" t="s">
        <v>2408</v>
      </c>
    </row>
    <row r="83" customFormat="false" ht="15" hidden="false" customHeight="false" outlineLevel="0" collapsed="false">
      <c r="A83" s="9" t="s">
        <v>63</v>
      </c>
      <c r="B83" s="10"/>
      <c r="C83" s="9"/>
      <c r="D83" s="9" t="s">
        <v>2327</v>
      </c>
      <c r="E83" s="9"/>
      <c r="F83" s="9" t="s">
        <v>974</v>
      </c>
      <c r="G83" s="9"/>
      <c r="H83" s="9" t="s">
        <v>195</v>
      </c>
      <c r="I83" s="9" t="str">
        <f aca="false">TRIM(A83) &amp; TRIM(F83) &amp; TRIM(H83)</f>
        <v>First ReviewHighlight ViewIT</v>
      </c>
      <c r="J83" s="9" t="n">
        <f aca="false">IFERROR(VLOOKUP(I83,'WFM Q4 Target'!J:K,2,0),"-")</f>
        <v>374.34</v>
      </c>
      <c r="K83" s="9" t="n">
        <v>123.6176</v>
      </c>
      <c r="L83" s="9" t="n">
        <v>0</v>
      </c>
      <c r="M83" s="9" t="str">
        <f aca="false">IFERROR(IF(K83&gt;J83,"Not Meet Target","Meet Target"),"-")</f>
        <v>Meet Target</v>
      </c>
      <c r="N83" s="9" t="str">
        <f aca="false">IFERROR(VLOOKUP(D83,'Team Member List'!B:C,2,0),"")</f>
        <v>TL Ramirez</v>
      </c>
      <c r="O83" s="9" t="s">
        <v>2408</v>
      </c>
    </row>
    <row r="84" customFormat="false" ht="15" hidden="false" customHeight="false" outlineLevel="0" collapsed="false">
      <c r="A84" s="9" t="s">
        <v>63</v>
      </c>
      <c r="B84" s="10"/>
      <c r="C84" s="9"/>
      <c r="D84" s="9" t="s">
        <v>2327</v>
      </c>
      <c r="E84" s="9"/>
      <c r="F84" s="9" t="s">
        <v>974</v>
      </c>
      <c r="G84" s="9"/>
      <c r="H84" s="9" t="s">
        <v>308</v>
      </c>
      <c r="I84" s="9" t="str">
        <f aca="false">TRIM(A84) &amp; TRIM(F84) &amp; TRIM(H84)</f>
        <v>First ReviewHighlight ViewPL</v>
      </c>
      <c r="J84" s="9" t="n">
        <f aca="false">IFERROR(VLOOKUP(I84,'WFM Q4 Target'!J:K,2,0),"-")</f>
        <v>598.278</v>
      </c>
      <c r="K84" s="9" t="n">
        <v>501.515</v>
      </c>
      <c r="L84" s="9" t="n">
        <v>0</v>
      </c>
      <c r="M84" s="9" t="str">
        <f aca="false">IFERROR(IF(K84&gt;J84,"Not Meet Target","Meet Target"),"-")</f>
        <v>Meet Target</v>
      </c>
      <c r="N84" s="9" t="str">
        <f aca="false">IFERROR(VLOOKUP(D84,'Team Member List'!B:C,2,0),"")</f>
        <v>TL Ramirez</v>
      </c>
      <c r="O84" s="9" t="s">
        <v>2408</v>
      </c>
    </row>
    <row r="85" customFormat="false" ht="15" hidden="false" customHeight="false" outlineLevel="0" collapsed="false">
      <c r="A85" s="9" t="s">
        <v>63</v>
      </c>
      <c r="B85" s="10"/>
      <c r="C85" s="9"/>
      <c r="D85" s="9" t="s">
        <v>2327</v>
      </c>
      <c r="E85" s="9"/>
      <c r="F85" s="9" t="s">
        <v>974</v>
      </c>
      <c r="G85" s="9"/>
      <c r="H85" s="9" t="s">
        <v>157</v>
      </c>
      <c r="I85" s="9" t="str">
        <f aca="false">TRIM(A85) &amp; TRIM(F85) &amp; TRIM(H85)</f>
        <v>First ReviewHighlight ViewSA</v>
      </c>
      <c r="J85" s="9" t="n">
        <f aca="false">IFERROR(VLOOKUP(I85,'WFM Q4 Target'!J:K,2,0),"-")</f>
        <v>778.374</v>
      </c>
      <c r="K85" s="9" t="n">
        <v>795.0337</v>
      </c>
      <c r="L85" s="9" t="n">
        <v>0</v>
      </c>
      <c r="M85" s="9" t="str">
        <f aca="false">IFERROR(IF(K85&gt;J85,"Not Meet Target","Meet Target"),"-")</f>
        <v>Not Meet Target</v>
      </c>
      <c r="N85" s="9" t="str">
        <f aca="false">IFERROR(VLOOKUP(D85,'Team Member List'!B:C,2,0),"")</f>
        <v>TL Ramirez</v>
      </c>
      <c r="O85" s="9" t="s">
        <v>2408</v>
      </c>
    </row>
    <row r="86" customFormat="false" ht="15" hidden="false" customHeight="false" outlineLevel="0" collapsed="false">
      <c r="A86" s="9" t="s">
        <v>63</v>
      </c>
      <c r="B86" s="10"/>
      <c r="C86" s="9"/>
      <c r="D86" s="9" t="s">
        <v>2327</v>
      </c>
      <c r="E86" s="9"/>
      <c r="F86" s="9" t="s">
        <v>974</v>
      </c>
      <c r="G86" s="9"/>
      <c r="H86" s="9" t="s">
        <v>284</v>
      </c>
      <c r="I86" s="9" t="str">
        <f aca="false">TRIM(A86) &amp; TRIM(F86) &amp; TRIM(H86)</f>
        <v>First ReviewHighlight ViewTR</v>
      </c>
      <c r="J86" s="9" t="n">
        <f aca="false">IFERROR(VLOOKUP(I86,'WFM Q4 Target'!J:K,2,0),"-")</f>
        <v>408.006</v>
      </c>
      <c r="K86" s="9" t="n">
        <v>310.8618</v>
      </c>
      <c r="L86" s="9" t="n">
        <v>0</v>
      </c>
      <c r="M86" s="9" t="str">
        <f aca="false">IFERROR(IF(K86&gt;J86,"Not Meet Target","Meet Target"),"-")</f>
        <v>Meet Target</v>
      </c>
      <c r="N86" s="9" t="str">
        <f aca="false">IFERROR(VLOOKUP(D86,'Team Member List'!B:C,2,0),"")</f>
        <v>TL Ramirez</v>
      </c>
      <c r="O86" s="9" t="s">
        <v>2408</v>
      </c>
    </row>
    <row r="87" customFormat="false" ht="15" hidden="false" customHeight="false" outlineLevel="0" collapsed="false">
      <c r="A87" s="9" t="s">
        <v>63</v>
      </c>
      <c r="B87" s="10"/>
      <c r="C87" s="9" t="s">
        <v>2344</v>
      </c>
      <c r="D87" s="9" t="s">
        <v>2344</v>
      </c>
      <c r="E87" s="9" t="s">
        <v>56</v>
      </c>
      <c r="F87" s="9" t="s">
        <v>57</v>
      </c>
      <c r="G87" s="9" t="s">
        <v>57</v>
      </c>
      <c r="H87" s="9" t="s">
        <v>95</v>
      </c>
      <c r="I87" s="9" t="str">
        <f aca="false">TRIM(A87) &amp; TRIM(F87) &amp; TRIM(H87)</f>
        <v>First ReviewBid Ad GroupVN</v>
      </c>
      <c r="J87" s="9" t="n">
        <f aca="false">IFERROR(VLOOKUP(I87,'WFM Q4 Target'!J:K,2,0),"-")</f>
        <v>220.83</v>
      </c>
      <c r="K87" s="9" t="n">
        <v>3883.9091</v>
      </c>
      <c r="L87" s="9" t="n">
        <v>109.7831</v>
      </c>
      <c r="M87" s="9" t="str">
        <f aca="false">IFERROR(IF(K87&gt;J87,"Not Meet Target","Meet Target"),"-")</f>
        <v>Not Meet Target</v>
      </c>
      <c r="N87" s="9" t="str">
        <f aca="false">IFERROR(VLOOKUP(D87,'Team Member List'!B:C,2,0),"")</f>
        <v>TL Lindgren</v>
      </c>
      <c r="O87" s="9" t="s">
        <v>2408</v>
      </c>
    </row>
    <row r="88" customFormat="false" ht="15" hidden="false" customHeight="false" outlineLevel="0" collapsed="false">
      <c r="A88" s="9" t="s">
        <v>63</v>
      </c>
      <c r="B88" s="10"/>
      <c r="C88" s="9"/>
      <c r="D88" s="9" t="s">
        <v>2344</v>
      </c>
      <c r="E88" s="9"/>
      <c r="F88" s="9" t="s">
        <v>75</v>
      </c>
      <c r="G88" s="9" t="s">
        <v>75</v>
      </c>
      <c r="H88" s="9" t="s">
        <v>100</v>
      </c>
      <c r="I88" s="9" t="str">
        <f aca="false">TRIM(A88) &amp; TRIM(F88) &amp; TRIM(H88)</f>
        <v>First ReviewBid Ecom Ads GroupAU</v>
      </c>
      <c r="J88" s="9" t="n">
        <f aca="false">IFERROR(VLOOKUP(I88,'WFM Q4 Target'!J:K,2,0),"-")</f>
        <v>157.866</v>
      </c>
      <c r="K88" s="9" t="n">
        <v>125.0986</v>
      </c>
      <c r="L88" s="9" t="n">
        <v>48.3952</v>
      </c>
      <c r="M88" s="9" t="str">
        <f aca="false">IFERROR(IF(K88&gt;J88,"Not Meet Target","Meet Target"),"-")</f>
        <v>Meet Target</v>
      </c>
      <c r="N88" s="9" t="str">
        <f aca="false">IFERROR(VLOOKUP(D88,'Team Member List'!B:C,2,0),"")</f>
        <v>TL Lindgren</v>
      </c>
      <c r="O88" s="9" t="s">
        <v>2408</v>
      </c>
    </row>
    <row r="89" customFormat="false" ht="15" hidden="false" customHeight="false" outlineLevel="0" collapsed="false">
      <c r="A89" s="9" t="s">
        <v>63</v>
      </c>
      <c r="B89" s="10"/>
      <c r="C89" s="9"/>
      <c r="D89" s="9" t="s">
        <v>2344</v>
      </c>
      <c r="E89" s="9" t="s">
        <v>973</v>
      </c>
      <c r="F89" s="9" t="s">
        <v>979</v>
      </c>
      <c r="G89" s="9" t="s">
        <v>979</v>
      </c>
      <c r="H89" s="9" t="s">
        <v>100</v>
      </c>
      <c r="I89" s="9" t="str">
        <f aca="false">TRIM(A89) &amp; TRIM(F89) &amp; TRIM(H89)</f>
        <v>First ReviewBooking Ads Pre ApprovalAU</v>
      </c>
      <c r="J89" s="9" t="n">
        <f aca="false">IFERROR(VLOOKUP(I89,'WFM Q4 Target'!J:K,2,0),"-")</f>
        <v>174.66</v>
      </c>
      <c r="K89" s="9" t="n">
        <v>326.0734</v>
      </c>
      <c r="L89" s="9" t="n">
        <v>13.969</v>
      </c>
      <c r="M89" s="9" t="str">
        <f aca="false">IFERROR(IF(K89&gt;J89,"Not Meet Target","Meet Target"),"-")</f>
        <v>Not Meet Target</v>
      </c>
      <c r="N89" s="9" t="str">
        <f aca="false">IFERROR(VLOOKUP(D89,'Team Member List'!B:C,2,0),"")</f>
        <v>TL Lindgren</v>
      </c>
      <c r="O89" s="9" t="s">
        <v>2408</v>
      </c>
    </row>
    <row r="90" customFormat="false" ht="15" hidden="false" customHeight="false" outlineLevel="0" collapsed="false">
      <c r="A90" s="9" t="s">
        <v>63</v>
      </c>
      <c r="B90" s="10"/>
      <c r="C90" s="9"/>
      <c r="D90" s="9" t="s">
        <v>2344</v>
      </c>
      <c r="E90" s="9"/>
      <c r="F90" s="9" t="s">
        <v>979</v>
      </c>
      <c r="G90" s="9"/>
      <c r="H90" s="9" t="s">
        <v>95</v>
      </c>
      <c r="I90" s="9" t="str">
        <f aca="false">TRIM(A90) &amp; TRIM(F90) &amp; TRIM(H90)</f>
        <v>First ReviewBooking Ads Pre ApprovalVN</v>
      </c>
      <c r="J90" s="9" t="n">
        <f aca="false">IFERROR(VLOOKUP(I90,'WFM Q4 Target'!J:K,2,0),"-")</f>
        <v>213.222</v>
      </c>
      <c r="K90" s="9" t="n">
        <v>466.6083</v>
      </c>
      <c r="L90" s="9" t="n">
        <v>44.9172</v>
      </c>
      <c r="M90" s="9" t="str">
        <f aca="false">IFERROR(IF(K90&gt;J90,"Not Meet Target","Meet Target"),"-")</f>
        <v>Not Meet Target</v>
      </c>
      <c r="N90" s="9" t="str">
        <f aca="false">IFERROR(VLOOKUP(D90,'Team Member List'!B:C,2,0),"")</f>
        <v>TL Lindgren</v>
      </c>
      <c r="O90" s="9" t="s">
        <v>2408</v>
      </c>
    </row>
    <row r="91" customFormat="false" ht="15" hidden="false" customHeight="false" outlineLevel="0" collapsed="false">
      <c r="A91" s="9" t="s">
        <v>63</v>
      </c>
      <c r="B91" s="10"/>
      <c r="C91" s="9"/>
      <c r="D91" s="9" t="s">
        <v>2344</v>
      </c>
      <c r="E91" s="9"/>
      <c r="F91" s="9" t="s">
        <v>974</v>
      </c>
      <c r="G91" s="9" t="s">
        <v>974</v>
      </c>
      <c r="H91" s="9" t="s">
        <v>100</v>
      </c>
      <c r="I91" s="9" t="str">
        <f aca="false">TRIM(A91) &amp; TRIM(F91) &amp; TRIM(H91)</f>
        <v>First ReviewHighlight ViewAU</v>
      </c>
      <c r="J91" s="9" t="n">
        <f aca="false">IFERROR(VLOOKUP(I91,'WFM Q4 Target'!J:K,2,0),"-")</f>
        <v>172.554</v>
      </c>
      <c r="K91" s="9" t="n">
        <v>230.744</v>
      </c>
      <c r="L91" s="9" t="n">
        <v>0</v>
      </c>
      <c r="M91" s="9" t="str">
        <f aca="false">IFERROR(IF(K91&gt;J91,"Not Meet Target","Meet Target"),"-")</f>
        <v>Not Meet Target</v>
      </c>
      <c r="N91" s="9" t="str">
        <f aca="false">IFERROR(VLOOKUP(D91,'Team Member List'!B:C,2,0),"")</f>
        <v>TL Lindgren</v>
      </c>
      <c r="O91" s="9" t="s">
        <v>2408</v>
      </c>
    </row>
    <row r="92" customFormat="false" ht="15" hidden="false" customHeight="false" outlineLevel="0" collapsed="false">
      <c r="A92" s="9" t="s">
        <v>63</v>
      </c>
      <c r="B92" s="10"/>
      <c r="C92" s="9"/>
      <c r="D92" s="9" t="s">
        <v>2344</v>
      </c>
      <c r="E92" s="9"/>
      <c r="F92" s="9" t="s">
        <v>974</v>
      </c>
      <c r="G92" s="9"/>
      <c r="H92" s="9" t="s">
        <v>150</v>
      </c>
      <c r="I92" s="9" t="str">
        <f aca="false">TRIM(A92) &amp; TRIM(F92) &amp; TRIM(H92)</f>
        <v>First ReviewHighlight ViewDE</v>
      </c>
      <c r="J92" s="9" t="n">
        <f aca="false">IFERROR(VLOOKUP(I92,'WFM Q4 Target'!J:K,2,0),"-")</f>
        <v>682.752</v>
      </c>
      <c r="K92" s="9" t="n">
        <v>508.0316</v>
      </c>
      <c r="L92" s="9" t="n">
        <v>0</v>
      </c>
      <c r="M92" s="9" t="str">
        <f aca="false">IFERROR(IF(K92&gt;J92,"Not Meet Target","Meet Target"),"-")</f>
        <v>Meet Target</v>
      </c>
      <c r="N92" s="9" t="str">
        <f aca="false">IFERROR(VLOOKUP(D92,'Team Member List'!B:C,2,0),"")</f>
        <v>TL Lindgren</v>
      </c>
      <c r="O92" s="9" t="s">
        <v>2408</v>
      </c>
    </row>
    <row r="93" customFormat="false" ht="15" hidden="false" customHeight="false" outlineLevel="0" collapsed="false">
      <c r="A93" s="9" t="s">
        <v>63</v>
      </c>
      <c r="B93" s="10"/>
      <c r="C93" s="9"/>
      <c r="D93" s="9" t="s">
        <v>2344</v>
      </c>
      <c r="E93" s="9"/>
      <c r="F93" s="9" t="s">
        <v>974</v>
      </c>
      <c r="G93" s="9"/>
      <c r="H93" s="9" t="s">
        <v>213</v>
      </c>
      <c r="I93" s="9" t="str">
        <f aca="false">TRIM(A93) &amp; TRIM(F93) &amp; TRIM(H93)</f>
        <v>First ReviewHighlight ViewFR</v>
      </c>
      <c r="J93" s="9" t="n">
        <f aca="false">IFERROR(VLOOKUP(I93,'WFM Q4 Target'!J:K,2,0),"-")</f>
        <v>636.57</v>
      </c>
      <c r="K93" s="9" t="n">
        <v>333.9462</v>
      </c>
      <c r="L93" s="9" t="n">
        <v>0</v>
      </c>
      <c r="M93" s="9" t="str">
        <f aca="false">IFERROR(IF(K93&gt;J93,"Not Meet Target","Meet Target"),"-")</f>
        <v>Meet Target</v>
      </c>
      <c r="N93" s="9" t="str">
        <f aca="false">IFERROR(VLOOKUP(D93,'Team Member List'!B:C,2,0),"")</f>
        <v>TL Lindgren</v>
      </c>
      <c r="O93" s="9" t="s">
        <v>2408</v>
      </c>
    </row>
    <row r="94" customFormat="false" ht="15" hidden="false" customHeight="false" outlineLevel="0" collapsed="false">
      <c r="A94" s="9" t="s">
        <v>63</v>
      </c>
      <c r="B94" s="10"/>
      <c r="C94" s="9"/>
      <c r="D94" s="9" t="s">
        <v>2344</v>
      </c>
      <c r="E94" s="9"/>
      <c r="F94" s="9" t="s">
        <v>974</v>
      </c>
      <c r="G94" s="9"/>
      <c r="H94" s="9" t="s">
        <v>95</v>
      </c>
      <c r="I94" s="9" t="str">
        <f aca="false">TRIM(A94) &amp; TRIM(F94) &amp; TRIM(H94)</f>
        <v>First ReviewHighlight ViewVN</v>
      </c>
      <c r="J94" s="9" t="n">
        <f aca="false">IFERROR(VLOOKUP(I94,'WFM Q4 Target'!J:K,2,0),"-")</f>
        <v>286.158</v>
      </c>
      <c r="K94" s="9" t="n">
        <v>209.1999</v>
      </c>
      <c r="L94" s="9" t="n">
        <v>42.5668</v>
      </c>
      <c r="M94" s="9" t="str">
        <f aca="false">IFERROR(IF(K94&gt;J94,"Not Meet Target","Meet Target"),"-")</f>
        <v>Meet Target</v>
      </c>
      <c r="N94" s="9" t="str">
        <f aca="false">IFERROR(VLOOKUP(D94,'Team Member List'!B:C,2,0),"")</f>
        <v>TL Lindgren</v>
      </c>
      <c r="O94" s="9" t="s">
        <v>2408</v>
      </c>
    </row>
    <row r="95" customFormat="false" ht="15" hidden="false" customHeight="false" outlineLevel="0" collapsed="false">
      <c r="A95" s="9" t="s">
        <v>63</v>
      </c>
      <c r="B95" s="10"/>
      <c r="C95" s="9" t="s">
        <v>2330</v>
      </c>
      <c r="D95" s="9" t="s">
        <v>2330</v>
      </c>
      <c r="E95" s="9" t="s">
        <v>56</v>
      </c>
      <c r="F95" s="9" t="s">
        <v>57</v>
      </c>
      <c r="G95" s="9" t="s">
        <v>57</v>
      </c>
      <c r="H95" s="9" t="s">
        <v>267</v>
      </c>
      <c r="I95" s="9" t="str">
        <f aca="false">TRIM(A95) &amp; TRIM(F95) &amp; TRIM(H95)</f>
        <v>First ReviewBid Ad GroupID</v>
      </c>
      <c r="J95" s="9" t="n">
        <f aca="false">IFERROR(VLOOKUP(I95,'WFM Q4 Target'!J:K,2,0),"-")</f>
        <v>118.062</v>
      </c>
      <c r="K95" s="9" t="n">
        <v>156.6881</v>
      </c>
      <c r="L95" s="9" t="n">
        <v>242.9079</v>
      </c>
      <c r="M95" s="9" t="str">
        <f aca="false">IFERROR(IF(K95&gt;J95,"Not Meet Target","Meet Target"),"-")</f>
        <v>Not Meet Target</v>
      </c>
      <c r="N95" s="9" t="str">
        <f aca="false">IFERROR(VLOOKUP(D95,'Team Member List'!B:C,2,0),"")</f>
        <v>TL Ramirez</v>
      </c>
      <c r="O95" s="9" t="s">
        <v>2408</v>
      </c>
    </row>
    <row r="96" customFormat="false" ht="15" hidden="false" customHeight="false" outlineLevel="0" collapsed="false">
      <c r="A96" s="9" t="s">
        <v>63</v>
      </c>
      <c r="B96" s="10"/>
      <c r="C96" s="9"/>
      <c r="D96" s="9" t="s">
        <v>2330</v>
      </c>
      <c r="E96" s="9"/>
      <c r="F96" s="9" t="s">
        <v>75</v>
      </c>
      <c r="G96" s="9" t="s">
        <v>75</v>
      </c>
      <c r="H96" s="9" t="s">
        <v>267</v>
      </c>
      <c r="I96" s="9" t="str">
        <f aca="false">TRIM(A96) &amp; TRIM(F96) &amp; TRIM(H96)</f>
        <v>First ReviewBid Ecom Ads GroupID</v>
      </c>
      <c r="J96" s="9" t="n">
        <f aca="false">IFERROR(VLOOKUP(I96,'WFM Q4 Target'!J:K,2,0),"-")</f>
        <v>155.28</v>
      </c>
      <c r="K96" s="9" t="n">
        <v>148.7819</v>
      </c>
      <c r="L96" s="9" t="n">
        <v>158.3219</v>
      </c>
      <c r="M96" s="9" t="str">
        <f aca="false">IFERROR(IF(K96&gt;J96,"Not Meet Target","Meet Target"),"-")</f>
        <v>Meet Target</v>
      </c>
      <c r="N96" s="9" t="str">
        <f aca="false">IFERROR(VLOOKUP(D96,'Team Member List'!B:C,2,0),"")</f>
        <v>TL Ramirez</v>
      </c>
      <c r="O96" s="9" t="s">
        <v>2408</v>
      </c>
    </row>
    <row r="97" customFormat="false" ht="15" hidden="false" customHeight="false" outlineLevel="0" collapsed="false">
      <c r="A97" s="9" t="s">
        <v>63</v>
      </c>
      <c r="B97" s="10"/>
      <c r="C97" s="9"/>
      <c r="D97" s="9" t="s">
        <v>2330</v>
      </c>
      <c r="E97" s="9" t="s">
        <v>1432</v>
      </c>
      <c r="F97" s="9" t="s">
        <v>1440</v>
      </c>
      <c r="G97" s="9" t="s">
        <v>1440</v>
      </c>
      <c r="H97" s="9" t="s">
        <v>267</v>
      </c>
      <c r="I97" s="9" t="str">
        <f aca="false">TRIM(A97) &amp; TRIM(F97) &amp; TRIM(H97)</f>
        <v>First ReviewHTC Adv CampaignID</v>
      </c>
      <c r="J97" s="9" t="n">
        <f aca="false">IFERROR(VLOOKUP(I97,'WFM Q4 Target'!J:K,2,0),"-")</f>
        <v>48.804</v>
      </c>
      <c r="K97" s="9" t="n">
        <v>187.1003</v>
      </c>
      <c r="L97" s="9" t="n">
        <v>0</v>
      </c>
      <c r="M97" s="9" t="str">
        <f aca="false">IFERROR(IF(K97&gt;J97,"Not Meet Target","Meet Target"),"-")</f>
        <v>Not Meet Target</v>
      </c>
      <c r="N97" s="9" t="str">
        <f aca="false">IFERROR(VLOOKUP(D97,'Team Member List'!B:C,2,0),"")</f>
        <v>TL Ramirez</v>
      </c>
      <c r="O97" s="9" t="s">
        <v>2408</v>
      </c>
    </row>
    <row r="98" customFormat="false" ht="15" hidden="false" customHeight="false" outlineLevel="0" collapsed="false">
      <c r="A98" s="9" t="s">
        <v>63</v>
      </c>
      <c r="B98" s="10"/>
      <c r="C98" s="9"/>
      <c r="D98" s="9" t="s">
        <v>2330</v>
      </c>
      <c r="E98" s="9"/>
      <c r="F98" s="9" t="s">
        <v>1458</v>
      </c>
      <c r="G98" s="9" t="s">
        <v>1458</v>
      </c>
      <c r="H98" s="9" t="s">
        <v>267</v>
      </c>
      <c r="I98" s="9" t="str">
        <f aca="false">TRIM(A98) &amp; TRIM(F98) &amp; TRIM(H98)</f>
        <v>First ReviewHTC Adv VideoID</v>
      </c>
      <c r="J98" s="9" t="str">
        <f aca="false">IFERROR(VLOOKUP(I98,'WFM Q4 Target'!J:K,2,0),"-")</f>
        <v>-</v>
      </c>
      <c r="K98" s="9" t="n">
        <v>517.863</v>
      </c>
      <c r="L98" s="9" t="n">
        <v>9.0018</v>
      </c>
      <c r="M98" s="9" t="str">
        <f aca="false">IFERROR(IF(K98&gt;J98,"Not Meet Target","Meet Target"),"-")</f>
        <v>Meet Target</v>
      </c>
      <c r="N98" s="9" t="str">
        <f aca="false">IFERROR(VLOOKUP(D98,'Team Member List'!B:C,2,0),"")</f>
        <v>TL Ramirez</v>
      </c>
      <c r="O98" s="9" t="s">
        <v>2408</v>
      </c>
    </row>
    <row r="99" customFormat="false" ht="15" hidden="false" customHeight="false" outlineLevel="0" collapsed="false">
      <c r="A99" s="9" t="s">
        <v>63</v>
      </c>
      <c r="B99" s="10"/>
      <c r="C99" s="9"/>
      <c r="D99" s="9" t="s">
        <v>2330</v>
      </c>
      <c r="E99" s="9"/>
      <c r="F99" s="9" t="s">
        <v>1438</v>
      </c>
      <c r="G99" s="9" t="s">
        <v>1438</v>
      </c>
      <c r="H99" s="9" t="s">
        <v>267</v>
      </c>
      <c r="I99" s="9" t="str">
        <f aca="false">TRIM(A99) &amp; TRIM(F99) &amp; TRIM(H99)</f>
        <v>First ReviewQuest Adv VideoID</v>
      </c>
      <c r="J99" s="9" t="n">
        <f aca="false">IFERROR(VLOOKUP(I99,'WFM Q4 Target'!J:K,2,0),"-")</f>
        <v>49.086</v>
      </c>
      <c r="K99" s="9" t="n">
        <v>188.7052</v>
      </c>
      <c r="L99" s="9" t="n">
        <v>28.7736</v>
      </c>
      <c r="M99" s="9" t="str">
        <f aca="false">IFERROR(IF(K99&gt;J99,"Not Meet Target","Meet Target"),"-")</f>
        <v>Not Meet Target</v>
      </c>
      <c r="N99" s="9" t="str">
        <f aca="false">IFERROR(VLOOKUP(D99,'Team Member List'!B:C,2,0),"")</f>
        <v>TL Ramirez</v>
      </c>
      <c r="O99" s="9" t="s">
        <v>2408</v>
      </c>
    </row>
    <row r="100" customFormat="false" ht="15" hidden="false" customHeight="false" outlineLevel="0" collapsed="false">
      <c r="A100" s="9" t="s">
        <v>63</v>
      </c>
      <c r="B100" s="10"/>
      <c r="C100" s="9" t="s">
        <v>2359</v>
      </c>
      <c r="D100" s="9" t="s">
        <v>2359</v>
      </c>
      <c r="E100" s="9" t="s">
        <v>56</v>
      </c>
      <c r="F100" s="9" t="s">
        <v>57</v>
      </c>
      <c r="G100" s="9" t="s">
        <v>57</v>
      </c>
      <c r="H100" s="9" t="s">
        <v>235</v>
      </c>
      <c r="I100" s="9" t="str">
        <f aca="false">TRIM(A100) &amp; TRIM(F100) &amp; TRIM(H100)</f>
        <v>First ReviewBid Ad GroupJP</v>
      </c>
      <c r="J100" s="9" t="n">
        <f aca="false">IFERROR(VLOOKUP(I100,'WFM Q4 Target'!J:K,2,0),"-")</f>
        <v>140.514</v>
      </c>
      <c r="K100" s="9" t="n">
        <v>430.6265</v>
      </c>
      <c r="L100" s="9" t="n">
        <v>16.976</v>
      </c>
      <c r="M100" s="9" t="str">
        <f aca="false">IFERROR(IF(K100&gt;J100,"Not Meet Target","Meet Target"),"-")</f>
        <v>Not Meet Target</v>
      </c>
      <c r="N100" s="9" t="str">
        <f aca="false">IFERROR(VLOOKUP(D100,'Team Member List'!B:C,2,0),"")</f>
        <v>TL Okafor</v>
      </c>
      <c r="O100" s="9" t="s">
        <v>2408</v>
      </c>
    </row>
    <row r="101" customFormat="false" ht="15" hidden="false" customHeight="false" outlineLevel="0" collapsed="false">
      <c r="A101" s="9" t="s">
        <v>63</v>
      </c>
      <c r="B101" s="10"/>
      <c r="C101" s="9"/>
      <c r="D101" s="9" t="s">
        <v>2359</v>
      </c>
      <c r="E101" s="9"/>
      <c r="F101" s="9" t="s">
        <v>57</v>
      </c>
      <c r="G101" s="9"/>
      <c r="H101" s="9" t="s">
        <v>210</v>
      </c>
      <c r="I101" s="9" t="str">
        <f aca="false">TRIM(A101) &amp; TRIM(F101) &amp; TRIM(H101)</f>
        <v>First ReviewBid Ad GroupPK</v>
      </c>
      <c r="J101" s="9" t="n">
        <f aca="false">IFERROR(VLOOKUP(I101,'WFM Q4 Target'!J:K,2,0),"-")</f>
        <v>114.57</v>
      </c>
      <c r="K101" s="9" t="n">
        <v>188.3333</v>
      </c>
      <c r="L101" s="9" t="n">
        <v>6.9741</v>
      </c>
      <c r="M101" s="9" t="str">
        <f aca="false">IFERROR(IF(K101&gt;J101,"Not Meet Target","Meet Target"),"-")</f>
        <v>Not Meet Target</v>
      </c>
      <c r="N101" s="9" t="str">
        <f aca="false">IFERROR(VLOOKUP(D101,'Team Member List'!B:C,2,0),"")</f>
        <v>TL Okafor</v>
      </c>
      <c r="O101" s="9" t="s">
        <v>2408</v>
      </c>
    </row>
    <row r="102" customFormat="false" ht="15" hidden="false" customHeight="false" outlineLevel="0" collapsed="false">
      <c r="A102" s="9" t="s">
        <v>63</v>
      </c>
      <c r="B102" s="10"/>
      <c r="C102" s="9"/>
      <c r="D102" s="9" t="s">
        <v>2359</v>
      </c>
      <c r="E102" s="9"/>
      <c r="F102" s="9" t="s">
        <v>75</v>
      </c>
      <c r="G102" s="9" t="s">
        <v>75</v>
      </c>
      <c r="H102" s="9" t="s">
        <v>210</v>
      </c>
      <c r="I102" s="9" t="str">
        <f aca="false">TRIM(A102) &amp; TRIM(F102) &amp; TRIM(H102)</f>
        <v>First ReviewBid Ecom Ads GroupPK</v>
      </c>
      <c r="J102" s="9" t="n">
        <f aca="false">IFERROR(VLOOKUP(I102,'WFM Q4 Target'!J:K,2,0),"-")</f>
        <v>288.402</v>
      </c>
      <c r="K102" s="9" t="n">
        <v>272.8603</v>
      </c>
      <c r="L102" s="9" t="n">
        <v>29.6908</v>
      </c>
      <c r="M102" s="9" t="str">
        <f aca="false">IFERROR(IF(K102&gt;J102,"Not Meet Target","Meet Target"),"-")</f>
        <v>Meet Target</v>
      </c>
      <c r="N102" s="9" t="str">
        <f aca="false">IFERROR(VLOOKUP(D102,'Team Member List'!B:C,2,0),"")</f>
        <v>TL Okafor</v>
      </c>
      <c r="O102" s="9" t="s">
        <v>2408</v>
      </c>
    </row>
    <row r="103" customFormat="false" ht="15" hidden="false" customHeight="false" outlineLevel="0" collapsed="false">
      <c r="A103" s="9" t="s">
        <v>63</v>
      </c>
      <c r="B103" s="10"/>
      <c r="C103" s="9" t="s">
        <v>2371</v>
      </c>
      <c r="D103" s="9" t="s">
        <v>2371</v>
      </c>
      <c r="E103" s="9" t="s">
        <v>56</v>
      </c>
      <c r="F103" s="9" t="s">
        <v>57</v>
      </c>
      <c r="G103" s="9" t="s">
        <v>57</v>
      </c>
      <c r="H103" s="9" t="s">
        <v>458</v>
      </c>
      <c r="I103" s="9" t="str">
        <f aca="false">TRIM(A103) &amp; TRIM(F103) &amp; TRIM(H103)</f>
        <v>First ReviewBid Ad GroupTW</v>
      </c>
      <c r="J103" s="9" t="n">
        <f aca="false">IFERROR(VLOOKUP(I103,'WFM Q4 Target'!J:K,2,0),"-")</f>
        <v>224.148</v>
      </c>
      <c r="K103" s="9" t="n">
        <v>315.4373</v>
      </c>
      <c r="L103" s="9" t="n">
        <v>349.0639</v>
      </c>
      <c r="M103" s="9" t="str">
        <f aca="false">IFERROR(IF(K103&gt;J103,"Not Meet Target","Meet Target"),"-")</f>
        <v>Not Meet Target</v>
      </c>
      <c r="N103" s="9" t="str">
        <f aca="false">IFERROR(VLOOKUP(D103,'Team Member List'!B:C,2,0),"")</f>
        <v>TL Okafor</v>
      </c>
      <c r="O103" s="9" t="s">
        <v>2408</v>
      </c>
    </row>
    <row r="104" customFormat="false" ht="15" hidden="false" customHeight="false" outlineLevel="0" collapsed="false">
      <c r="A104" s="9" t="s">
        <v>63</v>
      </c>
      <c r="B104" s="10"/>
      <c r="C104" s="9" t="s">
        <v>2363</v>
      </c>
      <c r="D104" s="9" t="s">
        <v>2363</v>
      </c>
      <c r="E104" s="9" t="s">
        <v>973</v>
      </c>
      <c r="F104" s="9" t="s">
        <v>974</v>
      </c>
      <c r="G104" s="9" t="s">
        <v>974</v>
      </c>
      <c r="H104" s="9" t="s">
        <v>235</v>
      </c>
      <c r="I104" s="9" t="str">
        <f aca="false">TRIM(A104) &amp; TRIM(F104) &amp; TRIM(H104)</f>
        <v>First ReviewHighlight ViewJP</v>
      </c>
      <c r="J104" s="9" t="n">
        <f aca="false">IFERROR(VLOOKUP(I104,'WFM Q4 Target'!J:K,2,0),"-")</f>
        <v>759.402</v>
      </c>
      <c r="K104" s="9" t="n">
        <v>143.4865</v>
      </c>
      <c r="L104" s="9" t="n">
        <v>0</v>
      </c>
      <c r="M104" s="9" t="str">
        <f aca="false">IFERROR(IF(K104&gt;J104,"Not Meet Target","Meet Target"),"-")</f>
        <v>Meet Target</v>
      </c>
      <c r="N104" s="9" t="str">
        <f aca="false">IFERROR(VLOOKUP(D104,'Team Member List'!B:C,2,0),"")</f>
        <v>TL Okafor</v>
      </c>
      <c r="O104" s="9" t="s">
        <v>2408</v>
      </c>
    </row>
    <row r="105" customFormat="false" ht="15" hidden="false" customHeight="false" outlineLevel="0" collapsed="false">
      <c r="A105" s="9" t="s">
        <v>63</v>
      </c>
      <c r="B105" s="10"/>
      <c r="C105" s="9" t="s">
        <v>2370</v>
      </c>
      <c r="D105" s="9" t="s">
        <v>2370</v>
      </c>
      <c r="E105" s="9" t="s">
        <v>973</v>
      </c>
      <c r="F105" s="9" t="s">
        <v>979</v>
      </c>
      <c r="G105" s="9" t="s">
        <v>979</v>
      </c>
      <c r="H105" s="9" t="s">
        <v>458</v>
      </c>
      <c r="I105" s="9" t="str">
        <f aca="false">TRIM(A105) &amp; TRIM(F105) &amp; TRIM(H105)</f>
        <v>First ReviewBooking Ads Pre ApprovalTW</v>
      </c>
      <c r="J105" s="9" t="n">
        <f aca="false">IFERROR(VLOOKUP(I105,'WFM Q4 Target'!J:K,2,0),"-")</f>
        <v>256.044</v>
      </c>
      <c r="K105" s="9" t="n">
        <v>157.7607</v>
      </c>
      <c r="L105" s="9" t="n">
        <v>15.1376</v>
      </c>
      <c r="M105" s="9" t="str">
        <f aca="false">IFERROR(IF(K105&gt;J105,"Not Meet Target","Meet Target"),"-")</f>
        <v>Meet Target</v>
      </c>
      <c r="N105" s="9" t="str">
        <f aca="false">IFERROR(VLOOKUP(D105,'Team Member List'!B:C,2,0),"")</f>
        <v>TL Okafor</v>
      </c>
      <c r="O105" s="9" t="s">
        <v>2408</v>
      </c>
    </row>
    <row r="106" customFormat="false" ht="15" hidden="false" customHeight="false" outlineLevel="0" collapsed="false">
      <c r="A106" s="9" t="s">
        <v>63</v>
      </c>
      <c r="B106" s="10"/>
      <c r="C106" s="9" t="s">
        <v>2387</v>
      </c>
      <c r="D106" s="9" t="s">
        <v>2387</v>
      </c>
      <c r="E106" s="9" t="s">
        <v>973</v>
      </c>
      <c r="F106" s="9" t="s">
        <v>979</v>
      </c>
      <c r="G106" s="9" t="s">
        <v>979</v>
      </c>
      <c r="H106" s="9" t="s">
        <v>306</v>
      </c>
      <c r="I106" s="9" t="str">
        <f aca="false">TRIM(A106) &amp; TRIM(F106) &amp; TRIM(H106)</f>
        <v>First ReviewBooking Ads Pre ApprovalTH</v>
      </c>
      <c r="J106" s="9" t="n">
        <f aca="false">IFERROR(VLOOKUP(I106,'WFM Q4 Target'!J:K,2,0),"-")</f>
        <v>84.51</v>
      </c>
      <c r="K106" s="9" t="n">
        <v>994.677</v>
      </c>
      <c r="L106" s="9" t="n">
        <v>10.8829</v>
      </c>
      <c r="M106" s="9" t="str">
        <f aca="false">IFERROR(IF(K106&gt;J106,"Not Meet Target","Meet Target"),"-")</f>
        <v>Not Meet Target</v>
      </c>
      <c r="N106" s="9" t="str">
        <f aca="false">IFERROR(VLOOKUP(D106,'Team Member List'!B:C,2,0),"")</f>
        <v>TL Cabrera</v>
      </c>
      <c r="O106" s="9" t="s">
        <v>2408</v>
      </c>
    </row>
    <row r="107" customFormat="false" ht="15" hidden="false" customHeight="false" outlineLevel="0" collapsed="false">
      <c r="A107" s="9" t="s">
        <v>63</v>
      </c>
      <c r="B107" s="10"/>
      <c r="C107" s="9" t="s">
        <v>2331</v>
      </c>
      <c r="D107" s="9" t="s">
        <v>2331</v>
      </c>
      <c r="E107" s="9" t="s">
        <v>973</v>
      </c>
      <c r="F107" s="9" t="s">
        <v>979</v>
      </c>
      <c r="G107" s="9" t="s">
        <v>979</v>
      </c>
      <c r="H107" s="9" t="s">
        <v>284</v>
      </c>
      <c r="I107" s="9" t="str">
        <f aca="false">TRIM(A107) &amp; TRIM(F107) &amp; TRIM(H107)</f>
        <v>First ReviewBooking Ads Pre ApprovalTR</v>
      </c>
      <c r="J107" s="9" t="n">
        <f aca="false">IFERROR(VLOOKUP(I107,'WFM Q4 Target'!J:K,2,0),"-")</f>
        <v>79.158</v>
      </c>
      <c r="K107" s="9" t="n">
        <v>260.2122</v>
      </c>
      <c r="L107" s="9" t="n">
        <v>10.1041</v>
      </c>
      <c r="M107" s="9" t="str">
        <f aca="false">IFERROR(IF(K107&gt;J107,"Not Meet Target","Meet Target"),"-")</f>
        <v>Not Meet Target</v>
      </c>
      <c r="N107" s="9" t="str">
        <f aca="false">IFERROR(VLOOKUP(D107,'Team Member List'!B:C,2,0),"")</f>
        <v>TL Ramirez</v>
      </c>
      <c r="O107" s="9" t="s">
        <v>2408</v>
      </c>
    </row>
    <row r="108" customFormat="false" ht="15" hidden="false" customHeight="false" outlineLevel="0" collapsed="false">
      <c r="A108" s="9" t="s">
        <v>63</v>
      </c>
      <c r="B108" s="10"/>
      <c r="C108" s="9"/>
      <c r="D108" s="9" t="s">
        <v>2331</v>
      </c>
      <c r="E108" s="9"/>
      <c r="F108" s="9" t="s">
        <v>974</v>
      </c>
      <c r="G108" s="9" t="s">
        <v>974</v>
      </c>
      <c r="H108" s="9" t="s">
        <v>213</v>
      </c>
      <c r="I108" s="9" t="str">
        <f aca="false">TRIM(A108) &amp; TRIM(F108) &amp; TRIM(H108)</f>
        <v>First ReviewHighlight ViewFR</v>
      </c>
      <c r="J108" s="9" t="n">
        <f aca="false">IFERROR(VLOOKUP(I108,'WFM Q4 Target'!J:K,2,0),"-")</f>
        <v>636.57</v>
      </c>
      <c r="K108" s="9" t="n">
        <v>491.1638</v>
      </c>
      <c r="L108" s="9" t="n">
        <v>0</v>
      </c>
      <c r="M108" s="9" t="str">
        <f aca="false">IFERROR(IF(K108&gt;J108,"Not Meet Target","Meet Target"),"-")</f>
        <v>Meet Target</v>
      </c>
      <c r="N108" s="9" t="str">
        <f aca="false">IFERROR(VLOOKUP(D108,'Team Member List'!B:C,2,0),"")</f>
        <v>TL Ramirez</v>
      </c>
      <c r="O108" s="9" t="s">
        <v>2408</v>
      </c>
    </row>
    <row r="109" customFormat="false" ht="15" hidden="false" customHeight="false" outlineLevel="0" collapsed="false">
      <c r="A109" s="9" t="s">
        <v>63</v>
      </c>
      <c r="B109" s="10"/>
      <c r="C109" s="9"/>
      <c r="D109" s="9" t="s">
        <v>2331</v>
      </c>
      <c r="E109" s="9"/>
      <c r="F109" s="9" t="s">
        <v>974</v>
      </c>
      <c r="G109" s="9"/>
      <c r="H109" s="9" t="s">
        <v>275</v>
      </c>
      <c r="I109" s="9" t="str">
        <f aca="false">TRIM(A109) &amp; TRIM(F109) &amp; TRIM(H109)</f>
        <v>First ReviewHighlight ViewGB</v>
      </c>
      <c r="J109" s="9" t="n">
        <f aca="false">IFERROR(VLOOKUP(I109,'WFM Q4 Target'!J:K,2,0),"-")</f>
        <v>151.884</v>
      </c>
      <c r="K109" s="9" t="n">
        <v>535.2424</v>
      </c>
      <c r="L109" s="9" t="n">
        <v>0</v>
      </c>
      <c r="M109" s="9" t="str">
        <f aca="false">IFERROR(IF(K109&gt;J109,"Not Meet Target","Meet Target"),"-")</f>
        <v>Not Meet Target</v>
      </c>
      <c r="N109" s="9" t="str">
        <f aca="false">IFERROR(VLOOKUP(D109,'Team Member List'!B:C,2,0),"")</f>
        <v>TL Ramirez</v>
      </c>
      <c r="O109" s="9" t="s">
        <v>2408</v>
      </c>
    </row>
    <row r="110" customFormat="false" ht="15" hidden="false" customHeight="false" outlineLevel="0" collapsed="false">
      <c r="A110" s="9" t="s">
        <v>63</v>
      </c>
      <c r="B110" s="10"/>
      <c r="C110" s="9"/>
      <c r="D110" s="9" t="s">
        <v>2331</v>
      </c>
      <c r="E110" s="9"/>
      <c r="F110" s="9" t="s">
        <v>974</v>
      </c>
      <c r="G110" s="9"/>
      <c r="H110" s="9" t="s">
        <v>190</v>
      </c>
      <c r="I110" s="9" t="str">
        <f aca="false">TRIM(A110) &amp; TRIM(F110) &amp; TRIM(H110)</f>
        <v>First ReviewHighlight ViewPH</v>
      </c>
      <c r="J110" s="9" t="n">
        <f aca="false">IFERROR(VLOOKUP(I110,'WFM Q4 Target'!J:K,2,0),"-")</f>
        <v>469.32</v>
      </c>
      <c r="K110" s="9" t="n">
        <v>400.3084</v>
      </c>
      <c r="L110" s="9" t="n">
        <v>0</v>
      </c>
      <c r="M110" s="9" t="str">
        <f aca="false">IFERROR(IF(K110&gt;J110,"Not Meet Target","Meet Target"),"-")</f>
        <v>Meet Target</v>
      </c>
      <c r="N110" s="9" t="str">
        <f aca="false">IFERROR(VLOOKUP(D110,'Team Member List'!B:C,2,0),"")</f>
        <v>TL Ramirez</v>
      </c>
      <c r="O110" s="9" t="s">
        <v>2408</v>
      </c>
    </row>
    <row r="111" customFormat="false" ht="15" hidden="false" customHeight="false" outlineLevel="0" collapsed="false">
      <c r="A111" s="9" t="s">
        <v>63</v>
      </c>
      <c r="B111" s="10"/>
      <c r="C111" s="9"/>
      <c r="D111" s="9" t="s">
        <v>2331</v>
      </c>
      <c r="E111" s="9"/>
      <c r="F111" s="9" t="s">
        <v>974</v>
      </c>
      <c r="G111" s="9"/>
      <c r="H111" s="9" t="s">
        <v>299</v>
      </c>
      <c r="I111" s="9" t="str">
        <f aca="false">TRIM(A111) &amp; TRIM(F111) &amp; TRIM(H111)</f>
        <v>First ReviewHighlight ViewQA</v>
      </c>
      <c r="J111" s="9" t="n">
        <f aca="false">IFERROR(VLOOKUP(I111,'WFM Q4 Target'!J:K,2,0),"-")</f>
        <v>538.788</v>
      </c>
      <c r="K111" s="9" t="n">
        <v>710.4823</v>
      </c>
      <c r="L111" s="9" t="n">
        <v>0</v>
      </c>
      <c r="M111" s="9" t="str">
        <f aca="false">IFERROR(IF(K111&gt;J111,"Not Meet Target","Meet Target"),"-")</f>
        <v>Not Meet Target</v>
      </c>
      <c r="N111" s="9" t="str">
        <f aca="false">IFERROR(VLOOKUP(D111,'Team Member List'!B:C,2,0),"")</f>
        <v>TL Ramirez</v>
      </c>
      <c r="O111" s="9" t="s">
        <v>2408</v>
      </c>
    </row>
    <row r="112" customFormat="false" ht="15" hidden="false" customHeight="false" outlineLevel="0" collapsed="false">
      <c r="A112" s="9" t="s">
        <v>63</v>
      </c>
      <c r="B112" s="10"/>
      <c r="C112" s="9"/>
      <c r="D112" s="9" t="s">
        <v>2331</v>
      </c>
      <c r="E112" s="9"/>
      <c r="F112" s="9" t="s">
        <v>974</v>
      </c>
      <c r="G112" s="9"/>
      <c r="H112" s="9" t="s">
        <v>79</v>
      </c>
      <c r="I112" s="9" t="str">
        <f aca="false">TRIM(A112) &amp; TRIM(F112) &amp; TRIM(H112)</f>
        <v>First ReviewHighlight ViewZA</v>
      </c>
      <c r="J112" s="9" t="n">
        <f aca="false">IFERROR(VLOOKUP(I112,'WFM Q4 Target'!J:K,2,0),"-")</f>
        <v>202.044</v>
      </c>
      <c r="K112" s="9" t="n">
        <v>410.3887</v>
      </c>
      <c r="L112" s="9" t="n">
        <v>0</v>
      </c>
      <c r="M112" s="9" t="str">
        <f aca="false">IFERROR(IF(K112&gt;J112,"Not Meet Target","Meet Target"),"-")</f>
        <v>Not Meet Target</v>
      </c>
      <c r="N112" s="9" t="str">
        <f aca="false">IFERROR(VLOOKUP(D112,'Team Member List'!B:C,2,0),"")</f>
        <v>TL Ramirez</v>
      </c>
      <c r="O112" s="9" t="s">
        <v>2408</v>
      </c>
    </row>
    <row r="113" customFormat="false" ht="15" hidden="false" customHeight="false" outlineLevel="0" collapsed="false">
      <c r="A113" s="9" t="s">
        <v>63</v>
      </c>
      <c r="B113" s="10"/>
      <c r="C113" s="9"/>
      <c r="D113" s="9" t="s">
        <v>2331</v>
      </c>
      <c r="E113" s="9" t="s">
        <v>1432</v>
      </c>
      <c r="F113" s="9" t="s">
        <v>1436</v>
      </c>
      <c r="G113" s="9" t="s">
        <v>1436</v>
      </c>
      <c r="H113" s="9" t="s">
        <v>190</v>
      </c>
      <c r="I113" s="9" t="str">
        <f aca="false">TRIM(A113) &amp; TRIM(F113) &amp; TRIM(H113)</f>
        <v>First ReviewQuest Adv CampaignPH</v>
      </c>
      <c r="J113" s="9" t="n">
        <f aca="false">IFERROR(VLOOKUP(I113,'WFM Q4 Target'!J:K,2,0),"-")</f>
        <v>118.38</v>
      </c>
      <c r="K113" s="9" t="n">
        <v>516.8067</v>
      </c>
      <c r="L113" s="9" t="n">
        <v>0</v>
      </c>
      <c r="M113" s="9" t="str">
        <f aca="false">IFERROR(IF(K113&gt;J113,"Not Meet Target","Meet Target"),"-")</f>
        <v>Not Meet Target</v>
      </c>
      <c r="N113" s="9" t="str">
        <f aca="false">IFERROR(VLOOKUP(D113,'Team Member List'!B:C,2,0),"")</f>
        <v>TL Ramirez</v>
      </c>
      <c r="O113" s="9" t="s">
        <v>2408</v>
      </c>
    </row>
    <row r="114" customFormat="false" ht="15" hidden="false" customHeight="false" outlineLevel="0" collapsed="false">
      <c r="A114" s="9" t="s">
        <v>63</v>
      </c>
      <c r="B114" s="10"/>
      <c r="C114" s="9" t="s">
        <v>2346</v>
      </c>
      <c r="D114" s="9" t="s">
        <v>2346</v>
      </c>
      <c r="E114" s="9" t="s">
        <v>973</v>
      </c>
      <c r="F114" s="9" t="s">
        <v>979</v>
      </c>
      <c r="G114" s="9" t="s">
        <v>979</v>
      </c>
      <c r="H114" s="9" t="s">
        <v>95</v>
      </c>
      <c r="I114" s="9" t="str">
        <f aca="false">TRIM(A114) &amp; TRIM(F114) &amp; TRIM(H114)</f>
        <v>First ReviewBooking Ads Pre ApprovalVN</v>
      </c>
      <c r="J114" s="9" t="n">
        <f aca="false">IFERROR(VLOOKUP(I114,'WFM Q4 Target'!J:K,2,0),"-")</f>
        <v>213.222</v>
      </c>
      <c r="K114" s="9" t="n">
        <v>413.472</v>
      </c>
      <c r="L114" s="9" t="n">
        <v>70.7788</v>
      </c>
      <c r="M114" s="9" t="str">
        <f aca="false">IFERROR(IF(K114&gt;J114,"Not Meet Target","Meet Target"),"-")</f>
        <v>Not Meet Target</v>
      </c>
      <c r="N114" s="9" t="str">
        <f aca="false">IFERROR(VLOOKUP(D114,'Team Member List'!B:C,2,0),"")</f>
        <v>TL Lindgren</v>
      </c>
      <c r="O114" s="9" t="s">
        <v>2408</v>
      </c>
    </row>
    <row r="115" customFormat="false" ht="15" hidden="false" customHeight="false" outlineLevel="0" collapsed="false">
      <c r="A115" s="9" t="s">
        <v>63</v>
      </c>
      <c r="B115" s="10"/>
      <c r="C115" s="9" t="s">
        <v>2329</v>
      </c>
      <c r="D115" s="9" t="s">
        <v>2329</v>
      </c>
      <c r="E115" s="9" t="s">
        <v>973</v>
      </c>
      <c r="F115" s="9" t="s">
        <v>974</v>
      </c>
      <c r="G115" s="9" t="s">
        <v>974</v>
      </c>
      <c r="H115" s="9" t="s">
        <v>267</v>
      </c>
      <c r="I115" s="9" t="str">
        <f aca="false">TRIM(A115) &amp; TRIM(F115) &amp; TRIM(H115)</f>
        <v>First ReviewHighlight ViewID</v>
      </c>
      <c r="J115" s="9" t="n">
        <f aca="false">IFERROR(VLOOKUP(I115,'WFM Q4 Target'!J:K,2,0),"-")</f>
        <v>590.502</v>
      </c>
      <c r="K115" s="9" t="n">
        <v>192.7485</v>
      </c>
      <c r="L115" s="9" t="n">
        <v>0</v>
      </c>
      <c r="M115" s="9" t="str">
        <f aca="false">IFERROR(IF(K115&gt;J115,"Not Meet Target","Meet Target"),"-")</f>
        <v>Meet Target</v>
      </c>
      <c r="N115" s="9" t="str">
        <f aca="false">IFERROR(VLOOKUP(D115,'Team Member List'!B:C,2,0),"")</f>
        <v>TL Ramirez</v>
      </c>
      <c r="O115" s="9" t="s">
        <v>2408</v>
      </c>
    </row>
    <row r="116" customFormat="false" ht="15" hidden="false" customHeight="false" outlineLevel="0" collapsed="false">
      <c r="A116" s="9" t="s">
        <v>63</v>
      </c>
      <c r="B116" s="10"/>
      <c r="C116" s="9" t="s">
        <v>2355</v>
      </c>
      <c r="D116" s="9" t="s">
        <v>2355</v>
      </c>
      <c r="E116" s="9" t="s">
        <v>56</v>
      </c>
      <c r="F116" s="9" t="s">
        <v>75</v>
      </c>
      <c r="G116" s="9" t="s">
        <v>75</v>
      </c>
      <c r="H116" s="9" t="s">
        <v>111</v>
      </c>
      <c r="I116" s="9" t="str">
        <f aca="false">TRIM(A116) &amp; TRIM(F116) &amp; TRIM(H116)</f>
        <v>First ReviewBid Ecom Ads GroupUS</v>
      </c>
      <c r="J116" s="9" t="n">
        <f aca="false">IFERROR(VLOOKUP(I116,'WFM Q4 Target'!J:K,2,0),"-")</f>
        <v>187.74</v>
      </c>
      <c r="K116" s="9" t="n">
        <v>244.4177</v>
      </c>
      <c r="L116" s="9" t="n">
        <v>125.3647</v>
      </c>
      <c r="M116" s="9" t="str">
        <f aca="false">IFERROR(IF(K116&gt;J116,"Not Meet Target","Meet Target"),"-")</f>
        <v>Not Meet Target</v>
      </c>
      <c r="N116" s="9" t="str">
        <f aca="false">IFERROR(VLOOKUP(D116,'Team Member List'!B:C,2,0),"")</f>
        <v>TL Lindgren</v>
      </c>
      <c r="O116" s="9" t="s">
        <v>2408</v>
      </c>
    </row>
    <row r="117" customFormat="false" ht="15" hidden="false" customHeight="false" outlineLevel="0" collapsed="false">
      <c r="A117" s="9" t="s">
        <v>63</v>
      </c>
      <c r="B117" s="10"/>
      <c r="C117" s="9"/>
      <c r="D117" s="9" t="s">
        <v>2355</v>
      </c>
      <c r="E117" s="9" t="s">
        <v>973</v>
      </c>
      <c r="F117" s="9" t="s">
        <v>979</v>
      </c>
      <c r="G117" s="9" t="s">
        <v>979</v>
      </c>
      <c r="H117" s="9" t="s">
        <v>284</v>
      </c>
      <c r="I117" s="9" t="str">
        <f aca="false">TRIM(A117) &amp; TRIM(F117) &amp; TRIM(H117)</f>
        <v>First ReviewBooking Ads Pre ApprovalTR</v>
      </c>
      <c r="J117" s="9" t="n">
        <f aca="false">IFERROR(VLOOKUP(I117,'WFM Q4 Target'!J:K,2,0),"-")</f>
        <v>79.158</v>
      </c>
      <c r="K117" s="9" t="n">
        <v>432.1356</v>
      </c>
      <c r="L117" s="9" t="n">
        <v>41.6033</v>
      </c>
      <c r="M117" s="9" t="str">
        <f aca="false">IFERROR(IF(K117&gt;J117,"Not Meet Target","Meet Target"),"-")</f>
        <v>Not Meet Target</v>
      </c>
      <c r="N117" s="9" t="str">
        <f aca="false">IFERROR(VLOOKUP(D117,'Team Member List'!B:C,2,0),"")</f>
        <v>TL Lindgren</v>
      </c>
      <c r="O117" s="9" t="s">
        <v>2408</v>
      </c>
    </row>
    <row r="118" customFormat="false" ht="15" hidden="false" customHeight="false" outlineLevel="0" collapsed="false">
      <c r="A118" s="9" t="s">
        <v>63</v>
      </c>
      <c r="B118" s="10"/>
      <c r="C118" s="9" t="s">
        <v>2323</v>
      </c>
      <c r="D118" s="9" t="s">
        <v>2323</v>
      </c>
      <c r="E118" s="9" t="s">
        <v>56</v>
      </c>
      <c r="F118" s="9" t="s">
        <v>78</v>
      </c>
      <c r="G118" s="9" t="s">
        <v>78</v>
      </c>
      <c r="H118" s="9" t="s">
        <v>267</v>
      </c>
      <c r="I118" s="9" t="str">
        <f aca="false">TRIM(A118) &amp; TRIM(F118) &amp; TRIM(H118)</f>
        <v>First ReviewBid VideoID</v>
      </c>
      <c r="J118" s="9" t="n">
        <f aca="false">IFERROR(VLOOKUP(I118,'WFM Q4 Target'!J:K,2,0),"-")</f>
        <v>71.064</v>
      </c>
      <c r="K118" s="9" t="n">
        <v>148.8363</v>
      </c>
      <c r="L118" s="9" t="n">
        <v>853.9543</v>
      </c>
      <c r="M118" s="9" t="str">
        <f aca="false">IFERROR(IF(K118&gt;J118,"Not Meet Target","Meet Target"),"-")</f>
        <v>Not Meet Target</v>
      </c>
      <c r="N118" s="9" t="str">
        <f aca="false">IFERROR(VLOOKUP(D118,'Team Member List'!B:C,2,0),"")</f>
        <v>TL Ramirez</v>
      </c>
      <c r="O118" s="9" t="s">
        <v>2408</v>
      </c>
    </row>
    <row r="119" customFormat="false" ht="15" hidden="false" customHeight="false" outlineLevel="0" collapsed="false">
      <c r="A119" s="9" t="s">
        <v>63</v>
      </c>
      <c r="B119" s="10"/>
      <c r="C119" s="9"/>
      <c r="D119" s="9" t="s">
        <v>2323</v>
      </c>
      <c r="E119" s="9" t="s">
        <v>973</v>
      </c>
      <c r="F119" s="9" t="s">
        <v>979</v>
      </c>
      <c r="G119" s="9" t="s">
        <v>979</v>
      </c>
      <c r="H119" s="9" t="s">
        <v>97</v>
      </c>
      <c r="I119" s="9" t="str">
        <f aca="false">TRIM(A119) &amp; TRIM(F119) &amp; TRIM(H119)</f>
        <v>First ReviewBooking Ads Pre ApprovalBR</v>
      </c>
      <c r="J119" s="9" t="n">
        <f aca="false">IFERROR(VLOOKUP(I119,'WFM Q4 Target'!J:K,2,0),"-")</f>
        <v>1137.432</v>
      </c>
      <c r="K119" s="9" t="n">
        <v>296.0124</v>
      </c>
      <c r="L119" s="9" t="n">
        <v>39.1841</v>
      </c>
      <c r="M119" s="9" t="str">
        <f aca="false">IFERROR(IF(K119&gt;J119,"Not Meet Target","Meet Target"),"-")</f>
        <v>Meet Target</v>
      </c>
      <c r="N119" s="9" t="str">
        <f aca="false">IFERROR(VLOOKUP(D119,'Team Member List'!B:C,2,0),"")</f>
        <v>TL Ramirez</v>
      </c>
      <c r="O119" s="9" t="s">
        <v>2408</v>
      </c>
    </row>
    <row r="120" customFormat="false" ht="15" hidden="false" customHeight="false" outlineLevel="0" collapsed="false">
      <c r="A120" s="9" t="s">
        <v>63</v>
      </c>
      <c r="B120" s="10"/>
      <c r="C120" s="9"/>
      <c r="D120" s="9" t="s">
        <v>2323</v>
      </c>
      <c r="E120" s="9"/>
      <c r="F120" s="9" t="s">
        <v>974</v>
      </c>
      <c r="G120" s="9" t="s">
        <v>974</v>
      </c>
      <c r="H120" s="9" t="s">
        <v>267</v>
      </c>
      <c r="I120" s="9" t="str">
        <f aca="false">TRIM(A120) &amp; TRIM(F120) &amp; TRIM(H120)</f>
        <v>First ReviewHighlight ViewID</v>
      </c>
      <c r="J120" s="9" t="n">
        <f aca="false">IFERROR(VLOOKUP(I120,'WFM Q4 Target'!J:K,2,0),"-")</f>
        <v>590.502</v>
      </c>
      <c r="K120" s="9" t="n">
        <v>98.2344</v>
      </c>
      <c r="L120" s="9" t="n">
        <v>0</v>
      </c>
      <c r="M120" s="9" t="str">
        <f aca="false">IFERROR(IF(K120&gt;J120,"Not Meet Target","Meet Target"),"-")</f>
        <v>Meet Target</v>
      </c>
      <c r="N120" s="9" t="str">
        <f aca="false">IFERROR(VLOOKUP(D120,'Team Member List'!B:C,2,0),"")</f>
        <v>TL Ramirez</v>
      </c>
      <c r="O120" s="9" t="s">
        <v>2408</v>
      </c>
    </row>
    <row r="121" customFormat="false" ht="15" hidden="false" customHeight="false" outlineLevel="0" collapsed="false">
      <c r="A121" s="9" t="s">
        <v>63</v>
      </c>
      <c r="B121" s="10"/>
      <c r="C121" s="9" t="s">
        <v>2333</v>
      </c>
      <c r="D121" s="9" t="s">
        <v>2333</v>
      </c>
      <c r="E121" s="9" t="s">
        <v>56</v>
      </c>
      <c r="F121" s="9" t="s">
        <v>78</v>
      </c>
      <c r="G121" s="9" t="s">
        <v>78</v>
      </c>
      <c r="H121" s="9" t="s">
        <v>267</v>
      </c>
      <c r="I121" s="9" t="str">
        <f aca="false">TRIM(A121) &amp; TRIM(F121) &amp; TRIM(H121)</f>
        <v>First ReviewBid VideoID</v>
      </c>
      <c r="J121" s="9" t="n">
        <f aca="false">IFERROR(VLOOKUP(I121,'WFM Q4 Target'!J:K,2,0),"-")</f>
        <v>71.064</v>
      </c>
      <c r="K121" s="9" t="n">
        <v>92.7338</v>
      </c>
      <c r="L121" s="9" t="n">
        <v>512.1043</v>
      </c>
      <c r="M121" s="9" t="str">
        <f aca="false">IFERROR(IF(K121&gt;J121,"Not Meet Target","Meet Target"),"-")</f>
        <v>Not Meet Target</v>
      </c>
      <c r="N121" s="9" t="str">
        <f aca="false">IFERROR(VLOOKUP(D121,'Team Member List'!B:C,2,0),"")</f>
        <v>TL Ramirez</v>
      </c>
      <c r="O121" s="9" t="s">
        <v>2408</v>
      </c>
    </row>
    <row r="122" customFormat="false" ht="15" hidden="false" customHeight="false" outlineLevel="0" collapsed="false">
      <c r="A122" s="9" t="s">
        <v>63</v>
      </c>
      <c r="B122" s="10"/>
      <c r="C122" s="9"/>
      <c r="D122" s="9" t="s">
        <v>2333</v>
      </c>
      <c r="E122" s="9" t="s">
        <v>1432</v>
      </c>
      <c r="F122" s="9" t="s">
        <v>1498</v>
      </c>
      <c r="G122" s="9" t="s">
        <v>1498</v>
      </c>
      <c r="H122" s="9" t="s">
        <v>267</v>
      </c>
      <c r="I122" s="9" t="str">
        <f aca="false">TRIM(A122) &amp; TRIM(F122) &amp; TRIM(H122)</f>
        <v>First ReviewBE Adv CampaignID</v>
      </c>
      <c r="J122" s="9" t="str">
        <f aca="false">IFERROR(VLOOKUP(I122,'WFM Q4 Target'!J:K,2,0),"-")</f>
        <v>-</v>
      </c>
      <c r="K122" s="9" t="n">
        <v>319.7226</v>
      </c>
      <c r="L122" s="9" t="n">
        <v>0</v>
      </c>
      <c r="M122" s="9" t="str">
        <f aca="false">IFERROR(IF(K122&gt;J122,"Not Meet Target","Meet Target"),"-")</f>
        <v>Meet Target</v>
      </c>
      <c r="N122" s="9" t="str">
        <f aca="false">IFERROR(VLOOKUP(D122,'Team Member List'!B:C,2,0),"")</f>
        <v>TL Ramirez</v>
      </c>
      <c r="O122" s="9" t="s">
        <v>2408</v>
      </c>
    </row>
    <row r="123" customFormat="false" ht="15" hidden="false" customHeight="false" outlineLevel="0" collapsed="false">
      <c r="A123" s="9" t="s">
        <v>63</v>
      </c>
      <c r="B123" s="10"/>
      <c r="C123" s="9" t="s">
        <v>2361</v>
      </c>
      <c r="D123" s="9" t="s">
        <v>2361</v>
      </c>
      <c r="E123" s="9" t="s">
        <v>56</v>
      </c>
      <c r="F123" s="9" t="s">
        <v>57</v>
      </c>
      <c r="G123" s="9" t="s">
        <v>57</v>
      </c>
      <c r="H123" s="9" t="s">
        <v>235</v>
      </c>
      <c r="I123" s="9" t="str">
        <f aca="false">TRIM(A123) &amp; TRIM(F123) &amp; TRIM(H123)</f>
        <v>First ReviewBid Ad GroupJP</v>
      </c>
      <c r="J123" s="9" t="n">
        <f aca="false">IFERROR(VLOOKUP(I123,'WFM Q4 Target'!J:K,2,0),"-")</f>
        <v>140.514</v>
      </c>
      <c r="K123" s="9" t="n">
        <v>261.2336</v>
      </c>
      <c r="L123" s="9" t="n">
        <v>835.1629</v>
      </c>
      <c r="M123" s="9" t="str">
        <f aca="false">IFERROR(IF(K123&gt;J123,"Not Meet Target","Meet Target"),"-")</f>
        <v>Not Meet Target</v>
      </c>
      <c r="N123" s="9" t="str">
        <f aca="false">IFERROR(VLOOKUP(D123,'Team Member List'!B:C,2,0),"")</f>
        <v>TL Okafor</v>
      </c>
      <c r="O123" s="9" t="s">
        <v>2408</v>
      </c>
    </row>
    <row r="124" customFormat="false" ht="15" hidden="false" customHeight="false" outlineLevel="0" collapsed="false">
      <c r="A124" s="9" t="s">
        <v>63</v>
      </c>
      <c r="B124" s="10"/>
      <c r="C124" s="9"/>
      <c r="D124" s="9" t="s">
        <v>2361</v>
      </c>
      <c r="E124" s="9" t="s">
        <v>973</v>
      </c>
      <c r="F124" s="9" t="s">
        <v>974</v>
      </c>
      <c r="G124" s="9" t="s">
        <v>974</v>
      </c>
      <c r="H124" s="9" t="s">
        <v>235</v>
      </c>
      <c r="I124" s="9" t="str">
        <f aca="false">TRIM(A124) &amp; TRIM(F124) &amp; TRIM(H124)</f>
        <v>First ReviewHighlight ViewJP</v>
      </c>
      <c r="J124" s="9" t="n">
        <f aca="false">IFERROR(VLOOKUP(I124,'WFM Q4 Target'!J:K,2,0),"-")</f>
        <v>759.402</v>
      </c>
      <c r="K124" s="9" t="n">
        <v>1270.0762</v>
      </c>
      <c r="L124" s="9" t="n">
        <v>0</v>
      </c>
      <c r="M124" s="9" t="str">
        <f aca="false">IFERROR(IF(K124&gt;J124,"Not Meet Target","Meet Target"),"-")</f>
        <v>Not Meet Target</v>
      </c>
      <c r="N124" s="9" t="str">
        <f aca="false">IFERROR(VLOOKUP(D124,'Team Member List'!B:C,2,0),"")</f>
        <v>TL Okafor</v>
      </c>
      <c r="O124" s="9" t="s">
        <v>2408</v>
      </c>
    </row>
    <row r="125" customFormat="false" ht="15" hidden="false" customHeight="false" outlineLevel="0" collapsed="false">
      <c r="A125" s="9" t="s">
        <v>66</v>
      </c>
      <c r="B125" s="10"/>
      <c r="C125" s="9" t="s">
        <v>2332</v>
      </c>
      <c r="D125" s="9" t="s">
        <v>2332</v>
      </c>
      <c r="E125" s="9" t="s">
        <v>56</v>
      </c>
      <c r="F125" s="9" t="s">
        <v>57</v>
      </c>
      <c r="G125" s="9" t="s">
        <v>57</v>
      </c>
      <c r="H125" s="9" t="s">
        <v>267</v>
      </c>
      <c r="I125" s="9" t="str">
        <f aca="false">TRIM(A125) &amp; TRIM(F125) &amp; TRIM(H125)</f>
        <v>Posted RecallBid Ad GroupID</v>
      </c>
      <c r="J125" s="9" t="n">
        <f aca="false">IFERROR(VLOOKUP(I125,'WFM Q4 Target'!J:K,2,0),"-")</f>
        <v>152.274</v>
      </c>
      <c r="K125" s="9" t="n">
        <v>147.0237</v>
      </c>
      <c r="L125" s="9" t="n">
        <v>163.6017</v>
      </c>
      <c r="M125" s="9" t="str">
        <f aca="false">IFERROR(IF(K125&gt;J125,"Not Meet Target","Meet Target"),"-")</f>
        <v>Meet Target</v>
      </c>
      <c r="N125" s="9" t="str">
        <f aca="false">IFERROR(VLOOKUP(D125,'Team Member List'!B:C,2,0),"")</f>
        <v>TL Ramirez</v>
      </c>
      <c r="O125" s="9" t="s">
        <v>2408</v>
      </c>
    </row>
    <row r="126" customFormat="false" ht="15" hidden="false" customHeight="false" outlineLevel="0" collapsed="false">
      <c r="A126" s="9" t="s">
        <v>66</v>
      </c>
      <c r="B126" s="10"/>
      <c r="C126" s="9" t="s">
        <v>2388</v>
      </c>
      <c r="D126" s="9" t="s">
        <v>2388</v>
      </c>
      <c r="E126" s="9" t="s">
        <v>2009</v>
      </c>
      <c r="F126" s="9" t="s">
        <v>2012</v>
      </c>
      <c r="G126" s="9" t="s">
        <v>2012</v>
      </c>
      <c r="H126" s="9" t="s">
        <v>267</v>
      </c>
      <c r="I126" s="9" t="str">
        <f aca="false">TRIM(A126) &amp; TRIM(F126) &amp; TRIM(H126)</f>
        <v>Posted RecallTrial Install Android AppID</v>
      </c>
      <c r="J126" s="9" t="n">
        <f aca="false">IFERROR(VLOOKUP(I126,'WFM Q4 Target'!J:K,2,0),"-")</f>
        <v>532.764</v>
      </c>
      <c r="K126" s="9" t="n">
        <v>575.8241</v>
      </c>
      <c r="L126" s="9" t="n">
        <v>453.6064</v>
      </c>
      <c r="M126" s="9" t="str">
        <f aca="false">IFERROR(IF(K126&gt;J126,"Not Meet Target","Meet Target"),"-")</f>
        <v>Not Meet Target</v>
      </c>
      <c r="N126" s="9" t="str">
        <f aca="false">IFERROR(VLOOKUP(D126,'Team Member List'!B:C,2,0),"")</f>
        <v>TL Cabrera</v>
      </c>
      <c r="O126" s="9" t="s">
        <v>2408</v>
      </c>
    </row>
    <row r="127" customFormat="false" ht="15" hidden="false" customHeight="false" outlineLevel="0" collapsed="false">
      <c r="A127" s="9" t="s">
        <v>66</v>
      </c>
      <c r="B127" s="10"/>
      <c r="C127" s="9"/>
      <c r="D127" s="9" t="s">
        <v>2388</v>
      </c>
      <c r="E127" s="9"/>
      <c r="F127" s="9" t="s">
        <v>2012</v>
      </c>
      <c r="G127" s="9"/>
      <c r="H127" s="9" t="s">
        <v>95</v>
      </c>
      <c r="I127" s="9" t="str">
        <f aca="false">TRIM(A127) &amp; TRIM(F127) &amp; TRIM(H127)</f>
        <v>Posted RecallTrial Install Android AppVN</v>
      </c>
      <c r="J127" s="9" t="n">
        <f aca="false">IFERROR(VLOOKUP(I127,'WFM Q4 Target'!J:K,2,0),"-")</f>
        <v>711.03</v>
      </c>
      <c r="K127" s="9" t="n">
        <v>749.4674</v>
      </c>
      <c r="L127" s="9" t="n">
        <v>655.1277</v>
      </c>
      <c r="M127" s="9" t="str">
        <f aca="false">IFERROR(IF(K127&gt;J127,"Not Meet Target","Meet Target"),"-")</f>
        <v>Not Meet Target</v>
      </c>
      <c r="N127" s="9" t="str">
        <f aca="false">IFERROR(VLOOKUP(D127,'Team Member List'!B:C,2,0),"")</f>
        <v>TL Cabrera</v>
      </c>
      <c r="O127" s="9" t="s">
        <v>2408</v>
      </c>
    </row>
    <row r="128" customFormat="false" ht="15" hidden="false" customHeight="false" outlineLevel="0" collapsed="false">
      <c r="A128" s="9" t="s">
        <v>66</v>
      </c>
      <c r="B128" s="10"/>
      <c r="C128" s="9"/>
      <c r="D128" s="9" t="s">
        <v>2388</v>
      </c>
      <c r="E128" s="9"/>
      <c r="F128" s="9" t="s">
        <v>2010</v>
      </c>
      <c r="G128" s="9" t="s">
        <v>2010</v>
      </c>
      <c r="H128" s="9" t="s">
        <v>95</v>
      </c>
      <c r="I128" s="9" t="str">
        <f aca="false">TRIM(A128) &amp; TRIM(F128) &amp; TRIM(H128)</f>
        <v>Posted RecallTrial Install IOS AppVN</v>
      </c>
      <c r="J128" s="9" t="str">
        <f aca="false">IFERROR(VLOOKUP(I128,'WFM Q4 Target'!J:K,2,0),"-")</f>
        <v>-</v>
      </c>
      <c r="K128" s="9" t="n">
        <v>557.3962</v>
      </c>
      <c r="L128" s="9" t="n">
        <v>1071.7837</v>
      </c>
      <c r="M128" s="9" t="str">
        <f aca="false">IFERROR(IF(K128&gt;J128,"Not Meet Target","Meet Target"),"-")</f>
        <v>Meet Target</v>
      </c>
      <c r="N128" s="9" t="str">
        <f aca="false">IFERROR(VLOOKUP(D128,'Team Member List'!B:C,2,0),"")</f>
        <v>TL Cabrera</v>
      </c>
      <c r="O128" s="9" t="s">
        <v>2408</v>
      </c>
    </row>
    <row r="129" customFormat="false" ht="15" hidden="false" customHeight="false" outlineLevel="0" collapsed="false">
      <c r="A129" s="9" t="s">
        <v>66</v>
      </c>
      <c r="B129" s="10"/>
      <c r="C129" s="9" t="s">
        <v>2361</v>
      </c>
      <c r="D129" s="9" t="s">
        <v>2361</v>
      </c>
      <c r="E129" s="9" t="s">
        <v>56</v>
      </c>
      <c r="F129" s="9" t="s">
        <v>57</v>
      </c>
      <c r="G129" s="9" t="s">
        <v>57</v>
      </c>
      <c r="H129" s="9" t="s">
        <v>235</v>
      </c>
      <c r="I129" s="9" t="str">
        <f aca="false">TRIM(A129) &amp; TRIM(F129) &amp; TRIM(H129)</f>
        <v>Posted RecallBid Ad GroupJP</v>
      </c>
      <c r="J129" s="9" t="n">
        <f aca="false">IFERROR(VLOOKUP(I129,'WFM Q4 Target'!J:K,2,0),"-")</f>
        <v>100.644</v>
      </c>
      <c r="K129" s="9" t="n">
        <v>137.9808</v>
      </c>
      <c r="L129" s="9" t="n">
        <v>235.313</v>
      </c>
      <c r="M129" s="9" t="str">
        <f aca="false">IFERROR(IF(K129&gt;J129,"Not Meet Target","Meet Target"),"-")</f>
        <v>Not Meet Target</v>
      </c>
      <c r="N129" s="9" t="str">
        <f aca="false">IFERROR(VLOOKUP(D129,'Team Member List'!B:C,2,0),"")</f>
        <v>TL Okafor</v>
      </c>
      <c r="O129" s="9" t="s">
        <v>2408</v>
      </c>
    </row>
    <row r="130" customFormat="false" ht="15" hidden="false" customHeight="false" outlineLevel="0" collapsed="false">
      <c r="A130" s="9" t="s">
        <v>66</v>
      </c>
      <c r="B130" s="10"/>
      <c r="C130" s="9" t="s">
        <v>2338</v>
      </c>
      <c r="D130" s="9" t="s">
        <v>2338</v>
      </c>
      <c r="E130" s="9" t="s">
        <v>56</v>
      </c>
      <c r="F130" s="9" t="s">
        <v>57</v>
      </c>
      <c r="G130" s="9" t="s">
        <v>57</v>
      </c>
      <c r="H130" s="9" t="s">
        <v>106</v>
      </c>
      <c r="I130" s="9" t="str">
        <f aca="false">TRIM(A130) &amp; TRIM(F130) &amp; TRIM(H130)</f>
        <v>Posted RecallBid Ad GroupMY</v>
      </c>
      <c r="J130" s="9" t="n">
        <f aca="false">IFERROR(VLOOKUP(I130,'WFM Q4 Target'!J:K,2,0),"-")</f>
        <v>125.562</v>
      </c>
      <c r="K130" s="9" t="n">
        <v>105.2601</v>
      </c>
      <c r="L130" s="9" t="n">
        <v>127.5699</v>
      </c>
      <c r="M130" s="9" t="str">
        <f aca="false">IFERROR(IF(K130&gt;J130,"Not Meet Target","Meet Target"),"-")</f>
        <v>Meet Target</v>
      </c>
      <c r="N130" s="9" t="str">
        <f aca="false">IFERROR(VLOOKUP(D130,'Team Member List'!B:C,2,0),"")</f>
        <v>TL Ramirez</v>
      </c>
      <c r="O130" s="9" t="s">
        <v>2408</v>
      </c>
    </row>
    <row r="131" customFormat="false" ht="15" hidden="false" customHeight="false" outlineLevel="0" collapsed="false">
      <c r="A131" s="9" t="s">
        <v>66</v>
      </c>
      <c r="B131" s="10"/>
      <c r="C131" s="9"/>
      <c r="D131" s="9" t="s">
        <v>2338</v>
      </c>
      <c r="E131" s="9"/>
      <c r="F131" s="9" t="s">
        <v>57</v>
      </c>
      <c r="G131" s="9"/>
      <c r="H131" s="9" t="s">
        <v>58</v>
      </c>
      <c r="I131" s="9" t="str">
        <f aca="false">TRIM(A131) &amp; TRIM(F131) &amp; TRIM(H131)</f>
        <v>Posted RecallBid Ad GroupSG</v>
      </c>
      <c r="J131" s="9" t="n">
        <f aca="false">IFERROR(VLOOKUP(I131,'WFM Q4 Target'!J:K,2,0),"-")</f>
        <v>112.686</v>
      </c>
      <c r="K131" s="9" t="n">
        <v>95.3122</v>
      </c>
      <c r="L131" s="9" t="n">
        <v>160.9561</v>
      </c>
      <c r="M131" s="9" t="str">
        <f aca="false">IFERROR(IF(K131&gt;J131,"Not Meet Target","Meet Target"),"-")</f>
        <v>Meet Target</v>
      </c>
      <c r="N131" s="9" t="str">
        <f aca="false">IFERROR(VLOOKUP(D131,'Team Member List'!B:C,2,0),"")</f>
        <v>TL Ramirez</v>
      </c>
      <c r="O131" s="9" t="s">
        <v>2408</v>
      </c>
    </row>
    <row r="132" customFormat="false" ht="15" hidden="false" customHeight="false" outlineLevel="0" collapsed="false">
      <c r="A132" s="9" t="s">
        <v>66</v>
      </c>
      <c r="B132" s="10"/>
      <c r="C132" s="9" t="s">
        <v>2362</v>
      </c>
      <c r="D132" s="9" t="s">
        <v>2362</v>
      </c>
      <c r="E132" s="9" t="s">
        <v>56</v>
      </c>
      <c r="F132" s="9" t="s">
        <v>57</v>
      </c>
      <c r="G132" s="9" t="s">
        <v>57</v>
      </c>
      <c r="H132" s="9" t="s">
        <v>235</v>
      </c>
      <c r="I132" s="9" t="str">
        <f aca="false">TRIM(A132) &amp; TRIM(F132) &amp; TRIM(H132)</f>
        <v>Posted RecallBid Ad GroupJP</v>
      </c>
      <c r="J132" s="9" t="n">
        <f aca="false">IFERROR(VLOOKUP(I132,'WFM Q4 Target'!J:K,2,0),"-")</f>
        <v>100.644</v>
      </c>
      <c r="K132" s="9" t="n">
        <v>187.2465</v>
      </c>
      <c r="L132" s="9" t="n">
        <v>130.541</v>
      </c>
      <c r="M132" s="9" t="str">
        <f aca="false">IFERROR(IF(K132&gt;J132,"Not Meet Target","Meet Target"),"-")</f>
        <v>Not Meet Target</v>
      </c>
      <c r="N132" s="9" t="str">
        <f aca="false">IFERROR(VLOOKUP(D132,'Team Member List'!B:C,2,0),"")</f>
        <v>TL Okafor</v>
      </c>
      <c r="O132" s="9" t="s">
        <v>2408</v>
      </c>
    </row>
    <row r="133" customFormat="false" ht="15" hidden="false" customHeight="false" outlineLevel="0" collapsed="false">
      <c r="A133" s="9" t="s">
        <v>66</v>
      </c>
      <c r="B133" s="10"/>
      <c r="C133" s="9"/>
      <c r="D133" s="9" t="s">
        <v>2362</v>
      </c>
      <c r="E133" s="9"/>
      <c r="F133" s="9" t="s">
        <v>75</v>
      </c>
      <c r="G133" s="9" t="s">
        <v>75</v>
      </c>
      <c r="H133" s="9" t="s">
        <v>235</v>
      </c>
      <c r="I133" s="9" t="str">
        <f aca="false">TRIM(A133) &amp; TRIM(F133) &amp; TRIM(H133)</f>
        <v>Posted RecallBid Ecom Ads GroupJP</v>
      </c>
      <c r="J133" s="9" t="n">
        <f aca="false">IFERROR(VLOOKUP(I133,'WFM Q4 Target'!J:K,2,0),"-")</f>
        <v>125.826</v>
      </c>
      <c r="K133" s="9" t="n">
        <v>179.8662</v>
      </c>
      <c r="L133" s="9" t="n">
        <v>121.0559</v>
      </c>
      <c r="M133" s="9" t="str">
        <f aca="false">IFERROR(IF(K133&gt;J133,"Not Meet Target","Meet Target"),"-")</f>
        <v>Not Meet Target</v>
      </c>
      <c r="N133" s="9" t="str">
        <f aca="false">IFERROR(VLOOKUP(D133,'Team Member List'!B:C,2,0),"")</f>
        <v>TL Okafor</v>
      </c>
      <c r="O133" s="9" t="s">
        <v>2408</v>
      </c>
    </row>
    <row r="134" customFormat="false" ht="15" hidden="false" customHeight="false" outlineLevel="0" collapsed="false">
      <c r="A134" s="9" t="s">
        <v>66</v>
      </c>
      <c r="B134" s="10"/>
      <c r="C134" s="9" t="s">
        <v>2359</v>
      </c>
      <c r="D134" s="9" t="s">
        <v>2359</v>
      </c>
      <c r="E134" s="9" t="s">
        <v>56</v>
      </c>
      <c r="F134" s="9" t="s">
        <v>57</v>
      </c>
      <c r="G134" s="9" t="s">
        <v>57</v>
      </c>
      <c r="H134" s="9" t="s">
        <v>235</v>
      </c>
      <c r="I134" s="9" t="str">
        <f aca="false">TRIM(A134) &amp; TRIM(F134) &amp; TRIM(H134)</f>
        <v>Posted RecallBid Ad GroupJP</v>
      </c>
      <c r="J134" s="9" t="n">
        <f aca="false">IFERROR(VLOOKUP(I134,'WFM Q4 Target'!J:K,2,0),"-")</f>
        <v>100.644</v>
      </c>
      <c r="K134" s="9" t="n">
        <v>197.6709</v>
      </c>
      <c r="L134" s="9" t="n">
        <v>219.0294</v>
      </c>
      <c r="M134" s="9" t="str">
        <f aca="false">IFERROR(IF(K134&gt;J134,"Not Meet Target","Meet Target"),"-")</f>
        <v>Not Meet Target</v>
      </c>
      <c r="N134" s="9" t="str">
        <f aca="false">IFERROR(VLOOKUP(D134,'Team Member List'!B:C,2,0),"")</f>
        <v>TL Okafor</v>
      </c>
      <c r="O134" s="9" t="s">
        <v>2408</v>
      </c>
    </row>
    <row r="135" customFormat="false" ht="15" hidden="false" customHeight="false" outlineLevel="0" collapsed="false">
      <c r="A135" s="9" t="s">
        <v>66</v>
      </c>
      <c r="B135" s="10"/>
      <c r="C135" s="9"/>
      <c r="D135" s="9" t="s">
        <v>2359</v>
      </c>
      <c r="E135" s="9"/>
      <c r="F135" s="9" t="s">
        <v>75</v>
      </c>
      <c r="G135" s="9" t="s">
        <v>75</v>
      </c>
      <c r="H135" s="9" t="s">
        <v>235</v>
      </c>
      <c r="I135" s="9" t="str">
        <f aca="false">TRIM(A135) &amp; TRIM(F135) &amp; TRIM(H135)</f>
        <v>Posted RecallBid Ecom Ads GroupJP</v>
      </c>
      <c r="J135" s="9" t="n">
        <f aca="false">IFERROR(VLOOKUP(I135,'WFM Q4 Target'!J:K,2,0),"-")</f>
        <v>125.826</v>
      </c>
      <c r="K135" s="9" t="n">
        <v>1144.3864</v>
      </c>
      <c r="L135" s="9" t="n">
        <v>58.4683</v>
      </c>
      <c r="M135" s="9" t="str">
        <f aca="false">IFERROR(IF(K135&gt;J135,"Not Meet Target","Meet Target"),"-")</f>
        <v>Not Meet Target</v>
      </c>
      <c r="N135" s="9" t="str">
        <f aca="false">IFERROR(VLOOKUP(D135,'Team Member List'!B:C,2,0),"")</f>
        <v>TL Okafor</v>
      </c>
      <c r="O135" s="9" t="s">
        <v>2408</v>
      </c>
    </row>
    <row r="136" customFormat="false" ht="15" hidden="false" customHeight="false" outlineLevel="0" collapsed="false">
      <c r="A136" s="9" t="s">
        <v>66</v>
      </c>
      <c r="B136" s="10"/>
      <c r="C136" s="9" t="s">
        <v>2393</v>
      </c>
      <c r="D136" s="9" t="s">
        <v>2393</v>
      </c>
      <c r="E136" s="9" t="s">
        <v>56</v>
      </c>
      <c r="F136" s="9" t="s">
        <v>57</v>
      </c>
      <c r="G136" s="9" t="s">
        <v>57</v>
      </c>
      <c r="H136" s="9" t="s">
        <v>106</v>
      </c>
      <c r="I136" s="9" t="str">
        <f aca="false">TRIM(A136) &amp; TRIM(F136) &amp; TRIM(H136)</f>
        <v>Posted RecallBid Ad GroupMY</v>
      </c>
      <c r="J136" s="9" t="n">
        <f aca="false">IFERROR(VLOOKUP(I136,'WFM Q4 Target'!J:K,2,0),"-")</f>
        <v>125.562</v>
      </c>
      <c r="K136" s="9" t="n">
        <v>179.5803</v>
      </c>
      <c r="L136" s="9" t="n">
        <v>97.2202</v>
      </c>
      <c r="M136" s="9" t="str">
        <f aca="false">IFERROR(IF(K136&gt;J136,"Not Meet Target","Meet Target"),"-")</f>
        <v>Not Meet Target</v>
      </c>
      <c r="N136" s="9" t="str">
        <f aca="false">IFERROR(VLOOKUP(D136,'Team Member List'!B:C,2,0),"")</f>
        <v>TL Cabrera</v>
      </c>
      <c r="O136" s="9" t="s">
        <v>2408</v>
      </c>
    </row>
    <row r="137" customFormat="false" ht="15" hidden="false" customHeight="false" outlineLevel="0" collapsed="false">
      <c r="A137" s="9" t="s">
        <v>66</v>
      </c>
      <c r="B137" s="10"/>
      <c r="C137" s="9"/>
      <c r="D137" s="9" t="s">
        <v>2393</v>
      </c>
      <c r="E137" s="9"/>
      <c r="F137" s="9" t="s">
        <v>75</v>
      </c>
      <c r="G137" s="9" t="s">
        <v>75</v>
      </c>
      <c r="H137" s="9" t="s">
        <v>106</v>
      </c>
      <c r="I137" s="9" t="str">
        <f aca="false">TRIM(A137) &amp; TRIM(F137) &amp; TRIM(H137)</f>
        <v>Posted RecallBid Ecom Ads GroupMY</v>
      </c>
      <c r="J137" s="9" t="n">
        <f aca="false">IFERROR(VLOOKUP(I137,'WFM Q4 Target'!J:K,2,0),"-")</f>
        <v>111.516</v>
      </c>
      <c r="K137" s="9" t="n">
        <v>117.5247</v>
      </c>
      <c r="L137" s="9" t="n">
        <v>58.5513</v>
      </c>
      <c r="M137" s="9" t="str">
        <f aca="false">IFERROR(IF(K137&gt;J137,"Not Meet Target","Meet Target"),"-")</f>
        <v>Not Meet Target</v>
      </c>
      <c r="N137" s="9" t="str">
        <f aca="false">IFERROR(VLOOKUP(D137,'Team Member List'!B:C,2,0),"")</f>
        <v>TL Cabrera</v>
      </c>
      <c r="O137" s="9" t="s">
        <v>2408</v>
      </c>
    </row>
    <row r="138" customFormat="false" ht="15" hidden="false" customHeight="false" outlineLevel="0" collapsed="false">
      <c r="A138" s="9" t="s">
        <v>66</v>
      </c>
      <c r="B138" s="10"/>
      <c r="C138" s="9" t="s">
        <v>2385</v>
      </c>
      <c r="D138" s="9" t="s">
        <v>2385</v>
      </c>
      <c r="E138" s="9" t="s">
        <v>2009</v>
      </c>
      <c r="F138" s="9" t="s">
        <v>2012</v>
      </c>
      <c r="G138" s="9" t="s">
        <v>2012</v>
      </c>
      <c r="H138" s="9" t="s">
        <v>267</v>
      </c>
      <c r="I138" s="9" t="str">
        <f aca="false">TRIM(A138) &amp; TRIM(F138) &amp; TRIM(H138)</f>
        <v>Posted RecallTrial Install Android AppID</v>
      </c>
      <c r="J138" s="9" t="n">
        <f aca="false">IFERROR(VLOOKUP(I138,'WFM Q4 Target'!J:K,2,0),"-")</f>
        <v>532.764</v>
      </c>
      <c r="K138" s="9" t="n">
        <v>446.3064</v>
      </c>
      <c r="L138" s="9" t="n">
        <v>762.6824</v>
      </c>
      <c r="M138" s="9" t="str">
        <f aca="false">IFERROR(IF(K138&gt;J138,"Not Meet Target","Meet Target"),"-")</f>
        <v>Meet Target</v>
      </c>
      <c r="N138" s="9" t="str">
        <f aca="false">IFERROR(VLOOKUP(D138,'Team Member List'!B:C,2,0),"")</f>
        <v>TL Cabrera</v>
      </c>
      <c r="O138" s="9" t="s">
        <v>2408</v>
      </c>
    </row>
    <row r="139" customFormat="false" ht="15" hidden="false" customHeight="false" outlineLevel="0" collapsed="false">
      <c r="A139" s="9" t="s">
        <v>66</v>
      </c>
      <c r="B139" s="10"/>
      <c r="C139" s="9" t="s">
        <v>2344</v>
      </c>
      <c r="D139" s="9" t="s">
        <v>2344</v>
      </c>
      <c r="E139" s="9" t="s">
        <v>56</v>
      </c>
      <c r="F139" s="9" t="s">
        <v>75</v>
      </c>
      <c r="G139" s="9" t="s">
        <v>75</v>
      </c>
      <c r="H139" s="9" t="s">
        <v>95</v>
      </c>
      <c r="I139" s="9" t="str">
        <f aca="false">TRIM(A139) &amp; TRIM(F139) &amp; TRIM(H139)</f>
        <v>Posted RecallBid Ecom Ads GroupVN</v>
      </c>
      <c r="J139" s="9" t="n">
        <f aca="false">IFERROR(VLOOKUP(I139,'WFM Q4 Target'!J:K,2,0),"-")</f>
        <v>136.11</v>
      </c>
      <c r="K139" s="9" t="n">
        <v>436.272</v>
      </c>
      <c r="L139" s="9" t="n">
        <v>49.6213</v>
      </c>
      <c r="M139" s="9" t="str">
        <f aca="false">IFERROR(IF(K139&gt;J139,"Not Meet Target","Meet Target"),"-")</f>
        <v>Not Meet Target</v>
      </c>
      <c r="N139" s="9" t="str">
        <f aca="false">IFERROR(VLOOKUP(D139,'Team Member List'!B:C,2,0),"")</f>
        <v>TL Lindgren</v>
      </c>
      <c r="O139" s="9" t="s">
        <v>2408</v>
      </c>
    </row>
  </sheetData>
  <mergeCells count="16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N3:N4"/>
    <mergeCell ref="O3:O4"/>
  </mergeCells>
  <conditionalFormatting sqref="M5:M139">
    <cfRule type="containsText" priority="2" operator="containsText" aboveAverage="0" equalAverage="0" bottom="0" percent="0" rank="0" text="Not Meet Target" dxfId="0">
      <formula>NOT(ISERROR(SEARCH("Not Meet Target",M5)))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2398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2399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8" t="s">
        <v>8</v>
      </c>
      <c r="B3" s="8" t="s">
        <v>8</v>
      </c>
      <c r="C3" s="8" t="s">
        <v>2400</v>
      </c>
      <c r="D3" s="8" t="s">
        <v>2401</v>
      </c>
      <c r="E3" s="8" t="s">
        <v>5</v>
      </c>
      <c r="F3" s="8" t="s">
        <v>6</v>
      </c>
      <c r="G3" s="8" t="s">
        <v>6</v>
      </c>
      <c r="H3" s="8" t="s">
        <v>7</v>
      </c>
      <c r="I3" s="8" t="s">
        <v>13</v>
      </c>
      <c r="J3" s="8" t="s">
        <v>2402</v>
      </c>
      <c r="K3" s="8" t="s">
        <v>2412</v>
      </c>
      <c r="L3" s="8"/>
      <c r="M3" s="8" t="s">
        <v>2404</v>
      </c>
      <c r="N3" s="8" t="s">
        <v>2321</v>
      </c>
      <c r="O3" s="8" t="s">
        <v>2405</v>
      </c>
    </row>
    <row r="4" customFormat="false" ht="23.8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5" t="s">
        <v>2406</v>
      </c>
      <c r="L4" s="3" t="s">
        <v>2407</v>
      </c>
      <c r="M4" s="8"/>
      <c r="N4" s="8"/>
      <c r="O4" s="8"/>
    </row>
    <row r="5" customFormat="false" ht="15" hidden="false" customHeight="false" outlineLevel="0" collapsed="false">
      <c r="A5" s="9" t="s">
        <v>63</v>
      </c>
      <c r="B5" s="10"/>
      <c r="C5" s="9" t="s">
        <v>2342</v>
      </c>
      <c r="D5" s="9" t="s">
        <v>2342</v>
      </c>
      <c r="E5" s="9" t="s">
        <v>56</v>
      </c>
      <c r="F5" s="9" t="s">
        <v>57</v>
      </c>
      <c r="G5" s="9" t="s">
        <v>57</v>
      </c>
      <c r="H5" s="9" t="s">
        <v>95</v>
      </c>
      <c r="I5" s="9" t="str">
        <f aca="false">TRIM(A5) &amp; TRIM(F5) &amp; TRIM(H5)</f>
        <v>First ReviewBid Ad GroupVN</v>
      </c>
      <c r="J5" s="9" t="n">
        <f aca="false">IFERROR(VLOOKUP(I5,'WFM Q4 Target'!J:K,2,0),"-")</f>
        <v>220.83</v>
      </c>
      <c r="K5" s="9" t="n">
        <v>788.036</v>
      </c>
      <c r="L5" s="9" t="n">
        <v>62.3131</v>
      </c>
      <c r="M5" s="9" t="str">
        <f aca="false">IFERROR(IF(K5&gt;J5,"Not Meet Target","Meet Target"),"-")</f>
        <v>Not Meet Target</v>
      </c>
      <c r="N5" s="9" t="str">
        <f aca="false">IFERROR(VLOOKUP(D5,'Team Member List'!B:C,2,0),"")</f>
        <v>TL Lindgren</v>
      </c>
      <c r="O5" s="9" t="s">
        <v>2408</v>
      </c>
    </row>
    <row r="6" customFormat="false" ht="15" hidden="false" customHeight="false" outlineLevel="0" collapsed="false">
      <c r="A6" s="9" t="s">
        <v>63</v>
      </c>
      <c r="B6" s="10"/>
      <c r="C6" s="9"/>
      <c r="D6" s="9" t="s">
        <v>2342</v>
      </c>
      <c r="E6" s="9" t="s">
        <v>1432</v>
      </c>
      <c r="F6" s="9" t="s">
        <v>1436</v>
      </c>
      <c r="G6" s="9" t="s">
        <v>1436</v>
      </c>
      <c r="H6" s="9" t="s">
        <v>95</v>
      </c>
      <c r="I6" s="9" t="str">
        <f aca="false">TRIM(A6) &amp; TRIM(F6) &amp; TRIM(H6)</f>
        <v>First ReviewQuest Adv CampaignVN</v>
      </c>
      <c r="J6" s="9" t="n">
        <f aca="false">IFERROR(VLOOKUP(I6,'WFM Q4 Target'!J:K,2,0),"-")</f>
        <v>744.528</v>
      </c>
      <c r="K6" s="9" t="n">
        <v>321.7689</v>
      </c>
      <c r="L6" s="9" t="n">
        <v>0</v>
      </c>
      <c r="M6" s="9" t="str">
        <f aca="false">IFERROR(IF(K6&gt;J6,"Not Meet Target","Meet Target"),"-")</f>
        <v>Meet Target</v>
      </c>
      <c r="N6" s="9" t="str">
        <f aca="false">IFERROR(VLOOKUP(D6,'Team Member List'!B:C,2,0),"")</f>
        <v>TL Lindgren</v>
      </c>
      <c r="O6" s="9" t="s">
        <v>2408</v>
      </c>
    </row>
    <row r="7" customFormat="false" ht="15" hidden="false" customHeight="false" outlineLevel="0" collapsed="false">
      <c r="A7" s="9" t="s">
        <v>63</v>
      </c>
      <c r="B7" s="10"/>
      <c r="C7" s="9" t="s">
        <v>2375</v>
      </c>
      <c r="D7" s="9" t="s">
        <v>2375</v>
      </c>
      <c r="E7" s="9" t="s">
        <v>56</v>
      </c>
      <c r="F7" s="9" t="s">
        <v>57</v>
      </c>
      <c r="G7" s="9" t="s">
        <v>57</v>
      </c>
      <c r="H7" s="9" t="s">
        <v>190</v>
      </c>
      <c r="I7" s="9" t="str">
        <f aca="false">TRIM(A7) &amp; TRIM(F7) &amp; TRIM(H7)</f>
        <v>First ReviewBid Ad GroupPH</v>
      </c>
      <c r="J7" s="9" t="n">
        <f aca="false">IFERROR(VLOOKUP(I7,'WFM Q4 Target'!J:K,2,0),"-")</f>
        <v>81.798</v>
      </c>
      <c r="K7" s="9" t="n">
        <v>629.0067</v>
      </c>
      <c r="L7" s="9" t="n">
        <v>108.8914</v>
      </c>
      <c r="M7" s="9" t="str">
        <f aca="false">IFERROR(IF(K7&gt;J7,"Not Meet Target","Meet Target"),"-")</f>
        <v>Not Meet Target</v>
      </c>
      <c r="N7" s="9" t="str">
        <f aca="false">IFERROR(VLOOKUP(D7,'Team Member List'!B:C,2,0),"")</f>
        <v>TL Okafor</v>
      </c>
      <c r="O7" s="9" t="s">
        <v>2408</v>
      </c>
    </row>
    <row r="8" customFormat="false" ht="15" hidden="false" customHeight="false" outlineLevel="0" collapsed="false">
      <c r="A8" s="9" t="s">
        <v>63</v>
      </c>
      <c r="B8" s="10"/>
      <c r="C8" s="9"/>
      <c r="D8" s="9" t="s">
        <v>2375</v>
      </c>
      <c r="E8" s="9" t="s">
        <v>973</v>
      </c>
      <c r="F8" s="9" t="s">
        <v>974</v>
      </c>
      <c r="G8" s="9" t="s">
        <v>974</v>
      </c>
      <c r="H8" s="9" t="s">
        <v>154</v>
      </c>
      <c r="I8" s="9" t="str">
        <f aca="false">TRIM(A8) &amp; TRIM(F8) &amp; TRIM(H8)</f>
        <v>First ReviewHighlight ViewES</v>
      </c>
      <c r="J8" s="9" t="n">
        <f aca="false">IFERROR(VLOOKUP(I8,'WFM Q4 Target'!J:K,2,0),"-")</f>
        <v>168.468</v>
      </c>
      <c r="K8" s="9" t="n">
        <v>484.0649</v>
      </c>
      <c r="L8" s="9" t="n">
        <v>0</v>
      </c>
      <c r="M8" s="9" t="str">
        <f aca="false">IFERROR(IF(K8&gt;J8,"Not Meet Target","Meet Target"),"-")</f>
        <v>Not Meet Target</v>
      </c>
      <c r="N8" s="9" t="str">
        <f aca="false">IFERROR(VLOOKUP(D8,'Team Member List'!B:C,2,0),"")</f>
        <v>TL Okafor</v>
      </c>
      <c r="O8" s="9" t="s">
        <v>2408</v>
      </c>
    </row>
    <row r="9" customFormat="false" ht="15" hidden="false" customHeight="false" outlineLevel="0" collapsed="false">
      <c r="A9" s="9" t="s">
        <v>63</v>
      </c>
      <c r="B9" s="10"/>
      <c r="C9" s="9"/>
      <c r="D9" s="9" t="s">
        <v>2375</v>
      </c>
      <c r="E9" s="9"/>
      <c r="F9" s="9"/>
      <c r="G9" s="9" t="s">
        <v>974</v>
      </c>
      <c r="H9" s="9" t="s">
        <v>235</v>
      </c>
      <c r="I9" s="9" t="str">
        <f aca="false">TRIM(A9) &amp; TRIM(F9) &amp; TRIM(H9)</f>
        <v>First ReviewJP</v>
      </c>
      <c r="J9" s="9" t="str">
        <f aca="false">IFERROR(VLOOKUP(I9,'WFM Q4 Target'!J:K,2,0),"-")</f>
        <v>-</v>
      </c>
      <c r="K9" s="9" t="n">
        <v>458.0081</v>
      </c>
      <c r="L9" s="9" t="n">
        <v>0</v>
      </c>
      <c r="M9" s="9" t="str">
        <f aca="false">IFERROR(IF(K9&gt;J9,"Not Meet Target","Meet Target"),"-")</f>
        <v>Meet Target</v>
      </c>
      <c r="N9" s="9" t="str">
        <f aca="false">IFERROR(VLOOKUP(D9,'Team Member List'!B:C,2,0),"")</f>
        <v>TL Okafor</v>
      </c>
      <c r="O9" s="9" t="s">
        <v>2408</v>
      </c>
    </row>
    <row r="10" customFormat="false" ht="15" hidden="false" customHeight="false" outlineLevel="0" collapsed="false">
      <c r="A10" s="9" t="s">
        <v>63</v>
      </c>
      <c r="B10" s="10"/>
      <c r="C10" s="9" t="s">
        <v>2365</v>
      </c>
      <c r="D10" s="9" t="s">
        <v>2365</v>
      </c>
      <c r="E10" s="9" t="s">
        <v>56</v>
      </c>
      <c r="F10" s="9" t="s">
        <v>57</v>
      </c>
      <c r="G10" s="9" t="s">
        <v>57</v>
      </c>
      <c r="H10" s="9" t="s">
        <v>121</v>
      </c>
      <c r="I10" s="9" t="str">
        <f aca="false">TRIM(A10) &amp; TRIM(F10) &amp; TRIM(H10)</f>
        <v>First ReviewBid Ad GroupKR</v>
      </c>
      <c r="J10" s="9" t="n">
        <f aca="false">IFERROR(VLOOKUP(I10,'WFM Q4 Target'!J:K,2,0),"-")</f>
        <v>136.11</v>
      </c>
      <c r="K10" s="9" t="n">
        <v>394.8184</v>
      </c>
      <c r="L10" s="9" t="n">
        <v>818.5854</v>
      </c>
      <c r="M10" s="9" t="str">
        <f aca="false">IFERROR(IF(K10&gt;J10,"Not Meet Target","Meet Target"),"-")</f>
        <v>Not Meet Target</v>
      </c>
      <c r="N10" s="9" t="str">
        <f aca="false">IFERROR(VLOOKUP(D10,'Team Member List'!B:C,2,0),"")</f>
        <v>TL Okafor</v>
      </c>
      <c r="O10" s="9" t="s">
        <v>2408</v>
      </c>
    </row>
    <row r="11" customFormat="false" ht="15" hidden="false" customHeight="false" outlineLevel="0" collapsed="false">
      <c r="A11" s="9" t="s">
        <v>63</v>
      </c>
      <c r="B11" s="10"/>
      <c r="C11" s="9"/>
      <c r="D11" s="9" t="s">
        <v>2365</v>
      </c>
      <c r="E11" s="9" t="s">
        <v>1526</v>
      </c>
      <c r="F11" s="9" t="s">
        <v>1535</v>
      </c>
      <c r="G11" s="9" t="s">
        <v>1535</v>
      </c>
      <c r="H11" s="9" t="s">
        <v>121</v>
      </c>
      <c r="I11" s="9" t="str">
        <f aca="false">TRIM(A11) &amp; TRIM(F11) &amp; TRIM(H11)</f>
        <v>First ReviewBoost VideoKR</v>
      </c>
      <c r="J11" s="9" t="n">
        <f aca="false">IFERROR(VLOOKUP(I11,'WFM Q4 Target'!J:K,2,0),"-")</f>
        <v>191.058</v>
      </c>
      <c r="K11" s="9" t="n">
        <v>133.3257</v>
      </c>
      <c r="L11" s="9" t="n">
        <v>132.1679</v>
      </c>
      <c r="M11" s="9" t="str">
        <f aca="false">IFERROR(IF(K11&gt;J11,"Not Meet Target","Meet Target"),"-")</f>
        <v>Meet Target</v>
      </c>
      <c r="N11" s="9" t="str">
        <f aca="false">IFERROR(VLOOKUP(D11,'Team Member List'!B:C,2,0),"")</f>
        <v>TL Okafor</v>
      </c>
      <c r="O11" s="9" t="s">
        <v>2408</v>
      </c>
    </row>
    <row r="12" customFormat="false" ht="15" hidden="false" customHeight="false" outlineLevel="0" collapsed="false">
      <c r="A12" s="9" t="s">
        <v>63</v>
      </c>
      <c r="B12" s="10"/>
      <c r="C12" s="9" t="s">
        <v>2323</v>
      </c>
      <c r="D12" s="9" t="s">
        <v>2323</v>
      </c>
      <c r="E12" s="9" t="s">
        <v>973</v>
      </c>
      <c r="F12" s="9" t="s">
        <v>2410</v>
      </c>
      <c r="G12" s="9" t="s">
        <v>2410</v>
      </c>
      <c r="H12" s="9" t="s">
        <v>267</v>
      </c>
      <c r="I12" s="9" t="str">
        <f aca="false">TRIM(A12) &amp; TRIM(F12) &amp; TRIM(H12)</f>
        <v>First ReviewReach &amp; FrequencyID</v>
      </c>
      <c r="J12" s="9" t="str">
        <f aca="false">IFERROR(VLOOKUP(I12,'WFM Q4 Target'!J:K,2,0),"-")</f>
        <v>-</v>
      </c>
      <c r="K12" s="9" t="n">
        <v>633.6944</v>
      </c>
      <c r="L12" s="9" t="n">
        <v>172.3822</v>
      </c>
      <c r="M12" s="9" t="str">
        <f aca="false">IFERROR(IF(K12&gt;J12,"Not Meet Target","Meet Target"),"-")</f>
        <v>Meet Target</v>
      </c>
      <c r="N12" s="9" t="str">
        <f aca="false">IFERROR(VLOOKUP(D12,'Team Member List'!B:C,2,0),"")</f>
        <v>TL Ramirez</v>
      </c>
      <c r="O12" s="9" t="s">
        <v>2408</v>
      </c>
    </row>
    <row r="13" customFormat="false" ht="15" hidden="false" customHeight="false" outlineLevel="0" collapsed="false">
      <c r="A13" s="9" t="s">
        <v>63</v>
      </c>
      <c r="B13" s="10"/>
      <c r="C13" s="9"/>
      <c r="D13" s="9" t="s">
        <v>2323</v>
      </c>
      <c r="E13" s="9"/>
      <c r="F13" s="9" t="s">
        <v>979</v>
      </c>
      <c r="G13" s="9" t="s">
        <v>979</v>
      </c>
      <c r="H13" s="9" t="s">
        <v>267</v>
      </c>
      <c r="I13" s="9" t="str">
        <f aca="false">TRIM(A13) &amp; TRIM(F13) &amp; TRIM(H13)</f>
        <v>First ReviewBooking Ads Pre ApprovalID</v>
      </c>
      <c r="J13" s="9" t="n">
        <f aca="false">IFERROR(VLOOKUP(I13,'WFM Q4 Target'!J:K,2,0),"-")</f>
        <v>271.992</v>
      </c>
      <c r="K13" s="9" t="n">
        <v>148.7059</v>
      </c>
      <c r="L13" s="9" t="n">
        <v>13.2176</v>
      </c>
      <c r="M13" s="9" t="str">
        <f aca="false">IFERROR(IF(K13&gt;J13,"Not Meet Target","Meet Target"),"-")</f>
        <v>Meet Target</v>
      </c>
      <c r="N13" s="9" t="str">
        <f aca="false">IFERROR(VLOOKUP(D13,'Team Member List'!B:C,2,0),"")</f>
        <v>TL Ramirez</v>
      </c>
      <c r="O13" s="9" t="s">
        <v>2408</v>
      </c>
    </row>
    <row r="14" customFormat="false" ht="15" hidden="false" customHeight="false" outlineLevel="0" collapsed="false">
      <c r="A14" s="9" t="s">
        <v>63</v>
      </c>
      <c r="B14" s="10"/>
      <c r="C14" s="9"/>
      <c r="D14" s="9" t="s">
        <v>2323</v>
      </c>
      <c r="E14" s="9"/>
      <c r="F14" s="9" t="s">
        <v>974</v>
      </c>
      <c r="G14" s="9" t="s">
        <v>974</v>
      </c>
      <c r="H14" s="9" t="s">
        <v>267</v>
      </c>
      <c r="I14" s="9" t="str">
        <f aca="false">TRIM(A14) &amp; TRIM(F14) &amp; TRIM(H14)</f>
        <v>First ReviewHighlight ViewID</v>
      </c>
      <c r="J14" s="9" t="n">
        <f aca="false">IFERROR(VLOOKUP(I14,'WFM Q4 Target'!J:K,2,0),"-")</f>
        <v>590.502</v>
      </c>
      <c r="K14" s="9" t="n">
        <v>123.8955</v>
      </c>
      <c r="L14" s="9" t="n">
        <v>0</v>
      </c>
      <c r="M14" s="9" t="str">
        <f aca="false">IFERROR(IF(K14&gt;J14,"Not Meet Target","Meet Target"),"-")</f>
        <v>Meet Target</v>
      </c>
      <c r="N14" s="9" t="str">
        <f aca="false">IFERROR(VLOOKUP(D14,'Team Member List'!B:C,2,0),"")</f>
        <v>TL Ramirez</v>
      </c>
      <c r="O14" s="9" t="s">
        <v>2408</v>
      </c>
    </row>
    <row r="15" customFormat="false" ht="15" hidden="false" customHeight="false" outlineLevel="0" collapsed="false">
      <c r="A15" s="9" t="s">
        <v>63</v>
      </c>
      <c r="B15" s="10"/>
      <c r="C15" s="9"/>
      <c r="D15" s="9" t="s">
        <v>2323</v>
      </c>
      <c r="E15" s="9"/>
      <c r="F15" s="9"/>
      <c r="G15" s="9" t="s">
        <v>974</v>
      </c>
      <c r="H15" s="9" t="s">
        <v>126</v>
      </c>
      <c r="I15" s="9" t="str">
        <f aca="false">TRIM(A15) &amp; TRIM(F15) &amp; TRIM(H15)</f>
        <v>First ReviewMX</v>
      </c>
      <c r="J15" s="9" t="str">
        <f aca="false">IFERROR(VLOOKUP(I15,'WFM Q4 Target'!J:K,2,0),"-")</f>
        <v>-</v>
      </c>
      <c r="K15" s="9" t="n">
        <v>228.2878</v>
      </c>
      <c r="L15" s="9" t="n">
        <v>0</v>
      </c>
      <c r="M15" s="9" t="str">
        <f aca="false">IFERROR(IF(K15&gt;J15,"Not Meet Target","Meet Target"),"-")</f>
        <v>Meet Target</v>
      </c>
      <c r="N15" s="9" t="str">
        <f aca="false">IFERROR(VLOOKUP(D15,'Team Member List'!B:C,2,0),"")</f>
        <v>TL Ramirez</v>
      </c>
      <c r="O15" s="9" t="s">
        <v>2408</v>
      </c>
    </row>
    <row r="16" customFormat="false" ht="15" hidden="false" customHeight="false" outlineLevel="0" collapsed="false">
      <c r="A16" s="9" t="s">
        <v>63</v>
      </c>
      <c r="B16" s="10"/>
      <c r="C16" s="9"/>
      <c r="D16" s="9" t="s">
        <v>2323</v>
      </c>
      <c r="E16" s="9" t="s">
        <v>1432</v>
      </c>
      <c r="F16" s="9" t="s">
        <v>1458</v>
      </c>
      <c r="G16" s="9" t="s">
        <v>1458</v>
      </c>
      <c r="H16" s="9" t="s">
        <v>267</v>
      </c>
      <c r="I16" s="9" t="str">
        <f aca="false">TRIM(A16) &amp; TRIM(F16) &amp; TRIM(H16)</f>
        <v>First ReviewHTC Adv VideoID</v>
      </c>
      <c r="J16" s="9" t="str">
        <f aca="false">IFERROR(VLOOKUP(I16,'WFM Q4 Target'!J:K,2,0),"-")</f>
        <v>-</v>
      </c>
      <c r="K16" s="9" t="n">
        <v>102.1364</v>
      </c>
      <c r="L16" s="9" t="n">
        <v>10.4567</v>
      </c>
      <c r="M16" s="9" t="str">
        <f aca="false">IFERROR(IF(K16&gt;J16,"Not Meet Target","Meet Target"),"-")</f>
        <v>Meet Target</v>
      </c>
      <c r="N16" s="9" t="str">
        <f aca="false">IFERROR(VLOOKUP(D16,'Team Member List'!B:C,2,0),"")</f>
        <v>TL Ramirez</v>
      </c>
      <c r="O16" s="9" t="s">
        <v>2408</v>
      </c>
    </row>
    <row r="17" customFormat="false" ht="15" hidden="false" customHeight="false" outlineLevel="0" collapsed="false">
      <c r="A17" s="9" t="s">
        <v>63</v>
      </c>
      <c r="B17" s="10"/>
      <c r="C17" s="9" t="s">
        <v>2338</v>
      </c>
      <c r="D17" s="9" t="s">
        <v>2338</v>
      </c>
      <c r="E17" s="9" t="s">
        <v>56</v>
      </c>
      <c r="F17" s="9" t="s">
        <v>75</v>
      </c>
      <c r="G17" s="9" t="s">
        <v>75</v>
      </c>
      <c r="H17" s="9" t="s">
        <v>106</v>
      </c>
      <c r="I17" s="9" t="str">
        <f aca="false">TRIM(A17) &amp; TRIM(F17) &amp; TRIM(H17)</f>
        <v>First ReviewBid Ecom Ads GroupMY</v>
      </c>
      <c r="J17" s="9" t="n">
        <f aca="false">IFERROR(VLOOKUP(I17,'WFM Q4 Target'!J:K,2,0),"-")</f>
        <v>148.482</v>
      </c>
      <c r="K17" s="9" t="n">
        <v>892.1653</v>
      </c>
      <c r="L17" s="9" t="n">
        <v>903.7876</v>
      </c>
      <c r="M17" s="9" t="str">
        <f aca="false">IFERROR(IF(K17&gt;J17,"Not Meet Target","Meet Target"),"-")</f>
        <v>Not Meet Target</v>
      </c>
      <c r="N17" s="9" t="str">
        <f aca="false">IFERROR(VLOOKUP(D17,'Team Member List'!B:C,2,0),"")</f>
        <v>TL Ramirez</v>
      </c>
      <c r="O17" s="9" t="s">
        <v>2408</v>
      </c>
    </row>
    <row r="18" customFormat="false" ht="15" hidden="false" customHeight="false" outlineLevel="0" collapsed="false">
      <c r="A18" s="9" t="s">
        <v>63</v>
      </c>
      <c r="B18" s="10"/>
      <c r="C18" s="9" t="s">
        <v>2374</v>
      </c>
      <c r="D18" s="9" t="s">
        <v>2374</v>
      </c>
      <c r="E18" s="9" t="s">
        <v>56</v>
      </c>
      <c r="F18" s="9" t="s">
        <v>57</v>
      </c>
      <c r="G18" s="9" t="s">
        <v>57</v>
      </c>
      <c r="H18" s="9" t="s">
        <v>97</v>
      </c>
      <c r="I18" s="9" t="str">
        <f aca="false">TRIM(A18) &amp; TRIM(F18) &amp; TRIM(H18)</f>
        <v>First ReviewBid Ad GroupBR</v>
      </c>
      <c r="J18" s="9" t="n">
        <f aca="false">IFERROR(VLOOKUP(I18,'WFM Q4 Target'!J:K,2,0),"-")</f>
        <v>89.562</v>
      </c>
      <c r="K18" s="9" t="n">
        <v>249.236</v>
      </c>
      <c r="L18" s="9" t="n">
        <v>60.7207</v>
      </c>
      <c r="M18" s="9" t="str">
        <f aca="false">IFERROR(IF(K18&gt;J18,"Not Meet Target","Meet Target"),"-")</f>
        <v>Not Meet Target</v>
      </c>
      <c r="N18" s="9" t="str">
        <f aca="false">IFERROR(VLOOKUP(D18,'Team Member List'!B:C,2,0),"")</f>
        <v>TL Okafor</v>
      </c>
      <c r="O18" s="9" t="s">
        <v>2408</v>
      </c>
    </row>
    <row r="19" customFormat="false" ht="15" hidden="false" customHeight="false" outlineLevel="0" collapsed="false">
      <c r="A19" s="9" t="s">
        <v>63</v>
      </c>
      <c r="B19" s="10"/>
      <c r="C19" s="9"/>
      <c r="D19" s="9" t="s">
        <v>2374</v>
      </c>
      <c r="E19" s="9" t="s">
        <v>973</v>
      </c>
      <c r="F19" s="9" t="s">
        <v>974</v>
      </c>
      <c r="G19" s="9" t="s">
        <v>974</v>
      </c>
      <c r="H19" s="9" t="s">
        <v>150</v>
      </c>
      <c r="I19" s="9" t="str">
        <f aca="false">TRIM(A19) &amp; TRIM(F19) &amp; TRIM(H19)</f>
        <v>First ReviewHighlight ViewDE</v>
      </c>
      <c r="J19" s="9" t="n">
        <f aca="false">IFERROR(VLOOKUP(I19,'WFM Q4 Target'!J:K,2,0),"-")</f>
        <v>682.752</v>
      </c>
      <c r="K19" s="9" t="n">
        <v>325.992</v>
      </c>
      <c r="L19" s="9" t="n">
        <v>0</v>
      </c>
      <c r="M19" s="9" t="str">
        <f aca="false">IFERROR(IF(K19&gt;J19,"Not Meet Target","Meet Target"),"-")</f>
        <v>Meet Target</v>
      </c>
      <c r="N19" s="9" t="str">
        <f aca="false">IFERROR(VLOOKUP(D19,'Team Member List'!B:C,2,0),"")</f>
        <v>TL Okafor</v>
      </c>
      <c r="O19" s="9" t="s">
        <v>2408</v>
      </c>
    </row>
    <row r="20" customFormat="false" ht="15" hidden="false" customHeight="false" outlineLevel="0" collapsed="false">
      <c r="A20" s="9" t="s">
        <v>63</v>
      </c>
      <c r="B20" s="10"/>
      <c r="C20" s="9"/>
      <c r="D20" s="9" t="s">
        <v>2374</v>
      </c>
      <c r="E20" s="9"/>
      <c r="F20" s="9"/>
      <c r="G20" s="9" t="s">
        <v>974</v>
      </c>
      <c r="H20" s="9" t="s">
        <v>190</v>
      </c>
      <c r="I20" s="9" t="str">
        <f aca="false">TRIM(A20) &amp; TRIM(F20) &amp; TRIM(H20)</f>
        <v>First ReviewPH</v>
      </c>
      <c r="J20" s="9" t="str">
        <f aca="false">IFERROR(VLOOKUP(I20,'WFM Q4 Target'!J:K,2,0),"-")</f>
        <v>-</v>
      </c>
      <c r="K20" s="9" t="n">
        <v>250.9842</v>
      </c>
      <c r="L20" s="9" t="n">
        <v>0</v>
      </c>
      <c r="M20" s="9" t="str">
        <f aca="false">IFERROR(IF(K20&gt;J20,"Not Meet Target","Meet Target"),"-")</f>
        <v>Meet Target</v>
      </c>
      <c r="N20" s="9" t="str">
        <f aca="false">IFERROR(VLOOKUP(D20,'Team Member List'!B:C,2,0),"")</f>
        <v>TL Okafor</v>
      </c>
      <c r="O20" s="9" t="s">
        <v>2408</v>
      </c>
    </row>
    <row r="21" customFormat="false" ht="15" hidden="false" customHeight="false" outlineLevel="0" collapsed="false">
      <c r="A21" s="9" t="s">
        <v>63</v>
      </c>
      <c r="B21" s="10"/>
      <c r="C21" s="9" t="s">
        <v>2337</v>
      </c>
      <c r="D21" s="9" t="s">
        <v>2337</v>
      </c>
      <c r="E21" s="9" t="s">
        <v>973</v>
      </c>
      <c r="F21" s="9" t="s">
        <v>974</v>
      </c>
      <c r="G21" s="9" t="s">
        <v>974</v>
      </c>
      <c r="H21" s="9" t="s">
        <v>458</v>
      </c>
      <c r="I21" s="9" t="str">
        <f aca="false">TRIM(A21) &amp; TRIM(F21) &amp; TRIM(H21)</f>
        <v>First ReviewHighlight ViewTW</v>
      </c>
      <c r="J21" s="9" t="n">
        <f aca="false">IFERROR(VLOOKUP(I21,'WFM Q4 Target'!J:K,2,0),"-")</f>
        <v>261.162</v>
      </c>
      <c r="K21" s="9" t="n">
        <v>225.8041</v>
      </c>
      <c r="L21" s="9" t="n">
        <v>0</v>
      </c>
      <c r="M21" s="9" t="str">
        <f aca="false">IFERROR(IF(K21&gt;J21,"Not Meet Target","Meet Target"),"-")</f>
        <v>Meet Target</v>
      </c>
      <c r="N21" s="9" t="str">
        <f aca="false">IFERROR(VLOOKUP(D21,'Team Member List'!B:C,2,0),"")</f>
        <v>TL Ramirez</v>
      </c>
      <c r="O21" s="9" t="s">
        <v>2408</v>
      </c>
    </row>
    <row r="22" customFormat="false" ht="15" hidden="false" customHeight="false" outlineLevel="0" collapsed="false">
      <c r="A22" s="9" t="s">
        <v>63</v>
      </c>
      <c r="B22" s="10"/>
      <c r="C22" s="9" t="s">
        <v>2329</v>
      </c>
      <c r="D22" s="9" t="s">
        <v>2329</v>
      </c>
      <c r="E22" s="9" t="s">
        <v>1432</v>
      </c>
      <c r="F22" s="9" t="s">
        <v>1438</v>
      </c>
      <c r="G22" s="9" t="s">
        <v>1438</v>
      </c>
      <c r="H22" s="9" t="s">
        <v>267</v>
      </c>
      <c r="I22" s="9" t="str">
        <f aca="false">TRIM(A22) &amp; TRIM(F22) &amp; TRIM(H22)</f>
        <v>First ReviewQuest Adv VideoID</v>
      </c>
      <c r="J22" s="9" t="n">
        <f aca="false">IFERROR(VLOOKUP(I22,'WFM Q4 Target'!J:K,2,0),"-")</f>
        <v>49.086</v>
      </c>
      <c r="K22" s="9" t="n">
        <v>106.594</v>
      </c>
      <c r="L22" s="9" t="n">
        <v>14.1962</v>
      </c>
      <c r="M22" s="9" t="str">
        <f aca="false">IFERROR(IF(K22&gt;J22,"Not Meet Target","Meet Target"),"-")</f>
        <v>Not Meet Target</v>
      </c>
      <c r="N22" s="9" t="str">
        <f aca="false">IFERROR(VLOOKUP(D22,'Team Member List'!B:C,2,0),"")</f>
        <v>TL Ramirez</v>
      </c>
      <c r="O22" s="9" t="s">
        <v>2408</v>
      </c>
    </row>
    <row r="23" customFormat="false" ht="15" hidden="false" customHeight="false" outlineLevel="0" collapsed="false">
      <c r="A23" s="9" t="s">
        <v>63</v>
      </c>
      <c r="B23" s="10"/>
      <c r="C23" s="9" t="s">
        <v>2353</v>
      </c>
      <c r="D23" s="9" t="s">
        <v>2353</v>
      </c>
      <c r="E23" s="9" t="s">
        <v>973</v>
      </c>
      <c r="F23" s="9" t="s">
        <v>974</v>
      </c>
      <c r="G23" s="9" t="s">
        <v>974</v>
      </c>
      <c r="H23" s="9" t="s">
        <v>275</v>
      </c>
      <c r="I23" s="9" t="str">
        <f aca="false">TRIM(A23) &amp; TRIM(F23) &amp; TRIM(H23)</f>
        <v>First ReviewHighlight ViewGB</v>
      </c>
      <c r="J23" s="9" t="n">
        <f aca="false">IFERROR(VLOOKUP(I23,'WFM Q4 Target'!J:K,2,0),"-")</f>
        <v>151.884</v>
      </c>
      <c r="K23" s="9" t="n">
        <v>158.9864</v>
      </c>
      <c r="L23" s="9" t="n">
        <v>0</v>
      </c>
      <c r="M23" s="9" t="str">
        <f aca="false">IFERROR(IF(K23&gt;J23,"Not Meet Target","Meet Target"),"-")</f>
        <v>Not Meet Target</v>
      </c>
      <c r="N23" s="9" t="str">
        <f aca="false">IFERROR(VLOOKUP(D23,'Team Member List'!B:C,2,0),"")</f>
        <v>TL Lindgren</v>
      </c>
      <c r="O23" s="9" t="s">
        <v>2408</v>
      </c>
    </row>
    <row r="24" customFormat="false" ht="15" hidden="false" customHeight="false" outlineLevel="0" collapsed="false">
      <c r="A24" s="9" t="s">
        <v>63</v>
      </c>
      <c r="B24" s="10"/>
      <c r="C24" s="9" t="s">
        <v>2344</v>
      </c>
      <c r="D24" s="9" t="s">
        <v>2344</v>
      </c>
      <c r="E24" s="9" t="s">
        <v>56</v>
      </c>
      <c r="F24" s="9" t="s">
        <v>57</v>
      </c>
      <c r="G24" s="9" t="s">
        <v>57</v>
      </c>
      <c r="H24" s="9" t="s">
        <v>95</v>
      </c>
      <c r="I24" s="9" t="str">
        <f aca="false">TRIM(A24) &amp; TRIM(F24) &amp; TRIM(H24)</f>
        <v>First ReviewBid Ad GroupVN</v>
      </c>
      <c r="J24" s="9" t="n">
        <f aca="false">IFERROR(VLOOKUP(I24,'WFM Q4 Target'!J:K,2,0),"-")</f>
        <v>220.83</v>
      </c>
      <c r="K24" s="9" t="n">
        <v>201.3463</v>
      </c>
      <c r="L24" s="9" t="n">
        <v>116.9452</v>
      </c>
      <c r="M24" s="9" t="str">
        <f aca="false">IFERROR(IF(K24&gt;J24,"Not Meet Target","Meet Target"),"-")</f>
        <v>Meet Target</v>
      </c>
      <c r="N24" s="9" t="str">
        <f aca="false">IFERROR(VLOOKUP(D24,'Team Member List'!B:C,2,0),"")</f>
        <v>TL Lindgren</v>
      </c>
      <c r="O24" s="9" t="s">
        <v>2408</v>
      </c>
    </row>
    <row r="25" customFormat="false" ht="15" hidden="false" customHeight="false" outlineLevel="0" collapsed="false">
      <c r="A25" s="9" t="s">
        <v>63</v>
      </c>
      <c r="B25" s="10"/>
      <c r="C25" s="9"/>
      <c r="D25" s="9" t="s">
        <v>2344</v>
      </c>
      <c r="E25" s="9" t="s">
        <v>973</v>
      </c>
      <c r="F25" s="9" t="s">
        <v>979</v>
      </c>
      <c r="G25" s="9" t="s">
        <v>979</v>
      </c>
      <c r="H25" s="9" t="s">
        <v>95</v>
      </c>
      <c r="I25" s="9" t="str">
        <f aca="false">TRIM(A25) &amp; TRIM(F25) &amp; TRIM(H25)</f>
        <v>First ReviewBooking Ads Pre ApprovalVN</v>
      </c>
      <c r="J25" s="9" t="n">
        <f aca="false">IFERROR(VLOOKUP(I25,'WFM Q4 Target'!J:K,2,0),"-")</f>
        <v>213.222</v>
      </c>
      <c r="K25" s="9" t="n">
        <v>2805.3522</v>
      </c>
      <c r="L25" s="9" t="n">
        <v>40.6546</v>
      </c>
      <c r="M25" s="9" t="str">
        <f aca="false">IFERROR(IF(K25&gt;J25,"Not Meet Target","Meet Target"),"-")</f>
        <v>Not Meet Target</v>
      </c>
      <c r="N25" s="9" t="str">
        <f aca="false">IFERROR(VLOOKUP(D25,'Team Member List'!B:C,2,0),"")</f>
        <v>TL Lindgren</v>
      </c>
      <c r="O25" s="9" t="s">
        <v>2408</v>
      </c>
    </row>
    <row r="26" customFormat="false" ht="15" hidden="false" customHeight="false" outlineLevel="0" collapsed="false">
      <c r="A26" s="9" t="s">
        <v>63</v>
      </c>
      <c r="B26" s="10"/>
      <c r="C26" s="9" t="s">
        <v>2340</v>
      </c>
      <c r="D26" s="9" t="s">
        <v>2340</v>
      </c>
      <c r="E26" s="9" t="s">
        <v>973</v>
      </c>
      <c r="F26" s="9" t="s">
        <v>974</v>
      </c>
      <c r="G26" s="9" t="s">
        <v>974</v>
      </c>
      <c r="H26" s="9" t="s">
        <v>62</v>
      </c>
      <c r="I26" s="9" t="str">
        <f aca="false">TRIM(A26) &amp; TRIM(F26) &amp; TRIM(H26)</f>
        <v>First ReviewHighlight ViewCL</v>
      </c>
      <c r="J26" s="9" t="n">
        <f aca="false">IFERROR(VLOOKUP(I26,'WFM Q4 Target'!J:K,2,0),"-")</f>
        <v>677.166</v>
      </c>
      <c r="K26" s="9" t="n">
        <v>619.1511</v>
      </c>
      <c r="L26" s="9" t="n">
        <v>0</v>
      </c>
      <c r="M26" s="9" t="str">
        <f aca="false">IFERROR(IF(K26&gt;J26,"Not Meet Target","Meet Target"),"-")</f>
        <v>Meet Target</v>
      </c>
      <c r="N26" s="9" t="str">
        <f aca="false">IFERROR(VLOOKUP(D26,'Team Member List'!B:C,2,0),"")</f>
        <v>TL Lindgren</v>
      </c>
      <c r="O26" s="9" t="s">
        <v>2408</v>
      </c>
    </row>
    <row r="27" customFormat="false" ht="15" hidden="false" customHeight="false" outlineLevel="0" collapsed="false">
      <c r="A27" s="9" t="s">
        <v>63</v>
      </c>
      <c r="B27" s="10"/>
      <c r="C27" s="9" t="s">
        <v>2367</v>
      </c>
      <c r="D27" s="9" t="s">
        <v>2367</v>
      </c>
      <c r="E27" s="9" t="s">
        <v>973</v>
      </c>
      <c r="F27" s="9" t="s">
        <v>974</v>
      </c>
      <c r="G27" s="9" t="s">
        <v>974</v>
      </c>
      <c r="H27" s="9" t="s">
        <v>275</v>
      </c>
      <c r="I27" s="9" t="str">
        <f aca="false">TRIM(A27) &amp; TRIM(F27) &amp; TRIM(H27)</f>
        <v>First ReviewHighlight ViewGB</v>
      </c>
      <c r="J27" s="9" t="n">
        <f aca="false">IFERROR(VLOOKUP(I27,'WFM Q4 Target'!J:K,2,0),"-")</f>
        <v>151.884</v>
      </c>
      <c r="K27" s="9" t="n">
        <v>397.729</v>
      </c>
      <c r="L27" s="9" t="n">
        <v>0</v>
      </c>
      <c r="M27" s="9" t="str">
        <f aca="false">IFERROR(IF(K27&gt;J27,"Not Meet Target","Meet Target"),"-")</f>
        <v>Not Meet Target</v>
      </c>
      <c r="N27" s="9" t="str">
        <f aca="false">IFERROR(VLOOKUP(D27,'Team Member List'!B:C,2,0),"")</f>
        <v>TL Okafor</v>
      </c>
      <c r="O27" s="9" t="s">
        <v>2408</v>
      </c>
    </row>
    <row r="28" customFormat="false" ht="15" hidden="false" customHeight="false" outlineLevel="0" collapsed="false">
      <c r="A28" s="9" t="s">
        <v>63</v>
      </c>
      <c r="B28" s="10"/>
      <c r="C28" s="9" t="s">
        <v>2369</v>
      </c>
      <c r="D28" s="9" t="s">
        <v>2369</v>
      </c>
      <c r="E28" s="9" t="s">
        <v>56</v>
      </c>
      <c r="F28" s="9" t="s">
        <v>57</v>
      </c>
      <c r="G28" s="9" t="s">
        <v>57</v>
      </c>
      <c r="H28" s="9" t="s">
        <v>458</v>
      </c>
      <c r="I28" s="9" t="str">
        <f aca="false">TRIM(A28) &amp; TRIM(F28) &amp; TRIM(H28)</f>
        <v>First ReviewBid Ad GroupTW</v>
      </c>
      <c r="J28" s="9" t="n">
        <f aca="false">IFERROR(VLOOKUP(I28,'WFM Q4 Target'!J:K,2,0),"-")</f>
        <v>224.148</v>
      </c>
      <c r="K28" s="9" t="n">
        <v>276.7865</v>
      </c>
      <c r="L28" s="9" t="n">
        <v>15.2823</v>
      </c>
      <c r="M28" s="9" t="str">
        <f aca="false">IFERROR(IF(K28&gt;J28,"Not Meet Target","Meet Target"),"-")</f>
        <v>Not Meet Target</v>
      </c>
      <c r="N28" s="9" t="str">
        <f aca="false">IFERROR(VLOOKUP(D28,'Team Member List'!B:C,2,0),"")</f>
        <v>TL Okafor</v>
      </c>
      <c r="O28" s="9" t="s">
        <v>2408</v>
      </c>
    </row>
    <row r="29" customFormat="false" ht="15" hidden="false" customHeight="false" outlineLevel="0" collapsed="false">
      <c r="A29" s="9" t="s">
        <v>63</v>
      </c>
      <c r="B29" s="10"/>
      <c r="C29" s="9"/>
      <c r="D29" s="9" t="s">
        <v>2369</v>
      </c>
      <c r="E29" s="9" t="s">
        <v>973</v>
      </c>
      <c r="F29" s="9" t="s">
        <v>979</v>
      </c>
      <c r="G29" s="9" t="s">
        <v>979</v>
      </c>
      <c r="H29" s="9" t="s">
        <v>458</v>
      </c>
      <c r="I29" s="9" t="str">
        <f aca="false">TRIM(A29) &amp; TRIM(F29) &amp; TRIM(H29)</f>
        <v>First ReviewBooking Ads Pre ApprovalTW</v>
      </c>
      <c r="J29" s="9" t="n">
        <f aca="false">IFERROR(VLOOKUP(I29,'WFM Q4 Target'!J:K,2,0),"-")</f>
        <v>256.044</v>
      </c>
      <c r="K29" s="9" t="n">
        <v>146.5343</v>
      </c>
      <c r="L29" s="9" t="n">
        <v>12.6506</v>
      </c>
      <c r="M29" s="9" t="str">
        <f aca="false">IFERROR(IF(K29&gt;J29,"Not Meet Target","Meet Target"),"-")</f>
        <v>Meet Target</v>
      </c>
      <c r="N29" s="9" t="str">
        <f aca="false">IFERROR(VLOOKUP(D29,'Team Member List'!B:C,2,0),"")</f>
        <v>TL Okafor</v>
      </c>
      <c r="O29" s="9" t="s">
        <v>2408</v>
      </c>
    </row>
    <row r="30" customFormat="false" ht="15" hidden="false" customHeight="false" outlineLevel="0" collapsed="false">
      <c r="A30" s="9" t="s">
        <v>63</v>
      </c>
      <c r="B30" s="10"/>
      <c r="C30" s="9" t="s">
        <v>2348</v>
      </c>
      <c r="D30" s="9" t="s">
        <v>2348</v>
      </c>
      <c r="E30" s="9" t="s">
        <v>56</v>
      </c>
      <c r="F30" s="9" t="s">
        <v>57</v>
      </c>
      <c r="G30" s="9" t="s">
        <v>57</v>
      </c>
      <c r="H30" s="9" t="s">
        <v>82</v>
      </c>
      <c r="I30" s="9" t="str">
        <f aca="false">TRIM(A30) &amp; TRIM(F30) &amp; TRIM(H30)</f>
        <v>First ReviewBid Ad GroupKH</v>
      </c>
      <c r="J30" s="9" t="n">
        <f aca="false">IFERROR(VLOOKUP(I30,'WFM Q4 Target'!J:K,2,0),"-")</f>
        <v>82.008</v>
      </c>
      <c r="K30" s="9" t="n">
        <v>419.6478</v>
      </c>
      <c r="L30" s="9" t="n">
        <v>105.018</v>
      </c>
      <c r="M30" s="9" t="str">
        <f aca="false">IFERROR(IF(K30&gt;J30,"Not Meet Target","Meet Target"),"-")</f>
        <v>Not Meet Target</v>
      </c>
      <c r="N30" s="9" t="str">
        <f aca="false">IFERROR(VLOOKUP(D30,'Team Member List'!B:C,2,0),"")</f>
        <v>TL Lindgren</v>
      </c>
      <c r="O30" s="9" t="s">
        <v>2408</v>
      </c>
    </row>
    <row r="31" customFormat="false" ht="15" hidden="false" customHeight="false" outlineLevel="0" collapsed="false">
      <c r="A31" s="9" t="s">
        <v>63</v>
      </c>
      <c r="B31" s="10"/>
      <c r="C31" s="9" t="s">
        <v>2370</v>
      </c>
      <c r="D31" s="9" t="s">
        <v>2370</v>
      </c>
      <c r="E31" s="9" t="s">
        <v>973</v>
      </c>
      <c r="F31" s="9" t="s">
        <v>979</v>
      </c>
      <c r="G31" s="9" t="s">
        <v>979</v>
      </c>
      <c r="H31" s="9" t="s">
        <v>458</v>
      </c>
      <c r="I31" s="9" t="str">
        <f aca="false">TRIM(A31) &amp; TRIM(F31) &amp; TRIM(H31)</f>
        <v>First ReviewBooking Ads Pre ApprovalTW</v>
      </c>
      <c r="J31" s="9" t="n">
        <f aca="false">IFERROR(VLOOKUP(I31,'WFM Q4 Target'!J:K,2,0),"-")</f>
        <v>256.044</v>
      </c>
      <c r="K31" s="9" t="n">
        <v>120.7444</v>
      </c>
      <c r="L31" s="9" t="n">
        <v>15.6377</v>
      </c>
      <c r="M31" s="9" t="str">
        <f aca="false">IFERROR(IF(K31&gt;J31,"Not Meet Target","Meet Target"),"-")</f>
        <v>Meet Target</v>
      </c>
      <c r="N31" s="9" t="str">
        <f aca="false">IFERROR(VLOOKUP(D31,'Team Member List'!B:C,2,0),"")</f>
        <v>TL Okafor</v>
      </c>
      <c r="O31" s="9" t="s">
        <v>2408</v>
      </c>
    </row>
    <row r="32" customFormat="false" ht="15" hidden="false" customHeight="false" outlineLevel="0" collapsed="false">
      <c r="A32" s="9" t="s">
        <v>63</v>
      </c>
      <c r="B32" s="10"/>
      <c r="C32" s="9" t="s">
        <v>2373</v>
      </c>
      <c r="D32" s="9" t="s">
        <v>2373</v>
      </c>
      <c r="E32" s="9" t="s">
        <v>973</v>
      </c>
      <c r="F32" s="9" t="s">
        <v>974</v>
      </c>
      <c r="G32" s="9" t="s">
        <v>974</v>
      </c>
      <c r="H32" s="9" t="s">
        <v>166</v>
      </c>
      <c r="I32" s="9" t="str">
        <f aca="false">TRIM(A32) &amp; TRIM(F32) &amp; TRIM(H32)</f>
        <v>First ReviewHighlight ViewCZ</v>
      </c>
      <c r="J32" s="9" t="n">
        <f aca="false">IFERROR(VLOOKUP(I32,'WFM Q4 Target'!J:K,2,0),"-")</f>
        <v>6.51</v>
      </c>
      <c r="K32" s="9" t="n">
        <v>191.9052</v>
      </c>
      <c r="L32" s="9" t="n">
        <v>56.3737</v>
      </c>
      <c r="M32" s="9" t="str">
        <f aca="false">IFERROR(IF(K32&gt;J32,"Not Meet Target","Meet Target"),"-")</f>
        <v>Not Meet Target</v>
      </c>
      <c r="N32" s="9" t="str">
        <f aca="false">IFERROR(VLOOKUP(D32,'Team Member List'!B:C,2,0),"")</f>
        <v>TL Okafor</v>
      </c>
      <c r="O32" s="9" t="s">
        <v>2408</v>
      </c>
    </row>
    <row r="33" customFormat="false" ht="15" hidden="false" customHeight="false" outlineLevel="0" collapsed="false">
      <c r="A33" s="9" t="s">
        <v>63</v>
      </c>
      <c r="B33" s="10"/>
      <c r="C33" s="9"/>
      <c r="D33" s="9" t="s">
        <v>2373</v>
      </c>
      <c r="E33" s="9"/>
      <c r="F33" s="9"/>
      <c r="G33" s="9" t="s">
        <v>974</v>
      </c>
      <c r="H33" s="9" t="s">
        <v>126</v>
      </c>
      <c r="I33" s="9" t="str">
        <f aca="false">TRIM(A33) &amp; TRIM(F33) &amp; TRIM(H33)</f>
        <v>First ReviewMX</v>
      </c>
      <c r="J33" s="9" t="str">
        <f aca="false">IFERROR(VLOOKUP(I33,'WFM Q4 Target'!J:K,2,0),"-")</f>
        <v>-</v>
      </c>
      <c r="K33" s="9" t="n">
        <v>269.1341</v>
      </c>
      <c r="L33" s="9" t="n">
        <v>0</v>
      </c>
      <c r="M33" s="9" t="str">
        <f aca="false">IFERROR(IF(K33&gt;J33,"Not Meet Target","Meet Target"),"-")</f>
        <v>Meet Target</v>
      </c>
      <c r="N33" s="9" t="str">
        <f aca="false">IFERROR(VLOOKUP(D33,'Team Member List'!B:C,2,0),"")</f>
        <v>TL Okafor</v>
      </c>
      <c r="O33" s="9" t="s">
        <v>2408</v>
      </c>
    </row>
    <row r="34" customFormat="false" ht="15" hidden="false" customHeight="false" outlineLevel="0" collapsed="false">
      <c r="A34" s="9" t="s">
        <v>63</v>
      </c>
      <c r="B34" s="10"/>
      <c r="C34" s="9"/>
      <c r="D34" s="9" t="s">
        <v>2373</v>
      </c>
      <c r="E34" s="9"/>
      <c r="F34" s="9"/>
      <c r="G34" s="9" t="s">
        <v>974</v>
      </c>
      <c r="H34" s="9" t="s">
        <v>190</v>
      </c>
      <c r="I34" s="9" t="str">
        <f aca="false">TRIM(A34) &amp; TRIM(F34) &amp; TRIM(H34)</f>
        <v>First ReviewPH</v>
      </c>
      <c r="J34" s="9" t="str">
        <f aca="false">IFERROR(VLOOKUP(I34,'WFM Q4 Target'!J:K,2,0),"-")</f>
        <v>-</v>
      </c>
      <c r="K34" s="9" t="n">
        <v>174.5761</v>
      </c>
      <c r="L34" s="9" t="n">
        <v>0</v>
      </c>
      <c r="M34" s="9" t="str">
        <f aca="false">IFERROR(IF(K34&gt;J34,"Not Meet Target","Meet Target"),"-")</f>
        <v>Meet Target</v>
      </c>
      <c r="N34" s="9" t="str">
        <f aca="false">IFERROR(VLOOKUP(D34,'Team Member List'!B:C,2,0),"")</f>
        <v>TL Okafor</v>
      </c>
      <c r="O34" s="9" t="s">
        <v>2408</v>
      </c>
    </row>
    <row r="35" customFormat="false" ht="15" hidden="false" customHeight="false" outlineLevel="0" collapsed="false">
      <c r="A35" s="9" t="s">
        <v>63</v>
      </c>
      <c r="B35" s="10"/>
      <c r="C35" s="9" t="s">
        <v>2388</v>
      </c>
      <c r="D35" s="9" t="s">
        <v>2388</v>
      </c>
      <c r="E35" s="9" t="s">
        <v>973</v>
      </c>
      <c r="F35" s="9" t="s">
        <v>979</v>
      </c>
      <c r="G35" s="9" t="s">
        <v>979</v>
      </c>
      <c r="H35" s="9" t="s">
        <v>97</v>
      </c>
      <c r="I35" s="9" t="str">
        <f aca="false">TRIM(A35) &amp; TRIM(F35) &amp; TRIM(H35)</f>
        <v>First ReviewBooking Ads Pre ApprovalBR</v>
      </c>
      <c r="J35" s="9" t="n">
        <f aca="false">IFERROR(VLOOKUP(I35,'WFM Q4 Target'!J:K,2,0),"-")</f>
        <v>1137.432</v>
      </c>
      <c r="K35" s="9" t="n">
        <v>4592.4236</v>
      </c>
      <c r="L35" s="9" t="n">
        <v>29.4875</v>
      </c>
      <c r="M35" s="9" t="str">
        <f aca="false">IFERROR(IF(K35&gt;J35,"Not Meet Target","Meet Target"),"-")</f>
        <v>Not Meet Target</v>
      </c>
      <c r="N35" s="9" t="str">
        <f aca="false">IFERROR(VLOOKUP(D35,'Team Member List'!B:C,2,0),"")</f>
        <v>TL Cabrera</v>
      </c>
      <c r="O35" s="9" t="s">
        <v>2408</v>
      </c>
    </row>
    <row r="36" customFormat="false" ht="15" hidden="false" customHeight="false" outlineLevel="0" collapsed="false">
      <c r="A36" s="9" t="s">
        <v>63</v>
      </c>
      <c r="B36" s="10"/>
      <c r="C36" s="9" t="s">
        <v>2376</v>
      </c>
      <c r="D36" s="9" t="s">
        <v>2376</v>
      </c>
      <c r="E36" s="9" t="s">
        <v>56</v>
      </c>
      <c r="F36" s="9" t="s">
        <v>57</v>
      </c>
      <c r="G36" s="9" t="s">
        <v>57</v>
      </c>
      <c r="H36" s="9" t="s">
        <v>190</v>
      </c>
      <c r="I36" s="9" t="str">
        <f aca="false">TRIM(A36) &amp; TRIM(F36) &amp; TRIM(H36)</f>
        <v>First ReviewBid Ad GroupPH</v>
      </c>
      <c r="J36" s="9" t="n">
        <f aca="false">IFERROR(VLOOKUP(I36,'WFM Q4 Target'!J:K,2,0),"-")</f>
        <v>81.798</v>
      </c>
      <c r="K36" s="9" t="n">
        <v>209.2186</v>
      </c>
      <c r="L36" s="9" t="n">
        <v>41.3405</v>
      </c>
      <c r="M36" s="9" t="str">
        <f aca="false">IFERROR(IF(K36&gt;J36,"Not Meet Target","Meet Target"),"-")</f>
        <v>Not Meet Target</v>
      </c>
      <c r="N36" s="9" t="str">
        <f aca="false">IFERROR(VLOOKUP(D36,'Team Member List'!B:C,2,0),"")</f>
        <v>TL Okafor</v>
      </c>
      <c r="O36" s="9" t="s">
        <v>2408</v>
      </c>
    </row>
    <row r="37" customFormat="false" ht="15" hidden="false" customHeight="false" outlineLevel="0" collapsed="false">
      <c r="A37" s="9" t="s">
        <v>63</v>
      </c>
      <c r="B37" s="10"/>
      <c r="C37" s="9" t="s">
        <v>2357</v>
      </c>
      <c r="D37" s="9" t="s">
        <v>2357</v>
      </c>
      <c r="E37" s="9" t="s">
        <v>56</v>
      </c>
      <c r="F37" s="9" t="s">
        <v>57</v>
      </c>
      <c r="G37" s="9" t="s">
        <v>57</v>
      </c>
      <c r="H37" s="9" t="s">
        <v>100</v>
      </c>
      <c r="I37" s="9" t="str">
        <f aca="false">TRIM(A37) &amp; TRIM(F37) &amp; TRIM(H37)</f>
        <v>First ReviewBid Ad GroupAU</v>
      </c>
      <c r="J37" s="9" t="n">
        <f aca="false">IFERROR(VLOOKUP(I37,'WFM Q4 Target'!J:K,2,0),"-")</f>
        <v>88.71</v>
      </c>
      <c r="K37" s="9" t="n">
        <v>357.7315</v>
      </c>
      <c r="L37" s="9" t="n">
        <v>105.1676</v>
      </c>
      <c r="M37" s="9" t="str">
        <f aca="false">IFERROR(IF(K37&gt;J37,"Not Meet Target","Meet Target"),"-")</f>
        <v>Not Meet Target</v>
      </c>
      <c r="N37" s="9" t="str">
        <f aca="false">IFERROR(VLOOKUP(D37,'Team Member List'!B:C,2,0),"")</f>
        <v>TL Lindgren</v>
      </c>
      <c r="O37" s="9" t="s">
        <v>2408</v>
      </c>
    </row>
    <row r="38" customFormat="false" ht="15" hidden="false" customHeight="false" outlineLevel="0" collapsed="false">
      <c r="A38" s="9" t="s">
        <v>63</v>
      </c>
      <c r="B38" s="10"/>
      <c r="C38" s="9"/>
      <c r="D38" s="9" t="s">
        <v>2357</v>
      </c>
      <c r="E38" s="9" t="s">
        <v>973</v>
      </c>
      <c r="F38" s="9" t="s">
        <v>974</v>
      </c>
      <c r="G38" s="9" t="s">
        <v>974</v>
      </c>
      <c r="H38" s="9" t="s">
        <v>89</v>
      </c>
      <c r="I38" s="9" t="str">
        <f aca="false">TRIM(A38) &amp; TRIM(F38) &amp; TRIM(H38)</f>
        <v>First ReviewHighlight ViewFI</v>
      </c>
      <c r="J38" s="9" t="n">
        <f aca="false">IFERROR(VLOOKUP(I38,'WFM Q4 Target'!J:K,2,0),"-")</f>
        <v>612.93</v>
      </c>
      <c r="K38" s="9" t="n">
        <v>520.0848</v>
      </c>
      <c r="L38" s="9" t="n">
        <v>0</v>
      </c>
      <c r="M38" s="9" t="str">
        <f aca="false">IFERROR(IF(K38&gt;J38,"Not Meet Target","Meet Target"),"-")</f>
        <v>Meet Target</v>
      </c>
      <c r="N38" s="9" t="str">
        <f aca="false">IFERROR(VLOOKUP(D38,'Team Member List'!B:C,2,0),"")</f>
        <v>TL Lindgren</v>
      </c>
      <c r="O38" s="9" t="s">
        <v>2408</v>
      </c>
    </row>
    <row r="39" customFormat="false" ht="15" hidden="false" customHeight="false" outlineLevel="0" collapsed="false">
      <c r="A39" s="9" t="s">
        <v>63</v>
      </c>
      <c r="B39" s="10"/>
      <c r="C39" s="9" t="s">
        <v>2334</v>
      </c>
      <c r="D39" s="9" t="s">
        <v>2334</v>
      </c>
      <c r="E39" s="9" t="s">
        <v>56</v>
      </c>
      <c r="F39" s="9" t="s">
        <v>78</v>
      </c>
      <c r="G39" s="9" t="s">
        <v>78</v>
      </c>
      <c r="H39" s="9" t="s">
        <v>267</v>
      </c>
      <c r="I39" s="9" t="str">
        <f aca="false">TRIM(A39) &amp; TRIM(F39) &amp; TRIM(H39)</f>
        <v>First ReviewBid VideoID</v>
      </c>
      <c r="J39" s="9" t="n">
        <f aca="false">IFERROR(VLOOKUP(I39,'WFM Q4 Target'!J:K,2,0),"-")</f>
        <v>71.064</v>
      </c>
      <c r="K39" s="9" t="n">
        <v>108.1112</v>
      </c>
      <c r="L39" s="9" t="n">
        <v>222.7765</v>
      </c>
      <c r="M39" s="9" t="str">
        <f aca="false">IFERROR(IF(K39&gt;J39,"Not Meet Target","Meet Target"),"-")</f>
        <v>Not Meet Target</v>
      </c>
      <c r="N39" s="9" t="str">
        <f aca="false">IFERROR(VLOOKUP(D39,'Team Member List'!B:C,2,0),"")</f>
        <v>TL Ramirez</v>
      </c>
      <c r="O39" s="9" t="s">
        <v>2408</v>
      </c>
    </row>
    <row r="40" customFormat="false" ht="15" hidden="false" customHeight="false" outlineLevel="0" collapsed="false">
      <c r="A40" s="9" t="s">
        <v>63</v>
      </c>
      <c r="B40" s="10"/>
      <c r="C40" s="9" t="s">
        <v>2354</v>
      </c>
      <c r="D40" s="9" t="s">
        <v>2354</v>
      </c>
      <c r="E40" s="9" t="s">
        <v>973</v>
      </c>
      <c r="F40" s="9" t="s">
        <v>2409</v>
      </c>
      <c r="G40" s="9" t="s">
        <v>2409</v>
      </c>
      <c r="H40" s="9" t="s">
        <v>100</v>
      </c>
      <c r="I40" s="9" t="str">
        <f aca="false">TRIM(A40) &amp; TRIM(F40) &amp; TRIM(H40)</f>
        <v>First ReviewESTAU</v>
      </c>
      <c r="J40" s="9" t="str">
        <f aca="false">IFERROR(VLOOKUP(I40,'WFM Q4 Target'!J:K,2,0),"-")</f>
        <v>-</v>
      </c>
      <c r="K40" s="9" t="n">
        <v>230.4704</v>
      </c>
      <c r="L40" s="9" t="n">
        <v>0</v>
      </c>
      <c r="M40" s="9" t="str">
        <f aca="false">IFERROR(IF(K40&gt;J40,"Not Meet Target","Meet Target"),"-")</f>
        <v>Meet Target</v>
      </c>
      <c r="N40" s="9" t="str">
        <f aca="false">IFERROR(VLOOKUP(D40,'Team Member List'!B:C,2,0),"")</f>
        <v>TL Lindgren</v>
      </c>
      <c r="O40" s="9" t="s">
        <v>2408</v>
      </c>
    </row>
    <row r="41" customFormat="false" ht="15" hidden="false" customHeight="false" outlineLevel="0" collapsed="false">
      <c r="A41" s="9" t="s">
        <v>63</v>
      </c>
      <c r="B41" s="10"/>
      <c r="C41" s="9" t="s">
        <v>2379</v>
      </c>
      <c r="D41" s="9" t="s">
        <v>2379</v>
      </c>
      <c r="E41" s="9" t="s">
        <v>2019</v>
      </c>
      <c r="F41" s="9" t="s">
        <v>2037</v>
      </c>
      <c r="G41" s="9" t="s">
        <v>2037</v>
      </c>
      <c r="H41" s="9" t="s">
        <v>306</v>
      </c>
      <c r="I41" s="9" t="str">
        <f aca="false">TRIM(A41) &amp; TRIM(F41) &amp; TRIM(H41)</f>
        <v>First ReviewCreator Gen Video EP RequirementTH</v>
      </c>
      <c r="J41" s="9" t="n">
        <f aca="false">IFERROR(VLOOKUP(I41,'WFM Q4 Target'!J:K,2,0),"-")</f>
        <v>90.978</v>
      </c>
      <c r="K41" s="9" t="n">
        <v>464.9415</v>
      </c>
      <c r="L41" s="9" t="n">
        <v>338.5371</v>
      </c>
      <c r="M41" s="9" t="str">
        <f aca="false">IFERROR(IF(K41&gt;J41,"Not Meet Target","Meet Target"),"-")</f>
        <v>Not Meet Target</v>
      </c>
      <c r="N41" s="9" t="str">
        <f aca="false">IFERROR(VLOOKUP(D41,'Team Member List'!B:C,2,0),"")</f>
        <v>TL Okafor</v>
      </c>
      <c r="O41" s="9" t="s">
        <v>2408</v>
      </c>
    </row>
    <row r="42" customFormat="false" ht="15" hidden="false" customHeight="false" outlineLevel="0" collapsed="false">
      <c r="A42" s="9" t="s">
        <v>63</v>
      </c>
      <c r="B42" s="10"/>
      <c r="C42" s="9" t="s">
        <v>2355</v>
      </c>
      <c r="D42" s="9" t="s">
        <v>2355</v>
      </c>
      <c r="E42" s="9" t="s">
        <v>973</v>
      </c>
      <c r="F42" s="9" t="s">
        <v>979</v>
      </c>
      <c r="G42" s="9" t="s">
        <v>979</v>
      </c>
      <c r="H42" s="9" t="s">
        <v>100</v>
      </c>
      <c r="I42" s="9" t="str">
        <f aca="false">TRIM(A42) &amp; TRIM(F42) &amp; TRIM(H42)</f>
        <v>First ReviewBooking Ads Pre ApprovalAU</v>
      </c>
      <c r="J42" s="9" t="n">
        <f aca="false">IFERROR(VLOOKUP(I42,'WFM Q4 Target'!J:K,2,0),"-")</f>
        <v>174.66</v>
      </c>
      <c r="K42" s="9" t="n">
        <v>146.3132</v>
      </c>
      <c r="L42" s="9" t="n">
        <v>11.4378</v>
      </c>
      <c r="M42" s="9" t="str">
        <f aca="false">IFERROR(IF(K42&gt;J42,"Not Meet Target","Meet Target"),"-")</f>
        <v>Meet Target</v>
      </c>
      <c r="N42" s="9" t="str">
        <f aca="false">IFERROR(VLOOKUP(D42,'Team Member List'!B:C,2,0),"")</f>
        <v>TL Lindgren</v>
      </c>
      <c r="O42" s="9" t="s">
        <v>2408</v>
      </c>
    </row>
    <row r="43" customFormat="false" ht="15" hidden="false" customHeight="false" outlineLevel="0" collapsed="false">
      <c r="A43" s="9" t="s">
        <v>63</v>
      </c>
      <c r="B43" s="10"/>
      <c r="C43" s="9"/>
      <c r="D43" s="9" t="s">
        <v>2355</v>
      </c>
      <c r="E43" s="9"/>
      <c r="F43" s="9" t="s">
        <v>974</v>
      </c>
      <c r="G43" s="9" t="s">
        <v>974</v>
      </c>
      <c r="H43" s="9" t="s">
        <v>100</v>
      </c>
      <c r="I43" s="9" t="str">
        <f aca="false">TRIM(A43) &amp; TRIM(F43) &amp; TRIM(H43)</f>
        <v>First ReviewHighlight ViewAU</v>
      </c>
      <c r="J43" s="9" t="n">
        <f aca="false">IFERROR(VLOOKUP(I43,'WFM Q4 Target'!J:K,2,0),"-")</f>
        <v>172.554</v>
      </c>
      <c r="K43" s="9" t="n">
        <v>281.6032</v>
      </c>
      <c r="L43" s="9" t="n">
        <v>0</v>
      </c>
      <c r="M43" s="9" t="str">
        <f aca="false">IFERROR(IF(K43&gt;J43,"Not Meet Target","Meet Target"),"-")</f>
        <v>Not Meet Target</v>
      </c>
      <c r="N43" s="9" t="str">
        <f aca="false">IFERROR(VLOOKUP(D43,'Team Member List'!B:C,2,0),"")</f>
        <v>TL Lindgren</v>
      </c>
      <c r="O43" s="9" t="s">
        <v>2408</v>
      </c>
    </row>
    <row r="44" customFormat="false" ht="15" hidden="false" customHeight="false" outlineLevel="0" collapsed="false">
      <c r="A44" s="9" t="s">
        <v>63</v>
      </c>
      <c r="B44" s="10"/>
      <c r="C44" s="9" t="s">
        <v>2333</v>
      </c>
      <c r="D44" s="9" t="s">
        <v>2333</v>
      </c>
      <c r="E44" s="9" t="s">
        <v>56</v>
      </c>
      <c r="F44" s="9" t="s">
        <v>57</v>
      </c>
      <c r="G44" s="9" t="s">
        <v>57</v>
      </c>
      <c r="H44" s="9" t="s">
        <v>267</v>
      </c>
      <c r="I44" s="9" t="str">
        <f aca="false">TRIM(A44) &amp; TRIM(F44) &amp; TRIM(H44)</f>
        <v>First ReviewBid Ad GroupID</v>
      </c>
      <c r="J44" s="9" t="n">
        <f aca="false">IFERROR(VLOOKUP(I44,'WFM Q4 Target'!J:K,2,0),"-")</f>
        <v>118.062</v>
      </c>
      <c r="K44" s="9" t="n">
        <v>336.9604</v>
      </c>
      <c r="L44" s="9" t="n">
        <v>487.688</v>
      </c>
      <c r="M44" s="9" t="str">
        <f aca="false">IFERROR(IF(K44&gt;J44,"Not Meet Target","Meet Target"),"-")</f>
        <v>Not Meet Target</v>
      </c>
      <c r="N44" s="9" t="str">
        <f aca="false">IFERROR(VLOOKUP(D44,'Team Member List'!B:C,2,0),"")</f>
        <v>TL Ramirez</v>
      </c>
      <c r="O44" s="9" t="s">
        <v>2408</v>
      </c>
    </row>
    <row r="45" customFormat="false" ht="15" hidden="false" customHeight="false" outlineLevel="0" collapsed="false">
      <c r="A45" s="9" t="s">
        <v>63</v>
      </c>
      <c r="B45" s="10"/>
      <c r="C45" s="9"/>
      <c r="D45" s="9" t="s">
        <v>2333</v>
      </c>
      <c r="E45" s="9"/>
      <c r="F45" s="9"/>
      <c r="G45" s="9" t="s">
        <v>57</v>
      </c>
      <c r="H45" s="9" t="s">
        <v>73</v>
      </c>
      <c r="I45" s="9" t="str">
        <f aca="false">TRIM(A45) &amp; TRIM(F45) &amp; TRIM(H45)</f>
        <v>First ReviewIQ</v>
      </c>
      <c r="J45" s="9" t="str">
        <f aca="false">IFERROR(VLOOKUP(I45,'WFM Q4 Target'!J:K,2,0),"-")</f>
        <v>-</v>
      </c>
      <c r="K45" s="9" t="n">
        <v>127.0777</v>
      </c>
      <c r="L45" s="9" t="n">
        <v>36.0137</v>
      </c>
      <c r="M45" s="9" t="str">
        <f aca="false">IFERROR(IF(K45&gt;J45,"Not Meet Target","Meet Target"),"-")</f>
        <v>Meet Target</v>
      </c>
      <c r="N45" s="9" t="str">
        <f aca="false">IFERROR(VLOOKUP(D45,'Team Member List'!B:C,2,0),"")</f>
        <v>TL Ramirez</v>
      </c>
      <c r="O45" s="9" t="s">
        <v>2408</v>
      </c>
    </row>
    <row r="46" customFormat="false" ht="15" hidden="false" customHeight="false" outlineLevel="0" collapsed="false">
      <c r="A46" s="9" t="s">
        <v>63</v>
      </c>
      <c r="B46" s="10"/>
      <c r="C46" s="9"/>
      <c r="D46" s="9" t="s">
        <v>2333</v>
      </c>
      <c r="E46" s="9"/>
      <c r="F46" s="9" t="s">
        <v>75</v>
      </c>
      <c r="G46" s="9" t="s">
        <v>75</v>
      </c>
      <c r="H46" s="9" t="s">
        <v>267</v>
      </c>
      <c r="I46" s="9" t="str">
        <f aca="false">TRIM(A46) &amp; TRIM(F46) &amp; TRIM(H46)</f>
        <v>First ReviewBid Ecom Ads GroupID</v>
      </c>
      <c r="J46" s="9" t="n">
        <f aca="false">IFERROR(VLOOKUP(I46,'WFM Q4 Target'!J:K,2,0),"-")</f>
        <v>155.28</v>
      </c>
      <c r="K46" s="9" t="n">
        <v>236.5433</v>
      </c>
      <c r="L46" s="9" t="n">
        <v>13.708</v>
      </c>
      <c r="M46" s="9" t="str">
        <f aca="false">IFERROR(IF(K46&gt;J46,"Not Meet Target","Meet Target"),"-")</f>
        <v>Not Meet Target</v>
      </c>
      <c r="N46" s="9" t="str">
        <f aca="false">IFERROR(VLOOKUP(D46,'Team Member List'!B:C,2,0),"")</f>
        <v>TL Ramirez</v>
      </c>
      <c r="O46" s="9" t="s">
        <v>2408</v>
      </c>
    </row>
    <row r="47" customFormat="false" ht="15" hidden="false" customHeight="false" outlineLevel="0" collapsed="false">
      <c r="A47" s="9" t="s">
        <v>63</v>
      </c>
      <c r="B47" s="10"/>
      <c r="C47" s="9"/>
      <c r="D47" s="9" t="s">
        <v>2333</v>
      </c>
      <c r="E47" s="9" t="s">
        <v>973</v>
      </c>
      <c r="F47" s="9" t="s">
        <v>979</v>
      </c>
      <c r="G47" s="9" t="s">
        <v>979</v>
      </c>
      <c r="H47" s="9" t="s">
        <v>157</v>
      </c>
      <c r="I47" s="9" t="str">
        <f aca="false">TRIM(A47) &amp; TRIM(F47) &amp; TRIM(H47)</f>
        <v>First ReviewBooking Ads Pre ApprovalSA</v>
      </c>
      <c r="J47" s="9" t="n">
        <f aca="false">IFERROR(VLOOKUP(I47,'WFM Q4 Target'!J:K,2,0),"-")</f>
        <v>654.864</v>
      </c>
      <c r="K47" s="9" t="n">
        <v>222.6699</v>
      </c>
      <c r="L47" s="9" t="n">
        <v>0</v>
      </c>
      <c r="M47" s="9" t="str">
        <f aca="false">IFERROR(IF(K47&gt;J47,"Not Meet Target","Meet Target"),"-")</f>
        <v>Meet Target</v>
      </c>
      <c r="N47" s="9" t="str">
        <f aca="false">IFERROR(VLOOKUP(D47,'Team Member List'!B:C,2,0),"")</f>
        <v>TL Ramirez</v>
      </c>
      <c r="O47" s="9" t="s">
        <v>2408</v>
      </c>
    </row>
    <row r="48" customFormat="false" ht="15" hidden="false" customHeight="false" outlineLevel="0" collapsed="false">
      <c r="A48" s="9" t="s">
        <v>63</v>
      </c>
      <c r="B48" s="10"/>
      <c r="C48" s="9"/>
      <c r="D48" s="9" t="s">
        <v>2333</v>
      </c>
      <c r="E48" s="9" t="s">
        <v>1432</v>
      </c>
      <c r="F48" s="9" t="s">
        <v>1440</v>
      </c>
      <c r="G48" s="9" t="s">
        <v>1440</v>
      </c>
      <c r="H48" s="9" t="s">
        <v>267</v>
      </c>
      <c r="I48" s="9" t="str">
        <f aca="false">TRIM(A48) &amp; TRIM(F48) &amp; TRIM(H48)</f>
        <v>First ReviewHTC Adv CampaignID</v>
      </c>
      <c r="J48" s="9" t="n">
        <f aca="false">IFERROR(VLOOKUP(I48,'WFM Q4 Target'!J:K,2,0),"-")</f>
        <v>48.804</v>
      </c>
      <c r="K48" s="9" t="n">
        <v>130.2816</v>
      </c>
      <c r="L48" s="9" t="n">
        <v>0</v>
      </c>
      <c r="M48" s="9" t="str">
        <f aca="false">IFERROR(IF(K48&gt;J48,"Not Meet Target","Meet Target"),"-")</f>
        <v>Not Meet Target</v>
      </c>
      <c r="N48" s="9" t="str">
        <f aca="false">IFERROR(VLOOKUP(D48,'Team Member List'!B:C,2,0),"")</f>
        <v>TL Ramirez</v>
      </c>
      <c r="O48" s="9" t="s">
        <v>2408</v>
      </c>
    </row>
    <row r="49" customFormat="false" ht="15" hidden="false" customHeight="false" outlineLevel="0" collapsed="false">
      <c r="A49" s="9" t="s">
        <v>63</v>
      </c>
      <c r="B49" s="10"/>
      <c r="C49" s="9"/>
      <c r="D49" s="9" t="s">
        <v>2333</v>
      </c>
      <c r="E49" s="9"/>
      <c r="F49" s="9" t="s">
        <v>1458</v>
      </c>
      <c r="G49" s="9" t="s">
        <v>1458</v>
      </c>
      <c r="H49" s="9" t="s">
        <v>267</v>
      </c>
      <c r="I49" s="9" t="str">
        <f aca="false">TRIM(A49) &amp; TRIM(F49) &amp; TRIM(H49)</f>
        <v>First ReviewHTC Adv VideoID</v>
      </c>
      <c r="J49" s="9" t="str">
        <f aca="false">IFERROR(VLOOKUP(I49,'WFM Q4 Target'!J:K,2,0),"-")</f>
        <v>-</v>
      </c>
      <c r="K49" s="9" t="n">
        <v>374.0317</v>
      </c>
      <c r="L49" s="9" t="n">
        <v>24.3769</v>
      </c>
      <c r="M49" s="9" t="str">
        <f aca="false">IFERROR(IF(K49&gt;J49,"Not Meet Target","Meet Target"),"-")</f>
        <v>Meet Target</v>
      </c>
      <c r="N49" s="9" t="str">
        <f aca="false">IFERROR(VLOOKUP(D49,'Team Member List'!B:C,2,0),"")</f>
        <v>TL Ramirez</v>
      </c>
      <c r="O49" s="9" t="s">
        <v>2408</v>
      </c>
    </row>
    <row r="50" customFormat="false" ht="15" hidden="false" customHeight="false" outlineLevel="0" collapsed="false">
      <c r="A50" s="9" t="s">
        <v>63</v>
      </c>
      <c r="B50" s="10"/>
      <c r="C50" s="9"/>
      <c r="D50" s="9" t="s">
        <v>2333</v>
      </c>
      <c r="E50" s="9"/>
      <c r="F50" s="9" t="s">
        <v>1436</v>
      </c>
      <c r="G50" s="9" t="s">
        <v>1436</v>
      </c>
      <c r="H50" s="9" t="s">
        <v>267</v>
      </c>
      <c r="I50" s="9" t="str">
        <f aca="false">TRIM(A50) &amp; TRIM(F50) &amp; TRIM(H50)</f>
        <v>First ReviewQuest Adv CampaignID</v>
      </c>
      <c r="J50" s="9" t="n">
        <f aca="false">IFERROR(VLOOKUP(I50,'WFM Q4 Target'!J:K,2,0),"-")</f>
        <v>40.356</v>
      </c>
      <c r="K50" s="9" t="n">
        <v>142.0517</v>
      </c>
      <c r="L50" s="9" t="n">
        <v>0</v>
      </c>
      <c r="M50" s="9" t="str">
        <f aca="false">IFERROR(IF(K50&gt;J50,"Not Meet Target","Meet Target"),"-")</f>
        <v>Not Meet Target</v>
      </c>
      <c r="N50" s="9" t="str">
        <f aca="false">IFERROR(VLOOKUP(D50,'Team Member List'!B:C,2,0),"")</f>
        <v>TL Ramirez</v>
      </c>
      <c r="O50" s="9" t="s">
        <v>2408</v>
      </c>
    </row>
    <row r="51" customFormat="false" ht="15" hidden="false" customHeight="false" outlineLevel="0" collapsed="false">
      <c r="A51" s="9" t="s">
        <v>63</v>
      </c>
      <c r="B51" s="10"/>
      <c r="C51" s="9"/>
      <c r="D51" s="9" t="s">
        <v>2333</v>
      </c>
      <c r="E51" s="9"/>
      <c r="F51" s="9" t="s">
        <v>1438</v>
      </c>
      <c r="G51" s="9" t="s">
        <v>1438</v>
      </c>
      <c r="H51" s="9" t="s">
        <v>267</v>
      </c>
      <c r="I51" s="9" t="str">
        <f aca="false">TRIM(A51) &amp; TRIM(F51) &amp; TRIM(H51)</f>
        <v>First ReviewQuest Adv VideoID</v>
      </c>
      <c r="J51" s="9" t="n">
        <f aca="false">IFERROR(VLOOKUP(I51,'WFM Q4 Target'!J:K,2,0),"-")</f>
        <v>49.086</v>
      </c>
      <c r="K51" s="9" t="n">
        <v>319.2784</v>
      </c>
      <c r="L51" s="9" t="n">
        <v>13.4566</v>
      </c>
      <c r="M51" s="9" t="str">
        <f aca="false">IFERROR(IF(K51&gt;J51,"Not Meet Target","Meet Target"),"-")</f>
        <v>Not Meet Target</v>
      </c>
      <c r="N51" s="9" t="str">
        <f aca="false">IFERROR(VLOOKUP(D51,'Team Member List'!B:C,2,0),"")</f>
        <v>TL Ramirez</v>
      </c>
      <c r="O51" s="9" t="s">
        <v>2408</v>
      </c>
    </row>
    <row r="52" customFormat="false" ht="15" hidden="false" customHeight="false" outlineLevel="0" collapsed="false">
      <c r="A52" s="9" t="s">
        <v>63</v>
      </c>
      <c r="B52" s="10"/>
      <c r="C52" s="9" t="s">
        <v>2387</v>
      </c>
      <c r="D52" s="9" t="s">
        <v>2387</v>
      </c>
      <c r="E52" s="9" t="s">
        <v>973</v>
      </c>
      <c r="F52" s="9" t="s">
        <v>974</v>
      </c>
      <c r="G52" s="9" t="s">
        <v>974</v>
      </c>
      <c r="H52" s="9" t="s">
        <v>58</v>
      </c>
      <c r="I52" s="9" t="str">
        <f aca="false">TRIM(A52) &amp; TRIM(F52) &amp; TRIM(H52)</f>
        <v>First ReviewHighlight ViewSG</v>
      </c>
      <c r="J52" s="9" t="n">
        <f aca="false">IFERROR(VLOOKUP(I52,'WFM Q4 Target'!J:K,2,0),"-")</f>
        <v>225.912</v>
      </c>
      <c r="K52" s="9" t="n">
        <v>208.0949</v>
      </c>
      <c r="L52" s="9" t="n">
        <v>0</v>
      </c>
      <c r="M52" s="9" t="str">
        <f aca="false">IFERROR(IF(K52&gt;J52,"Not Meet Target","Meet Target"),"-")</f>
        <v>Meet Target</v>
      </c>
      <c r="N52" s="9" t="str">
        <f aca="false">IFERROR(VLOOKUP(D52,'Team Member List'!B:C,2,0),"")</f>
        <v>TL Cabrera</v>
      </c>
      <c r="O52" s="9" t="s">
        <v>2408</v>
      </c>
    </row>
    <row r="53" customFormat="false" ht="15" hidden="false" customHeight="false" outlineLevel="0" collapsed="false">
      <c r="A53" s="9" t="s">
        <v>63</v>
      </c>
      <c r="B53" s="10"/>
      <c r="C53" s="9" t="s">
        <v>2325</v>
      </c>
      <c r="D53" s="9" t="s">
        <v>2325</v>
      </c>
      <c r="E53" s="9" t="s">
        <v>56</v>
      </c>
      <c r="F53" s="9" t="s">
        <v>57</v>
      </c>
      <c r="G53" s="9" t="s">
        <v>57</v>
      </c>
      <c r="H53" s="9" t="s">
        <v>267</v>
      </c>
      <c r="I53" s="9" t="str">
        <f aca="false">TRIM(A53) &amp; TRIM(F53) &amp; TRIM(H53)</f>
        <v>First ReviewBid Ad GroupID</v>
      </c>
      <c r="J53" s="9" t="n">
        <f aca="false">IFERROR(VLOOKUP(I53,'WFM Q4 Target'!J:K,2,0),"-")</f>
        <v>118.062</v>
      </c>
      <c r="K53" s="9" t="n">
        <v>211.7362</v>
      </c>
      <c r="L53" s="9" t="n">
        <v>722.8022</v>
      </c>
      <c r="M53" s="9" t="str">
        <f aca="false">IFERROR(IF(K53&gt;J53,"Not Meet Target","Meet Target"),"-")</f>
        <v>Not Meet Target</v>
      </c>
      <c r="N53" s="9" t="str">
        <f aca="false">IFERROR(VLOOKUP(D53,'Team Member List'!B:C,2,0),"")</f>
        <v>TL Ramirez</v>
      </c>
      <c r="O53" s="9" t="s">
        <v>2408</v>
      </c>
    </row>
    <row r="54" customFormat="false" ht="15" hidden="false" customHeight="false" outlineLevel="0" collapsed="false">
      <c r="A54" s="9" t="s">
        <v>63</v>
      </c>
      <c r="B54" s="10"/>
      <c r="C54" s="9"/>
      <c r="D54" s="9" t="s">
        <v>2325</v>
      </c>
      <c r="E54" s="9" t="s">
        <v>973</v>
      </c>
      <c r="F54" s="9" t="s">
        <v>979</v>
      </c>
      <c r="G54" s="9" t="s">
        <v>979</v>
      </c>
      <c r="H54" s="9" t="s">
        <v>106</v>
      </c>
      <c r="I54" s="9" t="str">
        <f aca="false">TRIM(A54) &amp; TRIM(F54) &amp; TRIM(H54)</f>
        <v>First ReviewBooking Ads Pre ApprovalMY</v>
      </c>
      <c r="J54" s="9" t="n">
        <f aca="false">IFERROR(VLOOKUP(I54,'WFM Q4 Target'!J:K,2,0),"-")</f>
        <v>91.824</v>
      </c>
      <c r="K54" s="9" t="n">
        <v>295.846</v>
      </c>
      <c r="L54" s="9" t="n">
        <v>43.6904</v>
      </c>
      <c r="M54" s="9" t="str">
        <f aca="false">IFERROR(IF(K54&gt;J54,"Not Meet Target","Meet Target"),"-")</f>
        <v>Not Meet Target</v>
      </c>
      <c r="N54" s="9" t="str">
        <f aca="false">IFERROR(VLOOKUP(D54,'Team Member List'!B:C,2,0),"")</f>
        <v>TL Ramirez</v>
      </c>
      <c r="O54" s="9" t="s">
        <v>2408</v>
      </c>
    </row>
    <row r="55" customFormat="false" ht="15" hidden="false" customHeight="false" outlineLevel="0" collapsed="false">
      <c r="A55" s="9" t="s">
        <v>63</v>
      </c>
      <c r="B55" s="10"/>
      <c r="C55" s="9"/>
      <c r="D55" s="9" t="s">
        <v>2325</v>
      </c>
      <c r="E55" s="9" t="s">
        <v>1432</v>
      </c>
      <c r="F55" s="9" t="s">
        <v>1458</v>
      </c>
      <c r="G55" s="9" t="s">
        <v>1458</v>
      </c>
      <c r="H55" s="9" t="s">
        <v>267</v>
      </c>
      <c r="I55" s="9" t="str">
        <f aca="false">TRIM(A55) &amp; TRIM(F55) &amp; TRIM(H55)</f>
        <v>First ReviewHTC Adv VideoID</v>
      </c>
      <c r="J55" s="9" t="str">
        <f aca="false">IFERROR(VLOOKUP(I55,'WFM Q4 Target'!J:K,2,0),"-")</f>
        <v>-</v>
      </c>
      <c r="K55" s="9" t="n">
        <v>248.948</v>
      </c>
      <c r="L55" s="9" t="n">
        <v>12.0727</v>
      </c>
      <c r="M55" s="9" t="str">
        <f aca="false">IFERROR(IF(K55&gt;J55,"Not Meet Target","Meet Target"),"-")</f>
        <v>Meet Target</v>
      </c>
      <c r="N55" s="9" t="str">
        <f aca="false">IFERROR(VLOOKUP(D55,'Team Member List'!B:C,2,0),"")</f>
        <v>TL Ramirez</v>
      </c>
      <c r="O55" s="9" t="s">
        <v>2408</v>
      </c>
    </row>
    <row r="56" customFormat="false" ht="15" hidden="false" customHeight="false" outlineLevel="0" collapsed="false">
      <c r="A56" s="9" t="s">
        <v>63</v>
      </c>
      <c r="B56" s="10"/>
      <c r="C56" s="9"/>
      <c r="D56" s="9" t="s">
        <v>2325</v>
      </c>
      <c r="E56" s="9"/>
      <c r="F56" s="9" t="s">
        <v>1436</v>
      </c>
      <c r="G56" s="9" t="s">
        <v>1436</v>
      </c>
      <c r="H56" s="9" t="s">
        <v>267</v>
      </c>
      <c r="I56" s="9" t="str">
        <f aca="false">TRIM(A56) &amp; TRIM(F56) &amp; TRIM(H56)</f>
        <v>First ReviewQuest Adv CampaignID</v>
      </c>
      <c r="J56" s="9" t="n">
        <f aca="false">IFERROR(VLOOKUP(I56,'WFM Q4 Target'!J:K,2,0),"-")</f>
        <v>40.356</v>
      </c>
      <c r="K56" s="9" t="n">
        <v>480.6935</v>
      </c>
      <c r="L56" s="9" t="n">
        <v>0</v>
      </c>
      <c r="M56" s="9" t="str">
        <f aca="false">IFERROR(IF(K56&gt;J56,"Not Meet Target","Meet Target"),"-")</f>
        <v>Not Meet Target</v>
      </c>
      <c r="N56" s="9" t="str">
        <f aca="false">IFERROR(VLOOKUP(D56,'Team Member List'!B:C,2,0),"")</f>
        <v>TL Ramirez</v>
      </c>
      <c r="O56" s="9" t="s">
        <v>2408</v>
      </c>
    </row>
    <row r="57" customFormat="false" ht="15" hidden="false" customHeight="false" outlineLevel="0" collapsed="false">
      <c r="A57" s="9" t="s">
        <v>63</v>
      </c>
      <c r="B57" s="10"/>
      <c r="C57" s="9" t="s">
        <v>2361</v>
      </c>
      <c r="D57" s="9" t="s">
        <v>2361</v>
      </c>
      <c r="E57" s="9" t="s">
        <v>56</v>
      </c>
      <c r="F57" s="9" t="s">
        <v>57</v>
      </c>
      <c r="G57" s="9" t="s">
        <v>57</v>
      </c>
      <c r="H57" s="9" t="s">
        <v>235</v>
      </c>
      <c r="I57" s="9" t="str">
        <f aca="false">TRIM(A57) &amp; TRIM(F57) &amp; TRIM(H57)</f>
        <v>First ReviewBid Ad GroupJP</v>
      </c>
      <c r="J57" s="9" t="n">
        <f aca="false">IFERROR(VLOOKUP(I57,'WFM Q4 Target'!J:K,2,0),"-")</f>
        <v>140.514</v>
      </c>
      <c r="K57" s="9" t="n">
        <v>3396.9464</v>
      </c>
      <c r="L57" s="9" t="n">
        <v>659.2592</v>
      </c>
      <c r="M57" s="9" t="str">
        <f aca="false">IFERROR(IF(K57&gt;J57,"Not Meet Target","Meet Target"),"-")</f>
        <v>Not Meet Target</v>
      </c>
      <c r="N57" s="9" t="str">
        <f aca="false">IFERROR(VLOOKUP(D57,'Team Member List'!B:C,2,0),"")</f>
        <v>TL Okafor</v>
      </c>
      <c r="O57" s="9" t="s">
        <v>2408</v>
      </c>
    </row>
    <row r="58" customFormat="false" ht="15" hidden="false" customHeight="false" outlineLevel="0" collapsed="false">
      <c r="A58" s="9" t="s">
        <v>63</v>
      </c>
      <c r="B58" s="10"/>
      <c r="C58" s="9"/>
      <c r="D58" s="9" t="s">
        <v>2361</v>
      </c>
      <c r="E58" s="9" t="s">
        <v>973</v>
      </c>
      <c r="F58" s="9" t="s">
        <v>974</v>
      </c>
      <c r="G58" s="9" t="s">
        <v>974</v>
      </c>
      <c r="H58" s="9" t="s">
        <v>235</v>
      </c>
      <c r="I58" s="9" t="str">
        <f aca="false">TRIM(A58) &amp; TRIM(F58) &amp; TRIM(H58)</f>
        <v>First ReviewHighlight ViewJP</v>
      </c>
      <c r="J58" s="9" t="n">
        <f aca="false">IFERROR(VLOOKUP(I58,'WFM Q4 Target'!J:K,2,0),"-")</f>
        <v>759.402</v>
      </c>
      <c r="K58" s="9" t="n">
        <v>113.7721</v>
      </c>
      <c r="L58" s="9" t="n">
        <v>0</v>
      </c>
      <c r="M58" s="9" t="str">
        <f aca="false">IFERROR(IF(K58&gt;J58,"Not Meet Target","Meet Target"),"-")</f>
        <v>Meet Target</v>
      </c>
      <c r="N58" s="9" t="str">
        <f aca="false">IFERROR(VLOOKUP(D58,'Team Member List'!B:C,2,0),"")</f>
        <v>TL Okafor</v>
      </c>
      <c r="O58" s="9" t="s">
        <v>2408</v>
      </c>
    </row>
    <row r="59" customFormat="false" ht="15" hidden="false" customHeight="false" outlineLevel="0" collapsed="false">
      <c r="A59" s="9" t="s">
        <v>63</v>
      </c>
      <c r="B59" s="10"/>
      <c r="C59" s="9" t="s">
        <v>2345</v>
      </c>
      <c r="D59" s="9" t="s">
        <v>2345</v>
      </c>
      <c r="E59" s="9" t="s">
        <v>56</v>
      </c>
      <c r="F59" s="9" t="s">
        <v>57</v>
      </c>
      <c r="G59" s="9" t="s">
        <v>57</v>
      </c>
      <c r="H59" s="9" t="s">
        <v>95</v>
      </c>
      <c r="I59" s="9" t="str">
        <f aca="false">TRIM(A59) &amp; TRIM(F59) &amp; TRIM(H59)</f>
        <v>First ReviewBid Ad GroupVN</v>
      </c>
      <c r="J59" s="9" t="n">
        <f aca="false">IFERROR(VLOOKUP(I59,'WFM Q4 Target'!J:K,2,0),"-")</f>
        <v>220.83</v>
      </c>
      <c r="K59" s="9" t="n">
        <v>1201.6379</v>
      </c>
      <c r="L59" s="9" t="n">
        <v>16.2335</v>
      </c>
      <c r="M59" s="9" t="str">
        <f aca="false">IFERROR(IF(K59&gt;J59,"Not Meet Target","Meet Target"),"-")</f>
        <v>Not Meet Target</v>
      </c>
      <c r="N59" s="9" t="str">
        <f aca="false">IFERROR(VLOOKUP(D59,'Team Member List'!B:C,2,0),"")</f>
        <v>TL Lindgren</v>
      </c>
      <c r="O59" s="9" t="s">
        <v>2408</v>
      </c>
    </row>
    <row r="60" customFormat="false" ht="15" hidden="false" customHeight="false" outlineLevel="0" collapsed="false">
      <c r="A60" s="9" t="s">
        <v>63</v>
      </c>
      <c r="B60" s="10"/>
      <c r="C60" s="9"/>
      <c r="D60" s="9" t="s">
        <v>2345</v>
      </c>
      <c r="E60" s="9"/>
      <c r="F60" s="9" t="s">
        <v>78</v>
      </c>
      <c r="G60" s="9" t="s">
        <v>78</v>
      </c>
      <c r="H60" s="9" t="s">
        <v>126</v>
      </c>
      <c r="I60" s="9" t="str">
        <f aca="false">TRIM(A60) &amp; TRIM(F60) &amp; TRIM(H60)</f>
        <v>First ReviewBid VideoMX</v>
      </c>
      <c r="J60" s="9" t="n">
        <f aca="false">IFERROR(VLOOKUP(I60,'WFM Q4 Target'!J:K,2,0),"-")</f>
        <v>71.616</v>
      </c>
      <c r="K60" s="9" t="n">
        <v>267.3842</v>
      </c>
      <c r="L60" s="9" t="n">
        <v>18.2128</v>
      </c>
      <c r="M60" s="9" t="str">
        <f aca="false">IFERROR(IF(K60&gt;J60,"Not Meet Target","Meet Target"),"-")</f>
        <v>Not Meet Target</v>
      </c>
      <c r="N60" s="9" t="str">
        <f aca="false">IFERROR(VLOOKUP(D60,'Team Member List'!B:C,2,0),"")</f>
        <v>TL Lindgren</v>
      </c>
      <c r="O60" s="9" t="s">
        <v>2408</v>
      </c>
    </row>
    <row r="61" customFormat="false" ht="15" hidden="false" customHeight="false" outlineLevel="0" collapsed="false">
      <c r="A61" s="9" t="s">
        <v>63</v>
      </c>
      <c r="B61" s="10"/>
      <c r="C61" s="9"/>
      <c r="D61" s="9" t="s">
        <v>2345</v>
      </c>
      <c r="E61" s="9" t="s">
        <v>1432</v>
      </c>
      <c r="F61" s="9" t="s">
        <v>1436</v>
      </c>
      <c r="G61" s="9" t="s">
        <v>1436</v>
      </c>
      <c r="H61" s="9" t="s">
        <v>267</v>
      </c>
      <c r="I61" s="9" t="str">
        <f aca="false">TRIM(A61) &amp; TRIM(F61) &amp; TRIM(H61)</f>
        <v>First ReviewQuest Adv CampaignID</v>
      </c>
      <c r="J61" s="9" t="n">
        <f aca="false">IFERROR(VLOOKUP(I61,'WFM Q4 Target'!J:K,2,0),"-")</f>
        <v>40.356</v>
      </c>
      <c r="K61" s="9" t="n">
        <v>400.1356</v>
      </c>
      <c r="L61" s="9" t="n">
        <v>0</v>
      </c>
      <c r="M61" s="9" t="str">
        <f aca="false">IFERROR(IF(K61&gt;J61,"Not Meet Target","Meet Target"),"-")</f>
        <v>Not Meet Target</v>
      </c>
      <c r="N61" s="9" t="str">
        <f aca="false">IFERROR(VLOOKUP(D61,'Team Member List'!B:C,2,0),"")</f>
        <v>TL Lindgren</v>
      </c>
      <c r="O61" s="9" t="s">
        <v>2408</v>
      </c>
    </row>
    <row r="62" customFormat="false" ht="15" hidden="false" customHeight="false" outlineLevel="0" collapsed="false">
      <c r="A62" s="9" t="s">
        <v>63</v>
      </c>
      <c r="B62" s="10"/>
      <c r="C62" s="9" t="s">
        <v>2362</v>
      </c>
      <c r="D62" s="9" t="s">
        <v>2362</v>
      </c>
      <c r="E62" s="9" t="s">
        <v>973</v>
      </c>
      <c r="F62" s="9" t="s">
        <v>979</v>
      </c>
      <c r="G62" s="9" t="s">
        <v>979</v>
      </c>
      <c r="H62" s="9" t="s">
        <v>235</v>
      </c>
      <c r="I62" s="9" t="str">
        <f aca="false">TRIM(A62) &amp; TRIM(F62) &amp; TRIM(H62)</f>
        <v>First ReviewBooking Ads Pre ApprovalJP</v>
      </c>
      <c r="J62" s="9" t="n">
        <f aca="false">IFERROR(VLOOKUP(I62,'WFM Q4 Target'!J:K,2,0),"-")</f>
        <v>788.154</v>
      </c>
      <c r="K62" s="9" t="n">
        <v>125.265</v>
      </c>
      <c r="L62" s="9" t="n">
        <v>24.8152</v>
      </c>
      <c r="M62" s="9" t="str">
        <f aca="false">IFERROR(IF(K62&gt;J62,"Not Meet Target","Meet Target"),"-")</f>
        <v>Meet Target</v>
      </c>
      <c r="N62" s="9" t="str">
        <f aca="false">IFERROR(VLOOKUP(D62,'Team Member List'!B:C,2,0),"")</f>
        <v>TL Okafor</v>
      </c>
      <c r="O62" s="9" t="s">
        <v>2408</v>
      </c>
    </row>
    <row r="63" customFormat="false" ht="15" hidden="false" customHeight="false" outlineLevel="0" collapsed="false">
      <c r="A63" s="9" t="s">
        <v>63</v>
      </c>
      <c r="B63" s="10"/>
      <c r="C63" s="9"/>
      <c r="D63" s="9" t="s">
        <v>2362</v>
      </c>
      <c r="E63" s="9"/>
      <c r="F63" s="9" t="s">
        <v>974</v>
      </c>
      <c r="G63" s="9" t="s">
        <v>974</v>
      </c>
      <c r="H63" s="9" t="s">
        <v>235</v>
      </c>
      <c r="I63" s="9" t="str">
        <f aca="false">TRIM(A63) &amp; TRIM(F63) &amp; TRIM(H63)</f>
        <v>First ReviewHighlight ViewJP</v>
      </c>
      <c r="J63" s="9" t="n">
        <f aca="false">IFERROR(VLOOKUP(I63,'WFM Q4 Target'!J:K,2,0),"-")</f>
        <v>759.402</v>
      </c>
      <c r="K63" s="9" t="n">
        <v>246.7594</v>
      </c>
      <c r="L63" s="9" t="n">
        <v>0</v>
      </c>
      <c r="M63" s="9" t="str">
        <f aca="false">IFERROR(IF(K63&gt;J63,"Not Meet Target","Meet Target"),"-")</f>
        <v>Meet Target</v>
      </c>
      <c r="N63" s="9" t="str">
        <f aca="false">IFERROR(VLOOKUP(D63,'Team Member List'!B:C,2,0),"")</f>
        <v>TL Okafor</v>
      </c>
      <c r="O63" s="9" t="s">
        <v>2408</v>
      </c>
    </row>
    <row r="64" customFormat="false" ht="15" hidden="false" customHeight="false" outlineLevel="0" collapsed="false">
      <c r="A64" s="9" t="s">
        <v>63</v>
      </c>
      <c r="B64" s="10"/>
      <c r="C64" s="9" t="s">
        <v>2346</v>
      </c>
      <c r="D64" s="9" t="s">
        <v>2346</v>
      </c>
      <c r="E64" s="9" t="s">
        <v>973</v>
      </c>
      <c r="F64" s="9" t="s">
        <v>979</v>
      </c>
      <c r="G64" s="9" t="s">
        <v>979</v>
      </c>
      <c r="H64" s="9" t="s">
        <v>95</v>
      </c>
      <c r="I64" s="9" t="str">
        <f aca="false">TRIM(A64) &amp; TRIM(F64) &amp; TRIM(H64)</f>
        <v>First ReviewBooking Ads Pre ApprovalVN</v>
      </c>
      <c r="J64" s="9" t="n">
        <f aca="false">IFERROR(VLOOKUP(I64,'WFM Q4 Target'!J:K,2,0),"-")</f>
        <v>213.222</v>
      </c>
      <c r="K64" s="9" t="n">
        <v>1447.6251</v>
      </c>
      <c r="L64" s="9" t="n">
        <v>31.5064</v>
      </c>
      <c r="M64" s="9" t="str">
        <f aca="false">IFERROR(IF(K64&gt;J64,"Not Meet Target","Meet Target"),"-")</f>
        <v>Not Meet Target</v>
      </c>
      <c r="N64" s="9" t="str">
        <f aca="false">IFERROR(VLOOKUP(D64,'Team Member List'!B:C,2,0),"")</f>
        <v>TL Lindgren</v>
      </c>
      <c r="O64" s="9" t="s">
        <v>2408</v>
      </c>
    </row>
    <row r="65" customFormat="false" ht="15" hidden="false" customHeight="false" outlineLevel="0" collapsed="false">
      <c r="A65" s="9" t="s">
        <v>63</v>
      </c>
      <c r="B65" s="10"/>
      <c r="C65" s="9"/>
      <c r="D65" s="9" t="s">
        <v>2346</v>
      </c>
      <c r="E65" s="9"/>
      <c r="F65" s="9" t="s">
        <v>974</v>
      </c>
      <c r="G65" s="9" t="s">
        <v>974</v>
      </c>
      <c r="H65" s="9" t="s">
        <v>308</v>
      </c>
      <c r="I65" s="9" t="str">
        <f aca="false">TRIM(A65) &amp; TRIM(F65) &amp; TRIM(H65)</f>
        <v>First ReviewHighlight ViewPL</v>
      </c>
      <c r="J65" s="9" t="n">
        <f aca="false">IFERROR(VLOOKUP(I65,'WFM Q4 Target'!J:K,2,0),"-")</f>
        <v>598.278</v>
      </c>
      <c r="K65" s="9" t="n">
        <v>520.1015</v>
      </c>
      <c r="L65" s="9" t="n">
        <v>0</v>
      </c>
      <c r="M65" s="9" t="str">
        <f aca="false">IFERROR(IF(K65&gt;J65,"Not Meet Target","Meet Target"),"-")</f>
        <v>Meet Target</v>
      </c>
      <c r="N65" s="9" t="str">
        <f aca="false">IFERROR(VLOOKUP(D65,'Team Member List'!B:C,2,0),"")</f>
        <v>TL Lindgren</v>
      </c>
      <c r="O65" s="9" t="s">
        <v>2408</v>
      </c>
    </row>
    <row r="66" customFormat="false" ht="15" hidden="false" customHeight="false" outlineLevel="0" collapsed="false">
      <c r="A66" s="9" t="s">
        <v>63</v>
      </c>
      <c r="B66" s="10"/>
      <c r="C66" s="9"/>
      <c r="D66" s="9" t="s">
        <v>2346</v>
      </c>
      <c r="E66" s="9"/>
      <c r="F66" s="9"/>
      <c r="G66" s="9" t="s">
        <v>974</v>
      </c>
      <c r="H66" s="9" t="s">
        <v>95</v>
      </c>
      <c r="I66" s="9" t="str">
        <f aca="false">TRIM(A66) &amp; TRIM(F66) &amp; TRIM(H66)</f>
        <v>First ReviewVN</v>
      </c>
      <c r="J66" s="9" t="str">
        <f aca="false">IFERROR(VLOOKUP(I66,'WFM Q4 Target'!J:K,2,0),"-")</f>
        <v>-</v>
      </c>
      <c r="K66" s="9" t="n">
        <v>409.7367</v>
      </c>
      <c r="L66" s="9" t="n">
        <v>0</v>
      </c>
      <c r="M66" s="9" t="str">
        <f aca="false">IFERROR(IF(K66&gt;J66,"Not Meet Target","Meet Target"),"-")</f>
        <v>Meet Target</v>
      </c>
      <c r="N66" s="9" t="str">
        <f aca="false">IFERROR(VLOOKUP(D66,'Team Member List'!B:C,2,0),"")</f>
        <v>TL Lindgren</v>
      </c>
      <c r="O66" s="9" t="s">
        <v>2408</v>
      </c>
    </row>
    <row r="67" customFormat="false" ht="15" hidden="false" customHeight="false" outlineLevel="0" collapsed="false">
      <c r="A67" s="9" t="s">
        <v>63</v>
      </c>
      <c r="B67" s="10"/>
      <c r="C67" s="9"/>
      <c r="D67" s="9" t="s">
        <v>2346</v>
      </c>
      <c r="E67" s="9" t="s">
        <v>1432</v>
      </c>
      <c r="F67" s="9" t="s">
        <v>1436</v>
      </c>
      <c r="G67" s="9" t="s">
        <v>1436</v>
      </c>
      <c r="H67" s="9" t="s">
        <v>95</v>
      </c>
      <c r="I67" s="9" t="str">
        <f aca="false">TRIM(A67) &amp; TRIM(F67) &amp; TRIM(H67)</f>
        <v>First ReviewQuest Adv CampaignVN</v>
      </c>
      <c r="J67" s="9" t="n">
        <f aca="false">IFERROR(VLOOKUP(I67,'WFM Q4 Target'!J:K,2,0),"-")</f>
        <v>744.528</v>
      </c>
      <c r="K67" s="9" t="n">
        <v>371.8392</v>
      </c>
      <c r="L67" s="9" t="n">
        <v>0</v>
      </c>
      <c r="M67" s="9" t="str">
        <f aca="false">IFERROR(IF(K67&gt;J67,"Not Meet Target","Meet Target"),"-")</f>
        <v>Meet Target</v>
      </c>
      <c r="N67" s="9" t="str">
        <f aca="false">IFERROR(VLOOKUP(D67,'Team Member List'!B:C,2,0),"")</f>
        <v>TL Lindgren</v>
      </c>
      <c r="O67" s="9" t="s">
        <v>2408</v>
      </c>
    </row>
    <row r="68" customFormat="false" ht="15" hidden="false" customHeight="false" outlineLevel="0" collapsed="false">
      <c r="A68" s="9" t="s">
        <v>63</v>
      </c>
      <c r="B68" s="10"/>
      <c r="C68" s="9" t="s">
        <v>2350</v>
      </c>
      <c r="D68" s="9" t="s">
        <v>2350</v>
      </c>
      <c r="E68" s="9" t="s">
        <v>973</v>
      </c>
      <c r="F68" s="9" t="s">
        <v>974</v>
      </c>
      <c r="G68" s="9" t="s">
        <v>974</v>
      </c>
      <c r="H68" s="9" t="s">
        <v>299</v>
      </c>
      <c r="I68" s="9" t="str">
        <f aca="false">TRIM(A68) &amp; TRIM(F68) &amp; TRIM(H68)</f>
        <v>First ReviewHighlight ViewQA</v>
      </c>
      <c r="J68" s="9" t="n">
        <f aca="false">IFERROR(VLOOKUP(I68,'WFM Q4 Target'!J:K,2,0),"-")</f>
        <v>538.788</v>
      </c>
      <c r="K68" s="9" t="n">
        <v>600.9134</v>
      </c>
      <c r="L68" s="9" t="n">
        <v>0</v>
      </c>
      <c r="M68" s="9" t="str">
        <f aca="false">IFERROR(IF(K68&gt;J68,"Not Meet Target","Meet Target"),"-")</f>
        <v>Not Meet Target</v>
      </c>
      <c r="N68" s="9" t="str">
        <f aca="false">IFERROR(VLOOKUP(D68,'Team Member List'!B:C,2,0),"")</f>
        <v>TL Lindgren</v>
      </c>
      <c r="O68" s="9" t="s">
        <v>2408</v>
      </c>
    </row>
    <row r="69" customFormat="false" ht="15" hidden="false" customHeight="false" outlineLevel="0" collapsed="false">
      <c r="A69" s="9" t="s">
        <v>63</v>
      </c>
      <c r="B69" s="10"/>
      <c r="C69" s="9" t="s">
        <v>2327</v>
      </c>
      <c r="D69" s="9" t="s">
        <v>2327</v>
      </c>
      <c r="E69" s="9" t="s">
        <v>973</v>
      </c>
      <c r="F69" s="9" t="s">
        <v>979</v>
      </c>
      <c r="G69" s="9" t="s">
        <v>979</v>
      </c>
      <c r="H69" s="9" t="s">
        <v>267</v>
      </c>
      <c r="I69" s="9" t="str">
        <f aca="false">TRIM(A69) &amp; TRIM(F69) &amp; TRIM(H69)</f>
        <v>First ReviewBooking Ads Pre ApprovalID</v>
      </c>
      <c r="J69" s="9" t="n">
        <f aca="false">IFERROR(VLOOKUP(I69,'WFM Q4 Target'!J:K,2,0),"-")</f>
        <v>271.992</v>
      </c>
      <c r="K69" s="9" t="n">
        <v>172.6278</v>
      </c>
      <c r="L69" s="9" t="n">
        <v>17.8862</v>
      </c>
      <c r="M69" s="9" t="str">
        <f aca="false">IFERROR(IF(K69&gt;J69,"Not Meet Target","Meet Target"),"-")</f>
        <v>Meet Target</v>
      </c>
      <c r="N69" s="9" t="str">
        <f aca="false">IFERROR(VLOOKUP(D69,'Team Member List'!B:C,2,0),"")</f>
        <v>TL Ramirez</v>
      </c>
      <c r="O69" s="9" t="s">
        <v>2408</v>
      </c>
    </row>
    <row r="70" customFormat="false" ht="15" hidden="false" customHeight="false" outlineLevel="0" collapsed="false">
      <c r="A70" s="9" t="s">
        <v>63</v>
      </c>
      <c r="B70" s="10"/>
      <c r="C70" s="9"/>
      <c r="D70" s="9" t="s">
        <v>2327</v>
      </c>
      <c r="E70" s="9"/>
      <c r="F70" s="9" t="s">
        <v>974</v>
      </c>
      <c r="G70" s="9" t="s">
        <v>974</v>
      </c>
      <c r="H70" s="9" t="s">
        <v>126</v>
      </c>
      <c r="I70" s="9" t="str">
        <f aca="false">TRIM(A70) &amp; TRIM(F70) &amp; TRIM(H70)</f>
        <v>First ReviewHighlight ViewMX</v>
      </c>
      <c r="J70" s="9" t="n">
        <f aca="false">IFERROR(VLOOKUP(I70,'WFM Q4 Target'!J:K,2,0),"-")</f>
        <v>573.366</v>
      </c>
      <c r="K70" s="9" t="n">
        <v>493.8841</v>
      </c>
      <c r="L70" s="9" t="n">
        <v>0</v>
      </c>
      <c r="M70" s="9" t="str">
        <f aca="false">IFERROR(IF(K70&gt;J70,"Not Meet Target","Meet Target"),"-")</f>
        <v>Meet Target</v>
      </c>
      <c r="N70" s="9" t="str">
        <f aca="false">IFERROR(VLOOKUP(D70,'Team Member List'!B:C,2,0),"")</f>
        <v>TL Ramirez</v>
      </c>
      <c r="O70" s="9" t="s">
        <v>2408</v>
      </c>
    </row>
    <row r="71" customFormat="false" ht="15" hidden="false" customHeight="false" outlineLevel="0" collapsed="false">
      <c r="A71" s="9" t="s">
        <v>63</v>
      </c>
      <c r="B71" s="10"/>
      <c r="C71" s="9"/>
      <c r="D71" s="9" t="s">
        <v>2327</v>
      </c>
      <c r="E71" s="9"/>
      <c r="F71" s="9"/>
      <c r="G71" s="9" t="s">
        <v>974</v>
      </c>
      <c r="H71" s="9" t="s">
        <v>284</v>
      </c>
      <c r="I71" s="9" t="str">
        <f aca="false">TRIM(A71) &amp; TRIM(F71) &amp; TRIM(H71)</f>
        <v>First ReviewTR</v>
      </c>
      <c r="J71" s="9" t="str">
        <f aca="false">IFERROR(VLOOKUP(I71,'WFM Q4 Target'!J:K,2,0),"-")</f>
        <v>-</v>
      </c>
      <c r="K71" s="9" t="n">
        <v>474.0815</v>
      </c>
      <c r="L71" s="9" t="n">
        <v>0</v>
      </c>
      <c r="M71" s="9" t="str">
        <f aca="false">IFERROR(IF(K71&gt;J71,"Not Meet Target","Meet Target"),"-")</f>
        <v>Meet Target</v>
      </c>
      <c r="N71" s="9" t="str">
        <f aca="false">IFERROR(VLOOKUP(D71,'Team Member List'!B:C,2,0),"")</f>
        <v>TL Ramirez</v>
      </c>
      <c r="O71" s="9" t="s">
        <v>2408</v>
      </c>
    </row>
    <row r="72" customFormat="false" ht="15" hidden="false" customHeight="false" outlineLevel="0" collapsed="false">
      <c r="A72" s="9" t="s">
        <v>63</v>
      </c>
      <c r="B72" s="10"/>
      <c r="C72" s="9"/>
      <c r="D72" s="9" t="s">
        <v>2327</v>
      </c>
      <c r="E72" s="9" t="s">
        <v>1432</v>
      </c>
      <c r="F72" s="9" t="s">
        <v>1438</v>
      </c>
      <c r="G72" s="9" t="s">
        <v>1438</v>
      </c>
      <c r="H72" s="9" t="s">
        <v>267</v>
      </c>
      <c r="I72" s="9" t="str">
        <f aca="false">TRIM(A72) &amp; TRIM(F72) &amp; TRIM(H72)</f>
        <v>First ReviewQuest Adv VideoID</v>
      </c>
      <c r="J72" s="9" t="n">
        <f aca="false">IFERROR(VLOOKUP(I72,'WFM Q4 Target'!J:K,2,0),"-")</f>
        <v>49.086</v>
      </c>
      <c r="K72" s="9" t="n">
        <v>270.2492</v>
      </c>
      <c r="L72" s="9" t="n">
        <v>47.8519</v>
      </c>
      <c r="M72" s="9" t="str">
        <f aca="false">IFERROR(IF(K72&gt;J72,"Not Meet Target","Meet Target"),"-")</f>
        <v>Not Meet Target</v>
      </c>
      <c r="N72" s="9" t="str">
        <f aca="false">IFERROR(VLOOKUP(D72,'Team Member List'!B:C,2,0),"")</f>
        <v>TL Ramirez</v>
      </c>
      <c r="O72" s="9" t="s">
        <v>2408</v>
      </c>
    </row>
    <row r="73" customFormat="false" ht="15" hidden="false" customHeight="false" outlineLevel="0" collapsed="false">
      <c r="A73" s="9" t="s">
        <v>63</v>
      </c>
      <c r="B73" s="10"/>
      <c r="C73" s="9" t="s">
        <v>2330</v>
      </c>
      <c r="D73" s="9" t="s">
        <v>2330</v>
      </c>
      <c r="E73" s="9" t="s">
        <v>973</v>
      </c>
      <c r="F73" s="9" t="s">
        <v>974</v>
      </c>
      <c r="G73" s="9" t="s">
        <v>974</v>
      </c>
      <c r="H73" s="9" t="s">
        <v>267</v>
      </c>
      <c r="I73" s="9" t="str">
        <f aca="false">TRIM(A73) &amp; TRIM(F73) &amp; TRIM(H73)</f>
        <v>First ReviewHighlight ViewID</v>
      </c>
      <c r="J73" s="9" t="n">
        <f aca="false">IFERROR(VLOOKUP(I73,'WFM Q4 Target'!J:K,2,0),"-")</f>
        <v>590.502</v>
      </c>
      <c r="K73" s="9" t="n">
        <v>446.8342</v>
      </c>
      <c r="L73" s="9" t="n">
        <v>112.7414</v>
      </c>
      <c r="M73" s="9" t="str">
        <f aca="false">IFERROR(IF(K73&gt;J73,"Not Meet Target","Meet Target"),"-")</f>
        <v>Meet Target</v>
      </c>
      <c r="N73" s="9" t="str">
        <f aca="false">IFERROR(VLOOKUP(D73,'Team Member List'!B:C,2,0),"")</f>
        <v>TL Ramirez</v>
      </c>
      <c r="O73" s="9" t="s">
        <v>2408</v>
      </c>
    </row>
    <row r="74" customFormat="false" ht="15" hidden="false" customHeight="false" outlineLevel="0" collapsed="false">
      <c r="A74" s="9" t="s">
        <v>63</v>
      </c>
      <c r="B74" s="10"/>
      <c r="C74" s="9"/>
      <c r="D74" s="9" t="s">
        <v>2330</v>
      </c>
      <c r="E74" s="9" t="s">
        <v>1432</v>
      </c>
      <c r="F74" s="9" t="s">
        <v>1458</v>
      </c>
      <c r="G74" s="9" t="s">
        <v>1458</v>
      </c>
      <c r="H74" s="9" t="s">
        <v>267</v>
      </c>
      <c r="I74" s="9" t="str">
        <f aca="false">TRIM(A74) &amp; TRIM(F74) &amp; TRIM(H74)</f>
        <v>First ReviewHTC Adv VideoID</v>
      </c>
      <c r="J74" s="9" t="str">
        <f aca="false">IFERROR(VLOOKUP(I74,'WFM Q4 Target'!J:K,2,0),"-")</f>
        <v>-</v>
      </c>
      <c r="K74" s="9" t="n">
        <v>855.8714</v>
      </c>
      <c r="L74" s="9" t="n">
        <v>3.9018</v>
      </c>
      <c r="M74" s="9" t="str">
        <f aca="false">IFERROR(IF(K74&gt;J74,"Not Meet Target","Meet Target"),"-")</f>
        <v>Meet Target</v>
      </c>
      <c r="N74" s="9" t="str">
        <f aca="false">IFERROR(VLOOKUP(D74,'Team Member List'!B:C,2,0),"")</f>
        <v>TL Ramirez</v>
      </c>
      <c r="O74" s="9" t="s">
        <v>2408</v>
      </c>
    </row>
    <row r="75" customFormat="false" ht="15" hidden="false" customHeight="false" outlineLevel="0" collapsed="false">
      <c r="A75" s="9" t="s">
        <v>63</v>
      </c>
      <c r="B75" s="10"/>
      <c r="C75" s="9"/>
      <c r="D75" s="9" t="s">
        <v>2330</v>
      </c>
      <c r="E75" s="9"/>
      <c r="F75" s="9" t="s">
        <v>1438</v>
      </c>
      <c r="G75" s="9" t="s">
        <v>1438</v>
      </c>
      <c r="H75" s="9" t="s">
        <v>267</v>
      </c>
      <c r="I75" s="9" t="str">
        <f aca="false">TRIM(A75) &amp; TRIM(F75) &amp; TRIM(H75)</f>
        <v>First ReviewQuest Adv VideoID</v>
      </c>
      <c r="J75" s="9" t="n">
        <f aca="false">IFERROR(VLOOKUP(I75,'WFM Q4 Target'!J:K,2,0),"-")</f>
        <v>49.086</v>
      </c>
      <c r="K75" s="9" t="n">
        <v>227.8735</v>
      </c>
      <c r="L75" s="9" t="n">
        <v>13.9903</v>
      </c>
      <c r="M75" s="9" t="str">
        <f aca="false">IFERROR(IF(K75&gt;J75,"Not Meet Target","Meet Target"),"-")</f>
        <v>Not Meet Target</v>
      </c>
      <c r="N75" s="9" t="str">
        <f aca="false">IFERROR(VLOOKUP(D75,'Team Member List'!B:C,2,0),"")</f>
        <v>TL Ramirez</v>
      </c>
      <c r="O75" s="9" t="s">
        <v>2408</v>
      </c>
    </row>
    <row r="76" customFormat="false" ht="15" hidden="false" customHeight="false" outlineLevel="0" collapsed="false">
      <c r="A76" s="9" t="s">
        <v>66</v>
      </c>
      <c r="B76" s="10"/>
      <c r="C76" s="9" t="s">
        <v>2361</v>
      </c>
      <c r="D76" s="9" t="s">
        <v>2361</v>
      </c>
      <c r="E76" s="9" t="s">
        <v>56</v>
      </c>
      <c r="F76" s="9" t="s">
        <v>57</v>
      </c>
      <c r="G76" s="9" t="s">
        <v>57</v>
      </c>
      <c r="H76" s="9" t="s">
        <v>235</v>
      </c>
      <c r="I76" s="9" t="str">
        <f aca="false">TRIM(A76) &amp; TRIM(F76) &amp; TRIM(H76)</f>
        <v>Posted RecallBid Ad GroupJP</v>
      </c>
      <c r="J76" s="9" t="n">
        <f aca="false">IFERROR(VLOOKUP(I76,'WFM Q4 Target'!J:K,2,0),"-")</f>
        <v>100.644</v>
      </c>
      <c r="K76" s="9" t="n">
        <v>141.3199</v>
      </c>
      <c r="L76" s="9" t="n">
        <v>103.5763</v>
      </c>
      <c r="M76" s="9" t="str">
        <f aca="false">IFERROR(IF(K76&gt;J76,"Not Meet Target","Meet Target"),"-")</f>
        <v>Not Meet Target</v>
      </c>
      <c r="N76" s="9" t="str">
        <f aca="false">IFERROR(VLOOKUP(D76,'Team Member List'!B:C,2,0),"")</f>
        <v>TL Okafor</v>
      </c>
      <c r="O76" s="9" t="s">
        <v>2408</v>
      </c>
    </row>
    <row r="77" customFormat="false" ht="15" hidden="false" customHeight="false" outlineLevel="0" collapsed="false">
      <c r="A77" s="9" t="s">
        <v>66</v>
      </c>
      <c r="B77" s="10"/>
      <c r="C77" s="9"/>
      <c r="D77" s="9" t="s">
        <v>2361</v>
      </c>
      <c r="E77" s="9"/>
      <c r="F77" s="9" t="s">
        <v>75</v>
      </c>
      <c r="G77" s="9" t="s">
        <v>75</v>
      </c>
      <c r="H77" s="9" t="s">
        <v>235</v>
      </c>
      <c r="I77" s="9" t="str">
        <f aca="false">TRIM(A77) &amp; TRIM(F77) &amp; TRIM(H77)</f>
        <v>Posted RecallBid Ecom Ads GroupJP</v>
      </c>
      <c r="J77" s="9" t="n">
        <f aca="false">IFERROR(VLOOKUP(I77,'WFM Q4 Target'!J:K,2,0),"-")</f>
        <v>125.826</v>
      </c>
      <c r="K77" s="9" t="n">
        <v>169.427</v>
      </c>
      <c r="L77" s="9" t="n">
        <v>77.2672</v>
      </c>
      <c r="M77" s="9" t="str">
        <f aca="false">IFERROR(IF(K77&gt;J77,"Not Meet Target","Meet Target"),"-")</f>
        <v>Not Meet Target</v>
      </c>
      <c r="N77" s="9" t="str">
        <f aca="false">IFERROR(VLOOKUP(D77,'Team Member List'!B:C,2,0),"")</f>
        <v>TL Okafor</v>
      </c>
      <c r="O77" s="9" t="s">
        <v>2408</v>
      </c>
    </row>
    <row r="78" customFormat="false" ht="15" hidden="false" customHeight="false" outlineLevel="0" collapsed="false">
      <c r="A78" s="9" t="s">
        <v>66</v>
      </c>
      <c r="B78" s="10"/>
      <c r="C78" s="9" t="s">
        <v>2385</v>
      </c>
      <c r="D78" s="9" t="s">
        <v>2385</v>
      </c>
      <c r="E78" s="9" t="s">
        <v>2009</v>
      </c>
      <c r="F78" s="9" t="s">
        <v>2012</v>
      </c>
      <c r="G78" s="9" t="s">
        <v>2012</v>
      </c>
      <c r="H78" s="9" t="s">
        <v>267</v>
      </c>
      <c r="I78" s="9" t="str">
        <f aca="false">TRIM(A78) &amp; TRIM(F78) &amp; TRIM(H78)</f>
        <v>Posted RecallTrial Install Android AppID</v>
      </c>
      <c r="J78" s="9" t="n">
        <f aca="false">IFERROR(VLOOKUP(I78,'WFM Q4 Target'!J:K,2,0),"-")</f>
        <v>532.764</v>
      </c>
      <c r="K78" s="9" t="n">
        <v>564.8475</v>
      </c>
      <c r="L78" s="9" t="n">
        <v>262.7349</v>
      </c>
      <c r="M78" s="9" t="str">
        <f aca="false">IFERROR(IF(K78&gt;J78,"Not Meet Target","Meet Target"),"-")</f>
        <v>Not Meet Target</v>
      </c>
      <c r="N78" s="9" t="str">
        <f aca="false">IFERROR(VLOOKUP(D78,'Team Member List'!B:C,2,0),"")</f>
        <v>TL Cabrera</v>
      </c>
      <c r="O78" s="9" t="s">
        <v>2408</v>
      </c>
    </row>
    <row r="79" customFormat="false" ht="15" hidden="false" customHeight="false" outlineLevel="0" collapsed="false">
      <c r="A79" s="9" t="s">
        <v>66</v>
      </c>
      <c r="B79" s="10"/>
      <c r="C79" s="9"/>
      <c r="D79" s="9" t="s">
        <v>2385</v>
      </c>
      <c r="E79" s="9"/>
      <c r="F79" s="9"/>
      <c r="G79" s="9" t="s">
        <v>2012</v>
      </c>
      <c r="H79" s="9" t="s">
        <v>95</v>
      </c>
      <c r="I79" s="9" t="str">
        <f aca="false">TRIM(A79) &amp; TRIM(F79) &amp; TRIM(H79)</f>
        <v>Posted RecallVN</v>
      </c>
      <c r="J79" s="9" t="str">
        <f aca="false">IFERROR(VLOOKUP(I79,'WFM Q4 Target'!J:K,2,0),"-")</f>
        <v>-</v>
      </c>
      <c r="K79" s="9" t="n">
        <v>1062.3476</v>
      </c>
      <c r="L79" s="9" t="n">
        <v>271.9161</v>
      </c>
      <c r="M79" s="9" t="str">
        <f aca="false">IFERROR(IF(K79&gt;J79,"Not Meet Target","Meet Target"),"-")</f>
        <v>Meet Target</v>
      </c>
      <c r="N79" s="9" t="str">
        <f aca="false">IFERROR(VLOOKUP(D79,'Team Member List'!B:C,2,0),"")</f>
        <v>TL Cabrera</v>
      </c>
      <c r="O79" s="9" t="s">
        <v>2408</v>
      </c>
    </row>
    <row r="80" customFormat="false" ht="15" hidden="false" customHeight="false" outlineLevel="0" collapsed="false">
      <c r="A80" s="9" t="s">
        <v>66</v>
      </c>
      <c r="B80" s="10"/>
      <c r="C80" s="9" t="s">
        <v>2338</v>
      </c>
      <c r="D80" s="9" t="s">
        <v>2338</v>
      </c>
      <c r="E80" s="9" t="s">
        <v>56</v>
      </c>
      <c r="F80" s="9" t="s">
        <v>57</v>
      </c>
      <c r="G80" s="9" t="s">
        <v>57</v>
      </c>
      <c r="H80" s="9" t="s">
        <v>106</v>
      </c>
      <c r="I80" s="9" t="str">
        <f aca="false">TRIM(A80) &amp; TRIM(F80) &amp; TRIM(H80)</f>
        <v>Posted RecallBid Ad GroupMY</v>
      </c>
      <c r="J80" s="9" t="n">
        <f aca="false">IFERROR(VLOOKUP(I80,'WFM Q4 Target'!J:K,2,0),"-")</f>
        <v>125.562</v>
      </c>
      <c r="K80" s="9" t="n">
        <v>159.7323</v>
      </c>
      <c r="L80" s="9" t="n">
        <v>242.8052</v>
      </c>
      <c r="M80" s="9" t="str">
        <f aca="false">IFERROR(IF(K80&gt;J80,"Not Meet Target","Meet Target"),"-")</f>
        <v>Not Meet Target</v>
      </c>
      <c r="N80" s="9" t="str">
        <f aca="false">IFERROR(VLOOKUP(D80,'Team Member List'!B:C,2,0),"")</f>
        <v>TL Ramirez</v>
      </c>
      <c r="O80" s="9" t="s">
        <v>2408</v>
      </c>
    </row>
    <row r="81" customFormat="false" ht="15" hidden="false" customHeight="false" outlineLevel="0" collapsed="false">
      <c r="A81" s="9" t="s">
        <v>66</v>
      </c>
      <c r="B81" s="10"/>
      <c r="C81" s="9"/>
      <c r="D81" s="9" t="s">
        <v>2338</v>
      </c>
      <c r="E81" s="9"/>
      <c r="F81" s="9" t="s">
        <v>75</v>
      </c>
      <c r="G81" s="9" t="s">
        <v>75</v>
      </c>
      <c r="H81" s="9" t="s">
        <v>58</v>
      </c>
      <c r="I81" s="9" t="str">
        <f aca="false">TRIM(A81) &amp; TRIM(F81) &amp; TRIM(H81)</f>
        <v>Posted RecallBid Ecom Ads GroupSG</v>
      </c>
      <c r="J81" s="9" t="n">
        <f aca="false">IFERROR(VLOOKUP(I81,'WFM Q4 Target'!J:K,2,0),"-")</f>
        <v>132.708</v>
      </c>
      <c r="K81" s="9" t="n">
        <v>178.9802</v>
      </c>
      <c r="L81" s="9" t="n">
        <v>228.1061</v>
      </c>
      <c r="M81" s="9" t="str">
        <f aca="false">IFERROR(IF(K81&gt;J81,"Not Meet Target","Meet Target"),"-")</f>
        <v>Not Meet Target</v>
      </c>
      <c r="N81" s="9" t="str">
        <f aca="false">IFERROR(VLOOKUP(D81,'Team Member List'!B:C,2,0),"")</f>
        <v>TL Ramirez</v>
      </c>
      <c r="O81" s="9" t="s">
        <v>2408</v>
      </c>
    </row>
    <row r="82" customFormat="false" ht="15" hidden="false" customHeight="false" outlineLevel="0" collapsed="false">
      <c r="A82" s="9" t="s">
        <v>66</v>
      </c>
      <c r="B82" s="10"/>
      <c r="C82" s="9" t="s">
        <v>2362</v>
      </c>
      <c r="D82" s="9" t="s">
        <v>2362</v>
      </c>
      <c r="E82" s="9" t="s">
        <v>56</v>
      </c>
      <c r="F82" s="9" t="s">
        <v>57</v>
      </c>
      <c r="G82" s="9" t="s">
        <v>57</v>
      </c>
      <c r="H82" s="9" t="s">
        <v>235</v>
      </c>
      <c r="I82" s="9" t="str">
        <f aca="false">TRIM(A82) &amp; TRIM(F82) &amp; TRIM(H82)</f>
        <v>Posted RecallBid Ad GroupJP</v>
      </c>
      <c r="J82" s="9" t="n">
        <f aca="false">IFERROR(VLOOKUP(I82,'WFM Q4 Target'!J:K,2,0),"-")</f>
        <v>100.644</v>
      </c>
      <c r="K82" s="9" t="n">
        <v>351.804</v>
      </c>
      <c r="L82" s="9" t="n">
        <v>345.6433</v>
      </c>
      <c r="M82" s="9" t="str">
        <f aca="false">IFERROR(IF(K82&gt;J82,"Not Meet Target","Meet Target"),"-")</f>
        <v>Not Meet Target</v>
      </c>
      <c r="N82" s="9" t="str">
        <f aca="false">IFERROR(VLOOKUP(D82,'Team Member List'!B:C,2,0),"")</f>
        <v>TL Okafor</v>
      </c>
      <c r="O82" s="9" t="s">
        <v>2408</v>
      </c>
    </row>
    <row r="83" customFormat="false" ht="15" hidden="false" customHeight="false" outlineLevel="0" collapsed="false">
      <c r="A83" s="9" t="s">
        <v>66</v>
      </c>
      <c r="B83" s="10"/>
      <c r="C83" s="9" t="s">
        <v>2359</v>
      </c>
      <c r="D83" s="9" t="s">
        <v>2359</v>
      </c>
      <c r="E83" s="9" t="s">
        <v>56</v>
      </c>
      <c r="F83" s="9" t="s">
        <v>57</v>
      </c>
      <c r="G83" s="9" t="s">
        <v>57</v>
      </c>
      <c r="H83" s="9" t="s">
        <v>235</v>
      </c>
      <c r="I83" s="9" t="str">
        <f aca="false">TRIM(A83) &amp; TRIM(F83) &amp; TRIM(H83)</f>
        <v>Posted RecallBid Ad GroupJP</v>
      </c>
      <c r="J83" s="9" t="n">
        <f aca="false">IFERROR(VLOOKUP(I83,'WFM Q4 Target'!J:K,2,0),"-")</f>
        <v>100.644</v>
      </c>
      <c r="K83" s="9" t="n">
        <v>154.9175</v>
      </c>
      <c r="L83" s="9" t="n">
        <v>16.6415</v>
      </c>
      <c r="M83" s="9" t="str">
        <f aca="false">IFERROR(IF(K83&gt;J83,"Not Meet Target","Meet Target"),"-")</f>
        <v>Not Meet Target</v>
      </c>
      <c r="N83" s="9" t="str">
        <f aca="false">IFERROR(VLOOKUP(D83,'Team Member List'!B:C,2,0),"")</f>
        <v>TL Okafor</v>
      </c>
      <c r="O83" s="9" t="s">
        <v>2408</v>
      </c>
    </row>
    <row r="84" customFormat="false" ht="15" hidden="false" customHeight="false" outlineLevel="0" collapsed="false">
      <c r="A84" s="9" t="s">
        <v>66</v>
      </c>
      <c r="B84" s="10"/>
      <c r="C84" s="9"/>
      <c r="D84" s="9" t="s">
        <v>2359</v>
      </c>
      <c r="E84" s="9"/>
      <c r="F84" s="9" t="s">
        <v>75</v>
      </c>
      <c r="G84" s="9" t="s">
        <v>75</v>
      </c>
      <c r="H84" s="9" t="s">
        <v>235</v>
      </c>
      <c r="I84" s="9" t="str">
        <f aca="false">TRIM(A84) &amp; TRIM(F84) &amp; TRIM(H84)</f>
        <v>Posted RecallBid Ecom Ads GroupJP</v>
      </c>
      <c r="J84" s="9" t="n">
        <f aca="false">IFERROR(VLOOKUP(I84,'WFM Q4 Target'!J:K,2,0),"-")</f>
        <v>125.826</v>
      </c>
      <c r="K84" s="9" t="n">
        <v>218.6497</v>
      </c>
      <c r="L84" s="9" t="n">
        <v>67.5797</v>
      </c>
      <c r="M84" s="9" t="str">
        <f aca="false">IFERROR(IF(K84&gt;J84,"Not Meet Target","Meet Target"),"-")</f>
        <v>Not Meet Target</v>
      </c>
      <c r="N84" s="9" t="str">
        <f aca="false">IFERROR(VLOOKUP(D84,'Team Member List'!B:C,2,0),"")</f>
        <v>TL Okafor</v>
      </c>
      <c r="O84" s="9" t="s">
        <v>2408</v>
      </c>
    </row>
    <row r="85" customFormat="false" ht="15" hidden="false" customHeight="false" outlineLevel="0" collapsed="false">
      <c r="A85" s="9" t="s">
        <v>66</v>
      </c>
      <c r="B85" s="10"/>
      <c r="C85" s="9" t="s">
        <v>2376</v>
      </c>
      <c r="D85" s="9" t="s">
        <v>2376</v>
      </c>
      <c r="E85" s="9" t="s">
        <v>56</v>
      </c>
      <c r="F85" s="9" t="s">
        <v>57</v>
      </c>
      <c r="G85" s="9" t="s">
        <v>57</v>
      </c>
      <c r="H85" s="9" t="s">
        <v>190</v>
      </c>
      <c r="I85" s="9" t="str">
        <f aca="false">TRIM(A85) &amp; TRIM(F85) &amp; TRIM(H85)</f>
        <v>Posted RecallBid Ad GroupPH</v>
      </c>
      <c r="J85" s="9" t="n">
        <f aca="false">IFERROR(VLOOKUP(I85,'WFM Q4 Target'!J:K,2,0),"-")</f>
        <v>84.18</v>
      </c>
      <c r="K85" s="9" t="n">
        <v>144.0568</v>
      </c>
      <c r="L85" s="9" t="n">
        <v>5.2341</v>
      </c>
      <c r="M85" s="9" t="str">
        <f aca="false">IFERROR(IF(K85&gt;J85,"Not Meet Target","Meet Target"),"-")</f>
        <v>Not Meet Target</v>
      </c>
      <c r="N85" s="9" t="str">
        <f aca="false">IFERROR(VLOOKUP(D85,'Team Member List'!B:C,2,0),"")</f>
        <v>TL Okafor</v>
      </c>
      <c r="O85" s="9" t="s">
        <v>2408</v>
      </c>
    </row>
    <row r="86" customFormat="false" ht="15" hidden="false" customHeight="false" outlineLevel="0" collapsed="false">
      <c r="A86" s="9" t="s">
        <v>66</v>
      </c>
      <c r="B86" s="10"/>
      <c r="C86" s="9" t="s">
        <v>2388</v>
      </c>
      <c r="D86" s="9" t="s">
        <v>2388</v>
      </c>
      <c r="E86" s="9" t="s">
        <v>2009</v>
      </c>
      <c r="F86" s="9" t="s">
        <v>2012</v>
      </c>
      <c r="G86" s="9" t="s">
        <v>2012</v>
      </c>
      <c r="H86" s="9" t="s">
        <v>267</v>
      </c>
      <c r="I86" s="9" t="str">
        <f aca="false">TRIM(A86) &amp; TRIM(F86) &amp; TRIM(H86)</f>
        <v>Posted RecallTrial Install Android AppID</v>
      </c>
      <c r="J86" s="9" t="n">
        <f aca="false">IFERROR(VLOOKUP(I86,'WFM Q4 Target'!J:K,2,0),"-")</f>
        <v>532.764</v>
      </c>
      <c r="K86" s="9" t="n">
        <v>155.1756</v>
      </c>
      <c r="L86" s="9" t="n">
        <v>160.6836</v>
      </c>
      <c r="M86" s="9" t="str">
        <f aca="false">IFERROR(IF(K86&gt;J86,"Not Meet Target","Meet Target"),"-")</f>
        <v>Meet Target</v>
      </c>
      <c r="N86" s="9" t="str">
        <f aca="false">IFERROR(VLOOKUP(D86,'Team Member List'!B:C,2,0),"")</f>
        <v>TL Cabrera</v>
      </c>
      <c r="O86" s="9" t="s">
        <v>2408</v>
      </c>
    </row>
    <row r="87" customFormat="false" ht="15" hidden="false" customHeight="false" outlineLevel="0" collapsed="false">
      <c r="A87" s="9" t="s">
        <v>66</v>
      </c>
      <c r="B87" s="10"/>
      <c r="C87" s="9"/>
      <c r="D87" s="9" t="s">
        <v>2388</v>
      </c>
      <c r="E87" s="9"/>
      <c r="F87" s="9"/>
      <c r="G87" s="9" t="s">
        <v>2012</v>
      </c>
      <c r="H87" s="9" t="s">
        <v>95</v>
      </c>
      <c r="I87" s="9" t="str">
        <f aca="false">TRIM(A87) &amp; TRIM(F87) &amp; TRIM(H87)</f>
        <v>Posted RecallVN</v>
      </c>
      <c r="J87" s="9" t="str">
        <f aca="false">IFERROR(VLOOKUP(I87,'WFM Q4 Target'!J:K,2,0),"-")</f>
        <v>-</v>
      </c>
      <c r="K87" s="9" t="n">
        <v>701.0594</v>
      </c>
      <c r="L87" s="9" t="n">
        <v>615.239</v>
      </c>
      <c r="M87" s="9" t="str">
        <f aca="false">IFERROR(IF(K87&gt;J87,"Not Meet Target","Meet Target"),"-")</f>
        <v>Meet Target</v>
      </c>
      <c r="N87" s="9" t="str">
        <f aca="false">IFERROR(VLOOKUP(D87,'Team Member List'!B:C,2,0),"")</f>
        <v>TL Cabrera</v>
      </c>
      <c r="O87" s="9" t="s">
        <v>2408</v>
      </c>
    </row>
    <row r="88" customFormat="false" ht="15" hidden="false" customHeight="false" outlineLevel="0" collapsed="false">
      <c r="A88" s="9" t="s">
        <v>66</v>
      </c>
      <c r="B88" s="10"/>
      <c r="C88" s="9"/>
      <c r="D88" s="9" t="s">
        <v>2388</v>
      </c>
      <c r="E88" s="9"/>
      <c r="F88" s="9" t="s">
        <v>2010</v>
      </c>
      <c r="G88" s="9" t="s">
        <v>2010</v>
      </c>
      <c r="H88" s="9" t="s">
        <v>95</v>
      </c>
      <c r="I88" s="9" t="str">
        <f aca="false">TRIM(A88) &amp; TRIM(F88) &amp; TRIM(H88)</f>
        <v>Posted RecallTrial Install IOS AppVN</v>
      </c>
      <c r="J88" s="9" t="str">
        <f aca="false">IFERROR(VLOOKUP(I88,'WFM Q4 Target'!J:K,2,0),"-")</f>
        <v>-</v>
      </c>
      <c r="K88" s="9" t="n">
        <v>1933.5826</v>
      </c>
      <c r="L88" s="9" t="n">
        <v>175.4394</v>
      </c>
      <c r="M88" s="9" t="str">
        <f aca="false">IFERROR(IF(K88&gt;J88,"Not Meet Target","Meet Target"),"-")</f>
        <v>Meet Target</v>
      </c>
      <c r="N88" s="9" t="str">
        <f aca="false">IFERROR(VLOOKUP(D88,'Team Member List'!B:C,2,0),"")</f>
        <v>TL Cabrera</v>
      </c>
      <c r="O88" s="9" t="s">
        <v>2408</v>
      </c>
    </row>
    <row r="89" customFormat="false" ht="15" hidden="false" customHeight="false" outlineLevel="0" collapsed="false">
      <c r="A89" s="9" t="s">
        <v>66</v>
      </c>
      <c r="B89" s="10"/>
      <c r="C89" s="9" t="s">
        <v>2332</v>
      </c>
      <c r="D89" s="9" t="s">
        <v>2332</v>
      </c>
      <c r="E89" s="9" t="s">
        <v>56</v>
      </c>
      <c r="F89" s="9" t="s">
        <v>57</v>
      </c>
      <c r="G89" s="9" t="s">
        <v>57</v>
      </c>
      <c r="H89" s="9" t="s">
        <v>267</v>
      </c>
      <c r="I89" s="9" t="str">
        <f aca="false">TRIM(A89) &amp; TRIM(F89) &amp; TRIM(H89)</f>
        <v>Posted RecallBid Ad GroupID</v>
      </c>
      <c r="J89" s="9" t="n">
        <f aca="false">IFERROR(VLOOKUP(I89,'WFM Q4 Target'!J:K,2,0),"-")</f>
        <v>152.274</v>
      </c>
      <c r="K89" s="9" t="n">
        <v>208.2446</v>
      </c>
      <c r="L89" s="9" t="n">
        <v>391.7691</v>
      </c>
      <c r="M89" s="9" t="str">
        <f aca="false">IFERROR(IF(K89&gt;J89,"Not Meet Target","Meet Target"),"-")</f>
        <v>Not Meet Target</v>
      </c>
      <c r="N89" s="9" t="str">
        <f aca="false">IFERROR(VLOOKUP(D89,'Team Member List'!B:C,2,0),"")</f>
        <v>TL Ramirez</v>
      </c>
      <c r="O89" s="9" t="s">
        <v>2408</v>
      </c>
    </row>
    <row r="90" customFormat="false" ht="15" hidden="false" customHeight="false" outlineLevel="0" collapsed="false">
      <c r="A90" s="9" t="s">
        <v>66</v>
      </c>
      <c r="B90" s="10"/>
      <c r="C90" s="9" t="s">
        <v>2330</v>
      </c>
      <c r="D90" s="9" t="s">
        <v>2330</v>
      </c>
      <c r="E90" s="9" t="s">
        <v>56</v>
      </c>
      <c r="F90" s="9" t="s">
        <v>57</v>
      </c>
      <c r="G90" s="9" t="s">
        <v>57</v>
      </c>
      <c r="H90" s="9" t="s">
        <v>267</v>
      </c>
      <c r="I90" s="9" t="str">
        <f aca="false">TRIM(A90) &amp; TRIM(F90) &amp; TRIM(H90)</f>
        <v>Posted RecallBid Ad GroupID</v>
      </c>
      <c r="J90" s="9" t="n">
        <f aca="false">IFERROR(VLOOKUP(I90,'WFM Q4 Target'!J:K,2,0),"-")</f>
        <v>152.274</v>
      </c>
      <c r="K90" s="9" t="n">
        <v>198.0806</v>
      </c>
      <c r="L90" s="9" t="n">
        <v>374.7281</v>
      </c>
      <c r="M90" s="9" t="str">
        <f aca="false">IFERROR(IF(K90&gt;J90,"Not Meet Target","Meet Target"),"-")</f>
        <v>Not Meet Target</v>
      </c>
      <c r="N90" s="9" t="str">
        <f aca="false">IFERROR(VLOOKUP(D90,'Team Member List'!B:C,2,0),"")</f>
        <v>TL Ramirez</v>
      </c>
      <c r="O90" s="9" t="s">
        <v>2408</v>
      </c>
    </row>
  </sheetData>
  <mergeCells count="16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N3:N4"/>
    <mergeCell ref="O3:O4"/>
  </mergeCells>
  <conditionalFormatting sqref="M5:M90">
    <cfRule type="containsText" priority="2" operator="containsText" aboveAverage="0" equalAverage="0" bottom="0" percent="0" rank="0" text="Not Meet Target" dxfId="0">
      <formula>NOT(ISERROR(SEARCH("Not Meet Target",M5)))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2398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2399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8" t="s">
        <v>8</v>
      </c>
      <c r="B3" s="8" t="s">
        <v>8</v>
      </c>
      <c r="C3" s="8" t="s">
        <v>2400</v>
      </c>
      <c r="D3" s="8" t="s">
        <v>2401</v>
      </c>
      <c r="E3" s="8" t="s">
        <v>5</v>
      </c>
      <c r="F3" s="8" t="s">
        <v>6</v>
      </c>
      <c r="G3" s="8" t="s">
        <v>6</v>
      </c>
      <c r="H3" s="8" t="s">
        <v>7</v>
      </c>
      <c r="I3" s="8" t="s">
        <v>13</v>
      </c>
      <c r="J3" s="8" t="s">
        <v>2402</v>
      </c>
      <c r="K3" s="8" t="s">
        <v>2413</v>
      </c>
      <c r="L3" s="8"/>
      <c r="M3" s="8" t="s">
        <v>2404</v>
      </c>
      <c r="N3" s="8" t="s">
        <v>2321</v>
      </c>
      <c r="O3" s="8" t="s">
        <v>2405</v>
      </c>
    </row>
    <row r="4" customFormat="false" ht="23.8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5" t="s">
        <v>2406</v>
      </c>
      <c r="L4" s="3" t="s">
        <v>2407</v>
      </c>
      <c r="M4" s="8"/>
      <c r="N4" s="8"/>
      <c r="O4" s="8"/>
    </row>
    <row r="5" customFormat="false" ht="15" hidden="false" customHeight="false" outlineLevel="0" collapsed="false">
      <c r="A5" s="9" t="s">
        <v>63</v>
      </c>
      <c r="B5" s="10"/>
      <c r="C5" s="9" t="s">
        <v>2333</v>
      </c>
      <c r="D5" s="9" t="s">
        <v>2333</v>
      </c>
      <c r="E5" s="9" t="s">
        <v>973</v>
      </c>
      <c r="F5" s="9" t="s">
        <v>974</v>
      </c>
      <c r="G5" s="9" t="s">
        <v>974</v>
      </c>
      <c r="H5" s="9" t="s">
        <v>267</v>
      </c>
      <c r="I5" s="9" t="str">
        <f aca="false">TRIM(A5) &amp; TRIM(F5) &amp; TRIM(H5)</f>
        <v>First ReviewHighlight ViewID</v>
      </c>
      <c r="J5" s="9" t="n">
        <f aca="false">IFERROR(VLOOKUP(I5,'WFM Q4 Target'!J:K,2,0),"-")</f>
        <v>590.502</v>
      </c>
      <c r="K5" s="9" t="n">
        <v>168.7811</v>
      </c>
      <c r="L5" s="9" t="n">
        <v>0</v>
      </c>
      <c r="M5" s="9" t="str">
        <f aca="false">IFERROR(IF(K5&gt;J5,"Not Meet Target","Meet Target"),"-")</f>
        <v>Meet Target</v>
      </c>
      <c r="N5" s="9" t="str">
        <f aca="false">IFERROR(VLOOKUP(D5,'Team Member List'!B:C,2,0),"")</f>
        <v>TL Ramirez</v>
      </c>
      <c r="O5" s="9" t="s">
        <v>2408</v>
      </c>
    </row>
    <row r="6" customFormat="false" ht="15" hidden="false" customHeight="false" outlineLevel="0" collapsed="false">
      <c r="A6" s="9" t="s">
        <v>63</v>
      </c>
      <c r="B6" s="10"/>
      <c r="C6" s="9"/>
      <c r="D6" s="9" t="s">
        <v>2333</v>
      </c>
      <c r="E6" s="9" t="s">
        <v>1346</v>
      </c>
      <c r="F6" s="9" t="s">
        <v>1347</v>
      </c>
      <c r="G6" s="9" t="s">
        <v>1347</v>
      </c>
      <c r="H6" s="9" t="s">
        <v>267</v>
      </c>
      <c r="I6" s="9" t="str">
        <f aca="false">TRIM(A6) &amp; TRIM(F6) &amp; TRIM(H6)</f>
        <v>First ReviewFX StudioID</v>
      </c>
      <c r="J6" s="9" t="str">
        <f aca="false">IFERROR(VLOOKUP(I6,'WFM Q4 Target'!J:K,2,0),"-")</f>
        <v>-</v>
      </c>
      <c r="K6" s="9" t="n">
        <v>179.1294</v>
      </c>
      <c r="L6" s="9" t="n">
        <v>11.7094</v>
      </c>
      <c r="M6" s="9" t="str">
        <f aca="false">IFERROR(IF(K6&gt;J6,"Not Meet Target","Meet Target"),"-")</f>
        <v>Meet Target</v>
      </c>
      <c r="N6" s="9" t="str">
        <f aca="false">IFERROR(VLOOKUP(D6,'Team Member List'!B:C,2,0),"")</f>
        <v>TL Ramirez</v>
      </c>
      <c r="O6" s="9" t="s">
        <v>2408</v>
      </c>
    </row>
    <row r="7" customFormat="false" ht="15" hidden="false" customHeight="false" outlineLevel="0" collapsed="false">
      <c r="A7" s="9" t="s">
        <v>63</v>
      </c>
      <c r="B7" s="10"/>
      <c r="C7" s="9"/>
      <c r="D7" s="9" t="s">
        <v>2333</v>
      </c>
      <c r="E7" s="9" t="s">
        <v>1432</v>
      </c>
      <c r="F7" s="9" t="s">
        <v>1458</v>
      </c>
      <c r="G7" s="9" t="s">
        <v>1458</v>
      </c>
      <c r="H7" s="9" t="s">
        <v>267</v>
      </c>
      <c r="I7" s="9" t="str">
        <f aca="false">TRIM(A7) &amp; TRIM(F7) &amp; TRIM(H7)</f>
        <v>First ReviewHTC Adv VideoID</v>
      </c>
      <c r="J7" s="9" t="str">
        <f aca="false">IFERROR(VLOOKUP(I7,'WFM Q4 Target'!J:K,2,0),"-")</f>
        <v>-</v>
      </c>
      <c r="K7" s="9" t="n">
        <v>537.5845</v>
      </c>
      <c r="L7" s="9" t="n">
        <v>101.4063</v>
      </c>
      <c r="M7" s="9" t="str">
        <f aca="false">IFERROR(IF(K7&gt;J7,"Not Meet Target","Meet Target"),"-")</f>
        <v>Meet Target</v>
      </c>
      <c r="N7" s="9" t="str">
        <f aca="false">IFERROR(VLOOKUP(D7,'Team Member List'!B:C,2,0),"")</f>
        <v>TL Ramirez</v>
      </c>
      <c r="O7" s="9" t="s">
        <v>2408</v>
      </c>
    </row>
    <row r="8" customFormat="false" ht="15" hidden="false" customHeight="false" outlineLevel="0" collapsed="false">
      <c r="A8" s="9" t="s">
        <v>63</v>
      </c>
      <c r="B8" s="10"/>
      <c r="C8" s="9" t="s">
        <v>2338</v>
      </c>
      <c r="D8" s="9" t="s">
        <v>2338</v>
      </c>
      <c r="E8" s="9" t="s">
        <v>973</v>
      </c>
      <c r="F8" s="9" t="s">
        <v>989</v>
      </c>
      <c r="G8" s="9" t="s">
        <v>989</v>
      </c>
      <c r="H8" s="9" t="s">
        <v>106</v>
      </c>
      <c r="I8" s="9" t="str">
        <f aca="false">TRIM(A8) &amp; TRIM(F8) &amp; TRIM(H8)</f>
        <v>First ReviewMedia AdsMY</v>
      </c>
      <c r="J8" s="9" t="str">
        <f aca="false">IFERROR(VLOOKUP(I8,'WFM Q4 Target'!J:K,2,0),"-")</f>
        <v>-</v>
      </c>
      <c r="K8" s="9" t="n">
        <v>139.552</v>
      </c>
      <c r="L8" s="9" t="n">
        <v>0</v>
      </c>
      <c r="M8" s="9" t="str">
        <f aca="false">IFERROR(IF(K8&gt;J8,"Not Meet Target","Meet Target"),"-")</f>
        <v>Meet Target</v>
      </c>
      <c r="N8" s="9" t="str">
        <f aca="false">IFERROR(VLOOKUP(D8,'Team Member List'!B:C,2,0),"")</f>
        <v>TL Ramirez</v>
      </c>
      <c r="O8" s="9" t="s">
        <v>2408</v>
      </c>
    </row>
    <row r="9" customFormat="false" ht="15" hidden="false" customHeight="false" outlineLevel="0" collapsed="false">
      <c r="A9" s="9" t="s">
        <v>63</v>
      </c>
      <c r="B9" s="10"/>
      <c r="C9" s="9"/>
      <c r="D9" s="9" t="s">
        <v>2338</v>
      </c>
      <c r="E9" s="9"/>
      <c r="F9" s="9" t="s">
        <v>979</v>
      </c>
      <c r="G9" s="9" t="s">
        <v>979</v>
      </c>
      <c r="H9" s="9" t="s">
        <v>58</v>
      </c>
      <c r="I9" s="9" t="str">
        <f aca="false">TRIM(A9) &amp; TRIM(F9) &amp; TRIM(H9)</f>
        <v>First ReviewBooking Ads Pre ApprovalSG</v>
      </c>
      <c r="J9" s="9" t="n">
        <f aca="false">IFERROR(VLOOKUP(I9,'WFM Q4 Target'!J:K,2,0),"-")</f>
        <v>59.52</v>
      </c>
      <c r="K9" s="9" t="n">
        <v>146.9394</v>
      </c>
      <c r="L9" s="9" t="n">
        <v>21.9393</v>
      </c>
      <c r="M9" s="9" t="str">
        <f aca="false">IFERROR(IF(K9&gt;J9,"Not Meet Target","Meet Target"),"-")</f>
        <v>Not Meet Target</v>
      </c>
      <c r="N9" s="9" t="str">
        <f aca="false">IFERROR(VLOOKUP(D9,'Team Member List'!B:C,2,0),"")</f>
        <v>TL Ramirez</v>
      </c>
      <c r="O9" s="9" t="s">
        <v>2408</v>
      </c>
    </row>
    <row r="10" customFormat="false" ht="15" hidden="false" customHeight="false" outlineLevel="0" collapsed="false">
      <c r="A10" s="9" t="s">
        <v>63</v>
      </c>
      <c r="B10" s="10"/>
      <c r="C10" s="9"/>
      <c r="D10" s="9" t="s">
        <v>2338</v>
      </c>
      <c r="E10" s="9" t="s">
        <v>1432</v>
      </c>
      <c r="F10" s="9" t="s">
        <v>1440</v>
      </c>
      <c r="G10" s="9" t="s">
        <v>1440</v>
      </c>
      <c r="H10" s="9" t="s">
        <v>267</v>
      </c>
      <c r="I10" s="9" t="str">
        <f aca="false">TRIM(A10) &amp; TRIM(F10) &amp; TRIM(H10)</f>
        <v>First ReviewHTC Adv CampaignID</v>
      </c>
      <c r="J10" s="9" t="n">
        <f aca="false">IFERROR(VLOOKUP(I10,'WFM Q4 Target'!J:K,2,0),"-")</f>
        <v>48.804</v>
      </c>
      <c r="K10" s="9" t="n">
        <v>145.697</v>
      </c>
      <c r="L10" s="9" t="n">
        <v>0</v>
      </c>
      <c r="M10" s="9" t="str">
        <f aca="false">IFERROR(IF(K10&gt;J10,"Not Meet Target","Meet Target"),"-")</f>
        <v>Not Meet Target</v>
      </c>
      <c r="N10" s="9" t="str">
        <f aca="false">IFERROR(VLOOKUP(D10,'Team Member List'!B:C,2,0),"")</f>
        <v>TL Ramirez</v>
      </c>
      <c r="O10" s="9" t="s">
        <v>2408</v>
      </c>
    </row>
    <row r="11" customFormat="false" ht="15" hidden="false" customHeight="false" outlineLevel="0" collapsed="false">
      <c r="A11" s="9" t="s">
        <v>63</v>
      </c>
      <c r="B11" s="10"/>
      <c r="C11" s="9" t="s">
        <v>2355</v>
      </c>
      <c r="D11" s="9" t="s">
        <v>2355</v>
      </c>
      <c r="E11" s="9" t="s">
        <v>973</v>
      </c>
      <c r="F11" s="9" t="s">
        <v>979</v>
      </c>
      <c r="G11" s="9" t="s">
        <v>979</v>
      </c>
      <c r="H11" s="9" t="s">
        <v>100</v>
      </c>
      <c r="I11" s="9" t="str">
        <f aca="false">TRIM(A11) &amp; TRIM(F11) &amp; TRIM(H11)</f>
        <v>First ReviewBooking Ads Pre ApprovalAU</v>
      </c>
      <c r="J11" s="9" t="n">
        <f aca="false">IFERROR(VLOOKUP(I11,'WFM Q4 Target'!J:K,2,0),"-")</f>
        <v>174.66</v>
      </c>
      <c r="K11" s="9" t="n">
        <v>459.9484</v>
      </c>
      <c r="L11" s="9" t="n">
        <v>50.3055</v>
      </c>
      <c r="M11" s="9" t="str">
        <f aca="false">IFERROR(IF(K11&gt;J11,"Not Meet Target","Meet Target"),"-")</f>
        <v>Not Meet Target</v>
      </c>
      <c r="N11" s="9" t="str">
        <f aca="false">IFERROR(VLOOKUP(D11,'Team Member List'!B:C,2,0),"")</f>
        <v>TL Lindgren</v>
      </c>
      <c r="O11" s="9" t="s">
        <v>2408</v>
      </c>
    </row>
    <row r="12" customFormat="false" ht="15" hidden="false" customHeight="false" outlineLevel="0" collapsed="false">
      <c r="A12" s="9" t="s">
        <v>63</v>
      </c>
      <c r="B12" s="10"/>
      <c r="C12" s="9"/>
      <c r="D12" s="9" t="s">
        <v>2355</v>
      </c>
      <c r="E12" s="9"/>
      <c r="F12" s="9"/>
      <c r="G12" s="9" t="s">
        <v>979</v>
      </c>
      <c r="H12" s="9" t="s">
        <v>255</v>
      </c>
      <c r="I12" s="9" t="str">
        <f aca="false">TRIM(A12) &amp; TRIM(F12) &amp; TRIM(H12)</f>
        <v>First ReviewNZ</v>
      </c>
      <c r="J12" s="9" t="str">
        <f aca="false">IFERROR(VLOOKUP(I12,'WFM Q4 Target'!J:K,2,0),"-")</f>
        <v>-</v>
      </c>
      <c r="K12" s="9" t="n">
        <v>397.492</v>
      </c>
      <c r="L12" s="9" t="n">
        <v>26.8987</v>
      </c>
      <c r="M12" s="9" t="str">
        <f aca="false">IFERROR(IF(K12&gt;J12,"Not Meet Target","Meet Target"),"-")</f>
        <v>Meet Target</v>
      </c>
      <c r="N12" s="9" t="str">
        <f aca="false">IFERROR(VLOOKUP(D12,'Team Member List'!B:C,2,0),"")</f>
        <v>TL Lindgren</v>
      </c>
      <c r="O12" s="9" t="s">
        <v>2408</v>
      </c>
    </row>
    <row r="13" customFormat="false" ht="15" hidden="false" customHeight="false" outlineLevel="0" collapsed="false">
      <c r="A13" s="9" t="s">
        <v>63</v>
      </c>
      <c r="B13" s="10"/>
      <c r="C13" s="9"/>
      <c r="D13" s="9" t="s">
        <v>2355</v>
      </c>
      <c r="E13" s="9"/>
      <c r="F13" s="9" t="s">
        <v>974</v>
      </c>
      <c r="G13" s="9" t="s">
        <v>974</v>
      </c>
      <c r="H13" s="9" t="s">
        <v>100</v>
      </c>
      <c r="I13" s="9" t="str">
        <f aca="false">TRIM(A13) &amp; TRIM(F13) &amp; TRIM(H13)</f>
        <v>First ReviewHighlight ViewAU</v>
      </c>
      <c r="J13" s="9" t="n">
        <f aca="false">IFERROR(VLOOKUP(I13,'WFM Q4 Target'!J:K,2,0),"-")</f>
        <v>172.554</v>
      </c>
      <c r="K13" s="9" t="n">
        <v>142.9165</v>
      </c>
      <c r="L13" s="9" t="n">
        <v>0</v>
      </c>
      <c r="M13" s="9" t="str">
        <f aca="false">IFERROR(IF(K13&gt;J13,"Not Meet Target","Meet Target"),"-")</f>
        <v>Meet Target</v>
      </c>
      <c r="N13" s="9" t="str">
        <f aca="false">IFERROR(VLOOKUP(D13,'Team Member List'!B:C,2,0),"")</f>
        <v>TL Lindgren</v>
      </c>
      <c r="O13" s="9" t="s">
        <v>2408</v>
      </c>
    </row>
    <row r="14" customFormat="false" ht="15" hidden="false" customHeight="false" outlineLevel="0" collapsed="false">
      <c r="A14" s="9" t="s">
        <v>63</v>
      </c>
      <c r="B14" s="10"/>
      <c r="C14" s="9"/>
      <c r="D14" s="9" t="s">
        <v>2355</v>
      </c>
      <c r="E14" s="9"/>
      <c r="F14" s="9"/>
      <c r="G14" s="9" t="s">
        <v>974</v>
      </c>
      <c r="H14" s="9" t="s">
        <v>210</v>
      </c>
      <c r="I14" s="9" t="str">
        <f aca="false">TRIM(A14) &amp; TRIM(F14) &amp; TRIM(H14)</f>
        <v>First ReviewPK</v>
      </c>
      <c r="J14" s="9" t="str">
        <f aca="false">IFERROR(VLOOKUP(I14,'WFM Q4 Target'!J:K,2,0),"-")</f>
        <v>-</v>
      </c>
      <c r="K14" s="9" t="n">
        <v>584.6415</v>
      </c>
      <c r="L14" s="9" t="n">
        <v>0</v>
      </c>
      <c r="M14" s="9" t="str">
        <f aca="false">IFERROR(IF(K14&gt;J14,"Not Meet Target","Meet Target"),"-")</f>
        <v>Meet Target</v>
      </c>
      <c r="N14" s="9" t="str">
        <f aca="false">IFERROR(VLOOKUP(D14,'Team Member List'!B:C,2,0),"")</f>
        <v>TL Lindgren</v>
      </c>
      <c r="O14" s="9" t="s">
        <v>2408</v>
      </c>
    </row>
    <row r="15" customFormat="false" ht="15" hidden="false" customHeight="false" outlineLevel="0" collapsed="false">
      <c r="A15" s="9" t="s">
        <v>63</v>
      </c>
      <c r="B15" s="10"/>
      <c r="C15" s="9" t="s">
        <v>2365</v>
      </c>
      <c r="D15" s="9" t="s">
        <v>2365</v>
      </c>
      <c r="E15" s="9" t="s">
        <v>973</v>
      </c>
      <c r="F15" s="9" t="s">
        <v>974</v>
      </c>
      <c r="G15" s="9" t="s">
        <v>974</v>
      </c>
      <c r="H15" s="9" t="s">
        <v>121</v>
      </c>
      <c r="I15" s="9" t="str">
        <f aca="false">TRIM(A15) &amp; TRIM(F15) &amp; TRIM(H15)</f>
        <v>First ReviewHighlight ViewKR</v>
      </c>
      <c r="J15" s="9" t="n">
        <f aca="false">IFERROR(VLOOKUP(I15,'WFM Q4 Target'!J:K,2,0),"-")</f>
        <v>57.264</v>
      </c>
      <c r="K15" s="9" t="n">
        <v>116.7029</v>
      </c>
      <c r="L15" s="9" t="n">
        <v>0</v>
      </c>
      <c r="M15" s="9" t="str">
        <f aca="false">IFERROR(IF(K15&gt;J15,"Not Meet Target","Meet Target"),"-")</f>
        <v>Not Meet Target</v>
      </c>
      <c r="N15" s="9" t="str">
        <f aca="false">IFERROR(VLOOKUP(D15,'Team Member List'!B:C,2,0),"")</f>
        <v>TL Okafor</v>
      </c>
      <c r="O15" s="9" t="s">
        <v>2408</v>
      </c>
    </row>
    <row r="16" customFormat="false" ht="15" hidden="false" customHeight="false" outlineLevel="0" collapsed="false">
      <c r="A16" s="9" t="s">
        <v>63</v>
      </c>
      <c r="B16" s="10"/>
      <c r="C16" s="9" t="s">
        <v>2345</v>
      </c>
      <c r="D16" s="9" t="s">
        <v>2345</v>
      </c>
      <c r="E16" s="9" t="s">
        <v>973</v>
      </c>
      <c r="F16" s="9" t="s">
        <v>974</v>
      </c>
      <c r="G16" s="9" t="s">
        <v>974</v>
      </c>
      <c r="H16" s="9" t="s">
        <v>87</v>
      </c>
      <c r="I16" s="9" t="str">
        <f aca="false">TRIM(A16) &amp; TRIM(F16) &amp; TRIM(H16)</f>
        <v>First ReviewHighlight ViewAE</v>
      </c>
      <c r="J16" s="9" t="n">
        <f aca="false">IFERROR(VLOOKUP(I16,'WFM Q4 Target'!J:K,2,0),"-")</f>
        <v>6.33</v>
      </c>
      <c r="K16" s="9" t="n">
        <v>1180.2302</v>
      </c>
      <c r="L16" s="9" t="n">
        <v>0</v>
      </c>
      <c r="M16" s="9" t="str">
        <f aca="false">IFERROR(IF(K16&gt;J16,"Not Meet Target","Meet Target"),"-")</f>
        <v>Not Meet Target</v>
      </c>
      <c r="N16" s="9" t="str">
        <f aca="false">IFERROR(VLOOKUP(D16,'Team Member List'!B:C,2,0),"")</f>
        <v>TL Lindgren</v>
      </c>
      <c r="O16" s="9" t="s">
        <v>2408</v>
      </c>
    </row>
    <row r="17" customFormat="false" ht="15" hidden="false" customHeight="false" outlineLevel="0" collapsed="false">
      <c r="A17" s="9" t="s">
        <v>63</v>
      </c>
      <c r="B17" s="10"/>
      <c r="C17" s="9"/>
      <c r="D17" s="9" t="s">
        <v>2345</v>
      </c>
      <c r="E17" s="9"/>
      <c r="F17" s="9"/>
      <c r="G17" s="9" t="s">
        <v>974</v>
      </c>
      <c r="H17" s="9" t="s">
        <v>126</v>
      </c>
      <c r="I17" s="9" t="str">
        <f aca="false">TRIM(A17) &amp; TRIM(F17) &amp; TRIM(H17)</f>
        <v>First ReviewMX</v>
      </c>
      <c r="J17" s="9" t="str">
        <f aca="false">IFERROR(VLOOKUP(I17,'WFM Q4 Target'!J:K,2,0),"-")</f>
        <v>-</v>
      </c>
      <c r="K17" s="9" t="n">
        <v>1639.5899</v>
      </c>
      <c r="L17" s="9" t="n">
        <v>0</v>
      </c>
      <c r="M17" s="9" t="str">
        <f aca="false">IFERROR(IF(K17&gt;J17,"Not Meet Target","Meet Target"),"-")</f>
        <v>Meet Target</v>
      </c>
      <c r="N17" s="9" t="str">
        <f aca="false">IFERROR(VLOOKUP(D17,'Team Member List'!B:C,2,0),"")</f>
        <v>TL Lindgren</v>
      </c>
      <c r="O17" s="9" t="s">
        <v>2408</v>
      </c>
    </row>
    <row r="18" customFormat="false" ht="15" hidden="false" customHeight="false" outlineLevel="0" collapsed="false">
      <c r="A18" s="9" t="s">
        <v>63</v>
      </c>
      <c r="B18" s="10"/>
      <c r="C18" s="9" t="s">
        <v>2340</v>
      </c>
      <c r="D18" s="9" t="s">
        <v>2340</v>
      </c>
      <c r="E18" s="9" t="s">
        <v>56</v>
      </c>
      <c r="F18" s="9" t="s">
        <v>57</v>
      </c>
      <c r="G18" s="9" t="s">
        <v>57</v>
      </c>
      <c r="H18" s="9" t="s">
        <v>95</v>
      </c>
      <c r="I18" s="9" t="str">
        <f aca="false">TRIM(A18) &amp; TRIM(F18) &amp; TRIM(H18)</f>
        <v>First ReviewBid Ad GroupVN</v>
      </c>
      <c r="J18" s="9" t="n">
        <f aca="false">IFERROR(VLOOKUP(I18,'WFM Q4 Target'!J:K,2,0),"-")</f>
        <v>220.83</v>
      </c>
      <c r="K18" s="9" t="n">
        <v>336.602</v>
      </c>
      <c r="L18" s="9" t="n">
        <v>336.2922</v>
      </c>
      <c r="M18" s="9" t="str">
        <f aca="false">IFERROR(IF(K18&gt;J18,"Not Meet Target","Meet Target"),"-")</f>
        <v>Not Meet Target</v>
      </c>
      <c r="N18" s="9" t="str">
        <f aca="false">IFERROR(VLOOKUP(D18,'Team Member List'!B:C,2,0),"")</f>
        <v>TL Lindgren</v>
      </c>
      <c r="O18" s="9" t="s">
        <v>2408</v>
      </c>
    </row>
    <row r="19" customFormat="false" ht="15" hidden="false" customHeight="false" outlineLevel="0" collapsed="false">
      <c r="A19" s="9" t="s">
        <v>63</v>
      </c>
      <c r="B19" s="10"/>
      <c r="C19" s="9"/>
      <c r="D19" s="9" t="s">
        <v>2340</v>
      </c>
      <c r="E19" s="9" t="s">
        <v>973</v>
      </c>
      <c r="F19" s="9" t="s">
        <v>974</v>
      </c>
      <c r="G19" s="9" t="s">
        <v>974</v>
      </c>
      <c r="H19" s="9" t="s">
        <v>271</v>
      </c>
      <c r="I19" s="9" t="str">
        <f aca="false">TRIM(A19) &amp; TRIM(F19) &amp; TRIM(H19)</f>
        <v>First ReviewHighlight ViewKW</v>
      </c>
      <c r="J19" s="9" t="n">
        <f aca="false">IFERROR(VLOOKUP(I19,'WFM Q4 Target'!J:K,2,0),"-")</f>
        <v>531.936</v>
      </c>
      <c r="K19" s="9" t="n">
        <v>255.4296</v>
      </c>
      <c r="L19" s="9" t="n">
        <v>0</v>
      </c>
      <c r="M19" s="9" t="str">
        <f aca="false">IFERROR(IF(K19&gt;J19,"Not Meet Target","Meet Target"),"-")</f>
        <v>Meet Target</v>
      </c>
      <c r="N19" s="9" t="str">
        <f aca="false">IFERROR(VLOOKUP(D19,'Team Member List'!B:C,2,0),"")</f>
        <v>TL Lindgren</v>
      </c>
      <c r="O19" s="9" t="s">
        <v>2408</v>
      </c>
    </row>
    <row r="20" customFormat="false" ht="15" hidden="false" customHeight="false" outlineLevel="0" collapsed="false">
      <c r="A20" s="9" t="s">
        <v>63</v>
      </c>
      <c r="B20" s="10"/>
      <c r="C20" s="9" t="s">
        <v>2337</v>
      </c>
      <c r="D20" s="9" t="s">
        <v>2337</v>
      </c>
      <c r="E20" s="9" t="s">
        <v>973</v>
      </c>
      <c r="F20" s="9" t="s">
        <v>2409</v>
      </c>
      <c r="G20" s="9" t="s">
        <v>2409</v>
      </c>
      <c r="H20" s="9" t="s">
        <v>58</v>
      </c>
      <c r="I20" s="9" t="str">
        <f aca="false">TRIM(A20) &amp; TRIM(F20) &amp; TRIM(H20)</f>
        <v>First ReviewESTSG</v>
      </c>
      <c r="J20" s="9" t="str">
        <f aca="false">IFERROR(VLOOKUP(I20,'WFM Q4 Target'!J:K,2,0),"-")</f>
        <v>-</v>
      </c>
      <c r="K20" s="9" t="n">
        <v>155.8226</v>
      </c>
      <c r="L20" s="9" t="n">
        <v>0</v>
      </c>
      <c r="M20" s="9" t="str">
        <f aca="false">IFERROR(IF(K20&gt;J20,"Not Meet Target","Meet Target"),"-")</f>
        <v>Meet Target</v>
      </c>
      <c r="N20" s="9" t="str">
        <f aca="false">IFERROR(VLOOKUP(D20,'Team Member List'!B:C,2,0),"")</f>
        <v>TL Ramirez</v>
      </c>
      <c r="O20" s="9" t="s">
        <v>2408</v>
      </c>
    </row>
    <row r="21" customFormat="false" ht="15" hidden="false" customHeight="false" outlineLevel="0" collapsed="false">
      <c r="A21" s="9" t="s">
        <v>63</v>
      </c>
      <c r="B21" s="10"/>
      <c r="C21" s="9"/>
      <c r="D21" s="9" t="s">
        <v>2337</v>
      </c>
      <c r="E21" s="9"/>
      <c r="F21" s="9" t="s">
        <v>974</v>
      </c>
      <c r="G21" s="9" t="s">
        <v>974</v>
      </c>
      <c r="H21" s="9" t="s">
        <v>58</v>
      </c>
      <c r="I21" s="9" t="str">
        <f aca="false">TRIM(A21) &amp; TRIM(F21) &amp; TRIM(H21)</f>
        <v>First ReviewHighlight ViewSG</v>
      </c>
      <c r="J21" s="9" t="n">
        <f aca="false">IFERROR(VLOOKUP(I21,'WFM Q4 Target'!J:K,2,0),"-")</f>
        <v>225.912</v>
      </c>
      <c r="K21" s="9" t="n">
        <v>151.4091</v>
      </c>
      <c r="L21" s="9" t="n">
        <v>0</v>
      </c>
      <c r="M21" s="9" t="str">
        <f aca="false">IFERROR(IF(K21&gt;J21,"Not Meet Target","Meet Target"),"-")</f>
        <v>Meet Target</v>
      </c>
      <c r="N21" s="9" t="str">
        <f aca="false">IFERROR(VLOOKUP(D21,'Team Member List'!B:C,2,0),"")</f>
        <v>TL Ramirez</v>
      </c>
      <c r="O21" s="9" t="s">
        <v>2408</v>
      </c>
    </row>
    <row r="22" customFormat="false" ht="15" hidden="false" customHeight="false" outlineLevel="0" collapsed="false">
      <c r="A22" s="9" t="s">
        <v>63</v>
      </c>
      <c r="B22" s="10"/>
      <c r="C22" s="9" t="s">
        <v>2374</v>
      </c>
      <c r="D22" s="9" t="s">
        <v>2374</v>
      </c>
      <c r="E22" s="9" t="s">
        <v>973</v>
      </c>
      <c r="F22" s="9" t="s">
        <v>974</v>
      </c>
      <c r="G22" s="9" t="s">
        <v>974</v>
      </c>
      <c r="H22" s="9" t="s">
        <v>210</v>
      </c>
      <c r="I22" s="9" t="str">
        <f aca="false">TRIM(A22) &amp; TRIM(F22) &amp; TRIM(H22)</f>
        <v>First ReviewHighlight ViewPK</v>
      </c>
      <c r="J22" s="9" t="n">
        <f aca="false">IFERROR(VLOOKUP(I22,'WFM Q4 Target'!J:K,2,0),"-")</f>
        <v>778.074</v>
      </c>
      <c r="K22" s="9" t="n">
        <v>272.0688</v>
      </c>
      <c r="L22" s="9" t="n">
        <v>0</v>
      </c>
      <c r="M22" s="9" t="str">
        <f aca="false">IFERROR(IF(K22&gt;J22,"Not Meet Target","Meet Target"),"-")</f>
        <v>Meet Target</v>
      </c>
      <c r="N22" s="9" t="str">
        <f aca="false">IFERROR(VLOOKUP(D22,'Team Member List'!B:C,2,0),"")</f>
        <v>TL Okafor</v>
      </c>
      <c r="O22" s="9" t="s">
        <v>2408</v>
      </c>
    </row>
    <row r="23" customFormat="false" ht="15" hidden="false" customHeight="false" outlineLevel="0" collapsed="false">
      <c r="A23" s="9" t="s">
        <v>63</v>
      </c>
      <c r="B23" s="10"/>
      <c r="C23" s="9" t="s">
        <v>2323</v>
      </c>
      <c r="D23" s="9" t="s">
        <v>2323</v>
      </c>
      <c r="E23" s="9" t="s">
        <v>973</v>
      </c>
      <c r="F23" s="9" t="s">
        <v>979</v>
      </c>
      <c r="G23" s="9" t="s">
        <v>979</v>
      </c>
      <c r="H23" s="9" t="s">
        <v>267</v>
      </c>
      <c r="I23" s="9" t="str">
        <f aca="false">TRIM(A23) &amp; TRIM(F23) &amp; TRIM(H23)</f>
        <v>First ReviewBooking Ads Pre ApprovalID</v>
      </c>
      <c r="J23" s="9" t="n">
        <f aca="false">IFERROR(VLOOKUP(I23,'WFM Q4 Target'!J:K,2,0),"-")</f>
        <v>271.992</v>
      </c>
      <c r="K23" s="9" t="n">
        <v>194.146</v>
      </c>
      <c r="L23" s="9" t="n">
        <v>8.8229</v>
      </c>
      <c r="M23" s="9" t="str">
        <f aca="false">IFERROR(IF(K23&gt;J23,"Not Meet Target","Meet Target"),"-")</f>
        <v>Meet Target</v>
      </c>
      <c r="N23" s="9" t="str">
        <f aca="false">IFERROR(VLOOKUP(D23,'Team Member List'!B:C,2,0),"")</f>
        <v>TL Ramirez</v>
      </c>
      <c r="O23" s="9" t="s">
        <v>2408</v>
      </c>
    </row>
    <row r="24" customFormat="false" ht="15" hidden="false" customHeight="false" outlineLevel="0" collapsed="false">
      <c r="A24" s="9" t="s">
        <v>63</v>
      </c>
      <c r="B24" s="10"/>
      <c r="C24" s="9"/>
      <c r="D24" s="9" t="s">
        <v>2323</v>
      </c>
      <c r="E24" s="9"/>
      <c r="F24" s="9" t="s">
        <v>974</v>
      </c>
      <c r="G24" s="9" t="s">
        <v>974</v>
      </c>
      <c r="H24" s="9" t="s">
        <v>267</v>
      </c>
      <c r="I24" s="9" t="str">
        <f aca="false">TRIM(A24) &amp; TRIM(F24) &amp; TRIM(H24)</f>
        <v>First ReviewHighlight ViewID</v>
      </c>
      <c r="J24" s="9" t="n">
        <f aca="false">IFERROR(VLOOKUP(I24,'WFM Q4 Target'!J:K,2,0),"-")</f>
        <v>590.502</v>
      </c>
      <c r="K24" s="9" t="n">
        <v>130.2193</v>
      </c>
      <c r="L24" s="9" t="n">
        <v>0</v>
      </c>
      <c r="M24" s="9" t="str">
        <f aca="false">IFERROR(IF(K24&gt;J24,"Not Meet Target","Meet Target"),"-")</f>
        <v>Meet Target</v>
      </c>
      <c r="N24" s="9" t="str">
        <f aca="false">IFERROR(VLOOKUP(D24,'Team Member List'!B:C,2,0),"")</f>
        <v>TL Ramirez</v>
      </c>
      <c r="O24" s="9" t="s">
        <v>2408</v>
      </c>
    </row>
    <row r="25" customFormat="false" ht="15" hidden="false" customHeight="false" outlineLevel="0" collapsed="false">
      <c r="A25" s="9" t="s">
        <v>63</v>
      </c>
      <c r="B25" s="10"/>
      <c r="C25" s="9"/>
      <c r="D25" s="9" t="s">
        <v>2323</v>
      </c>
      <c r="E25" s="9"/>
      <c r="F25" s="9"/>
      <c r="G25" s="9" t="s">
        <v>974</v>
      </c>
      <c r="H25" s="9" t="s">
        <v>195</v>
      </c>
      <c r="I25" s="9" t="str">
        <f aca="false">TRIM(A25) &amp; TRIM(F25) &amp; TRIM(H25)</f>
        <v>First ReviewIT</v>
      </c>
      <c r="J25" s="9" t="str">
        <f aca="false">IFERROR(VLOOKUP(I25,'WFM Q4 Target'!J:K,2,0),"-")</f>
        <v>-</v>
      </c>
      <c r="K25" s="9" t="n">
        <v>578.1483</v>
      </c>
      <c r="L25" s="9" t="n">
        <v>0</v>
      </c>
      <c r="M25" s="9" t="str">
        <f aca="false">IFERROR(IF(K25&gt;J25,"Not Meet Target","Meet Target"),"-")</f>
        <v>Meet Target</v>
      </c>
      <c r="N25" s="9" t="str">
        <f aca="false">IFERROR(VLOOKUP(D25,'Team Member List'!B:C,2,0),"")</f>
        <v>TL Ramirez</v>
      </c>
      <c r="O25" s="9" t="s">
        <v>2408</v>
      </c>
    </row>
    <row r="26" customFormat="false" ht="15" hidden="false" customHeight="false" outlineLevel="0" collapsed="false">
      <c r="A26" s="9" t="s">
        <v>63</v>
      </c>
      <c r="B26" s="10"/>
      <c r="C26" s="9"/>
      <c r="D26" s="9" t="s">
        <v>2323</v>
      </c>
      <c r="E26" s="9"/>
      <c r="F26" s="9"/>
      <c r="G26" s="9" t="s">
        <v>974</v>
      </c>
      <c r="H26" s="9" t="s">
        <v>106</v>
      </c>
      <c r="I26" s="9" t="str">
        <f aca="false">TRIM(A26) &amp; TRIM(F26) &amp; TRIM(H26)</f>
        <v>First ReviewMY</v>
      </c>
      <c r="J26" s="9" t="str">
        <f aca="false">IFERROR(VLOOKUP(I26,'WFM Q4 Target'!J:K,2,0),"-")</f>
        <v>-</v>
      </c>
      <c r="K26" s="9" t="n">
        <v>531.55</v>
      </c>
      <c r="L26" s="9" t="n">
        <v>0</v>
      </c>
      <c r="M26" s="9" t="str">
        <f aca="false">IFERROR(IF(K26&gt;J26,"Not Meet Target","Meet Target"),"-")</f>
        <v>Meet Target</v>
      </c>
      <c r="N26" s="9" t="str">
        <f aca="false">IFERROR(VLOOKUP(D26,'Team Member List'!B:C,2,0),"")</f>
        <v>TL Ramirez</v>
      </c>
      <c r="O26" s="9" t="s">
        <v>2408</v>
      </c>
    </row>
    <row r="27" customFormat="false" ht="15" hidden="false" customHeight="false" outlineLevel="0" collapsed="false">
      <c r="A27" s="9" t="s">
        <v>63</v>
      </c>
      <c r="B27" s="10"/>
      <c r="C27" s="9"/>
      <c r="D27" s="9" t="s">
        <v>2323</v>
      </c>
      <c r="E27" s="9"/>
      <c r="F27" s="9"/>
      <c r="G27" s="9" t="s">
        <v>974</v>
      </c>
      <c r="H27" s="9" t="s">
        <v>210</v>
      </c>
      <c r="I27" s="9" t="str">
        <f aca="false">TRIM(A27) &amp; TRIM(F27) &amp; TRIM(H27)</f>
        <v>First ReviewPK</v>
      </c>
      <c r="J27" s="9" t="str">
        <f aca="false">IFERROR(VLOOKUP(I27,'WFM Q4 Target'!J:K,2,0),"-")</f>
        <v>-</v>
      </c>
      <c r="K27" s="9" t="n">
        <v>377.9578</v>
      </c>
      <c r="L27" s="9" t="n">
        <v>0</v>
      </c>
      <c r="M27" s="9" t="str">
        <f aca="false">IFERROR(IF(K27&gt;J27,"Not Meet Target","Meet Target"),"-")</f>
        <v>Meet Target</v>
      </c>
      <c r="N27" s="9" t="str">
        <f aca="false">IFERROR(VLOOKUP(D27,'Team Member List'!B:C,2,0),"")</f>
        <v>TL Ramirez</v>
      </c>
      <c r="O27" s="9" t="s">
        <v>2408</v>
      </c>
    </row>
    <row r="28" customFormat="false" ht="15" hidden="false" customHeight="false" outlineLevel="0" collapsed="false">
      <c r="A28" s="9" t="s">
        <v>63</v>
      </c>
      <c r="B28" s="10"/>
      <c r="C28" s="9"/>
      <c r="D28" s="9" t="s">
        <v>2323</v>
      </c>
      <c r="E28" s="9" t="s">
        <v>1432</v>
      </c>
      <c r="F28" s="9" t="s">
        <v>1498</v>
      </c>
      <c r="G28" s="9" t="s">
        <v>1498</v>
      </c>
      <c r="H28" s="9" t="s">
        <v>267</v>
      </c>
      <c r="I28" s="9" t="str">
        <f aca="false">TRIM(A28) &amp; TRIM(F28) &amp; TRIM(H28)</f>
        <v>First ReviewBE Adv CampaignID</v>
      </c>
      <c r="J28" s="9" t="str">
        <f aca="false">IFERROR(VLOOKUP(I28,'WFM Q4 Target'!J:K,2,0),"-")</f>
        <v>-</v>
      </c>
      <c r="K28" s="9" t="n">
        <v>499.9482</v>
      </c>
      <c r="L28" s="9" t="n">
        <v>0</v>
      </c>
      <c r="M28" s="9" t="str">
        <f aca="false">IFERROR(IF(K28&gt;J28,"Not Meet Target","Meet Target"),"-")</f>
        <v>Meet Target</v>
      </c>
      <c r="N28" s="9" t="str">
        <f aca="false">IFERROR(VLOOKUP(D28,'Team Member List'!B:C,2,0),"")</f>
        <v>TL Ramirez</v>
      </c>
      <c r="O28" s="9" t="s">
        <v>2408</v>
      </c>
    </row>
    <row r="29" customFormat="false" ht="15" hidden="false" customHeight="false" outlineLevel="0" collapsed="false">
      <c r="A29" s="9" t="s">
        <v>63</v>
      </c>
      <c r="B29" s="10"/>
      <c r="C29" s="9" t="s">
        <v>2346</v>
      </c>
      <c r="D29" s="9" t="s">
        <v>2346</v>
      </c>
      <c r="E29" s="9" t="s">
        <v>56</v>
      </c>
      <c r="F29" s="9" t="s">
        <v>57</v>
      </c>
      <c r="G29" s="9" t="s">
        <v>57</v>
      </c>
      <c r="H29" s="9" t="s">
        <v>95</v>
      </c>
      <c r="I29" s="9" t="str">
        <f aca="false">TRIM(A29) &amp; TRIM(F29) &amp; TRIM(H29)</f>
        <v>First ReviewBid Ad GroupVN</v>
      </c>
      <c r="J29" s="9" t="n">
        <f aca="false">IFERROR(VLOOKUP(I29,'WFM Q4 Target'!J:K,2,0),"-")</f>
        <v>220.83</v>
      </c>
      <c r="K29" s="9" t="n">
        <v>1295.5074</v>
      </c>
      <c r="L29" s="9" t="n">
        <v>69.7989</v>
      </c>
      <c r="M29" s="9" t="str">
        <f aca="false">IFERROR(IF(K29&gt;J29,"Not Meet Target","Meet Target"),"-")</f>
        <v>Not Meet Target</v>
      </c>
      <c r="N29" s="9" t="str">
        <f aca="false">IFERROR(VLOOKUP(D29,'Team Member List'!B:C,2,0),"")</f>
        <v>TL Lindgren</v>
      </c>
      <c r="O29" s="9" t="s">
        <v>2408</v>
      </c>
    </row>
    <row r="30" customFormat="false" ht="15" hidden="false" customHeight="false" outlineLevel="0" collapsed="false">
      <c r="A30" s="9" t="s">
        <v>63</v>
      </c>
      <c r="B30" s="10"/>
      <c r="C30" s="9"/>
      <c r="D30" s="9" t="s">
        <v>2346</v>
      </c>
      <c r="E30" s="9" t="s">
        <v>973</v>
      </c>
      <c r="F30" s="9" t="s">
        <v>979</v>
      </c>
      <c r="G30" s="9" t="s">
        <v>979</v>
      </c>
      <c r="H30" s="9" t="s">
        <v>95</v>
      </c>
      <c r="I30" s="9" t="str">
        <f aca="false">TRIM(A30) &amp; TRIM(F30) &amp; TRIM(H30)</f>
        <v>First ReviewBooking Ads Pre ApprovalVN</v>
      </c>
      <c r="J30" s="9" t="n">
        <f aca="false">IFERROR(VLOOKUP(I30,'WFM Q4 Target'!J:K,2,0),"-")</f>
        <v>213.222</v>
      </c>
      <c r="K30" s="9" t="n">
        <v>626.8435</v>
      </c>
      <c r="L30" s="9" t="n">
        <v>35.219</v>
      </c>
      <c r="M30" s="9" t="str">
        <f aca="false">IFERROR(IF(K30&gt;J30,"Not Meet Target","Meet Target"),"-")</f>
        <v>Not Meet Target</v>
      </c>
      <c r="N30" s="9" t="str">
        <f aca="false">IFERROR(VLOOKUP(D30,'Team Member List'!B:C,2,0),"")</f>
        <v>TL Lindgren</v>
      </c>
      <c r="O30" s="9" t="s">
        <v>2408</v>
      </c>
    </row>
    <row r="31" customFormat="false" ht="15" hidden="false" customHeight="false" outlineLevel="0" collapsed="false">
      <c r="A31" s="9" t="s">
        <v>63</v>
      </c>
      <c r="B31" s="10"/>
      <c r="C31" s="9"/>
      <c r="D31" s="9" t="s">
        <v>2346</v>
      </c>
      <c r="E31" s="9"/>
      <c r="F31" s="9" t="s">
        <v>974</v>
      </c>
      <c r="G31" s="9" t="s">
        <v>974</v>
      </c>
      <c r="H31" s="9" t="s">
        <v>95</v>
      </c>
      <c r="I31" s="9" t="str">
        <f aca="false">TRIM(A31) &amp; TRIM(F31) &amp; TRIM(H31)</f>
        <v>First ReviewHighlight ViewVN</v>
      </c>
      <c r="J31" s="9" t="n">
        <f aca="false">IFERROR(VLOOKUP(I31,'WFM Q4 Target'!J:K,2,0),"-")</f>
        <v>286.158</v>
      </c>
      <c r="K31" s="9" t="n">
        <v>251.038</v>
      </c>
      <c r="L31" s="9" t="n">
        <v>0</v>
      </c>
      <c r="M31" s="9" t="str">
        <f aca="false">IFERROR(IF(K31&gt;J31,"Not Meet Target","Meet Target"),"-")</f>
        <v>Meet Target</v>
      </c>
      <c r="N31" s="9" t="str">
        <f aca="false">IFERROR(VLOOKUP(D31,'Team Member List'!B:C,2,0),"")</f>
        <v>TL Lindgren</v>
      </c>
      <c r="O31" s="9" t="s">
        <v>2408</v>
      </c>
    </row>
    <row r="32" customFormat="false" ht="15" hidden="false" customHeight="false" outlineLevel="0" collapsed="false">
      <c r="A32" s="9" t="s">
        <v>63</v>
      </c>
      <c r="B32" s="10"/>
      <c r="C32" s="9" t="s">
        <v>2334</v>
      </c>
      <c r="D32" s="9" t="s">
        <v>2334</v>
      </c>
      <c r="E32" s="9" t="s">
        <v>973</v>
      </c>
      <c r="F32" s="9" t="s">
        <v>974</v>
      </c>
      <c r="G32" s="9" t="s">
        <v>974</v>
      </c>
      <c r="H32" s="9" t="s">
        <v>267</v>
      </c>
      <c r="I32" s="9" t="str">
        <f aca="false">TRIM(A32) &amp; TRIM(F32) &amp; TRIM(H32)</f>
        <v>First ReviewHighlight ViewID</v>
      </c>
      <c r="J32" s="9" t="n">
        <f aca="false">IFERROR(VLOOKUP(I32,'WFM Q4 Target'!J:K,2,0),"-")</f>
        <v>590.502</v>
      </c>
      <c r="K32" s="9" t="n">
        <v>182.6082</v>
      </c>
      <c r="L32" s="9" t="n">
        <v>0</v>
      </c>
      <c r="M32" s="9" t="str">
        <f aca="false">IFERROR(IF(K32&gt;J32,"Not Meet Target","Meet Target"),"-")</f>
        <v>Meet Target</v>
      </c>
      <c r="N32" s="9" t="str">
        <f aca="false">IFERROR(VLOOKUP(D32,'Team Member List'!B:C,2,0),"")</f>
        <v>TL Ramirez</v>
      </c>
      <c r="O32" s="9" t="s">
        <v>2408</v>
      </c>
    </row>
    <row r="33" customFormat="false" ht="15" hidden="false" customHeight="false" outlineLevel="0" collapsed="false">
      <c r="A33" s="9" t="s">
        <v>63</v>
      </c>
      <c r="B33" s="10"/>
      <c r="C33" s="9" t="s">
        <v>2387</v>
      </c>
      <c r="D33" s="9" t="s">
        <v>2387</v>
      </c>
      <c r="E33" s="9" t="s">
        <v>973</v>
      </c>
      <c r="F33" s="9" t="s">
        <v>979</v>
      </c>
      <c r="G33" s="9" t="s">
        <v>979</v>
      </c>
      <c r="H33" s="9" t="s">
        <v>58</v>
      </c>
      <c r="I33" s="9" t="str">
        <f aca="false">TRIM(A33) &amp; TRIM(F33) &amp; TRIM(H33)</f>
        <v>First ReviewBooking Ads Pre ApprovalSG</v>
      </c>
      <c r="J33" s="9" t="n">
        <f aca="false">IFERROR(VLOOKUP(I33,'WFM Q4 Target'!J:K,2,0),"-")</f>
        <v>59.52</v>
      </c>
      <c r="K33" s="9" t="n">
        <v>386.1044</v>
      </c>
      <c r="L33" s="9" t="n">
        <v>6.009</v>
      </c>
      <c r="M33" s="9" t="str">
        <f aca="false">IFERROR(IF(K33&gt;J33,"Not Meet Target","Meet Target"),"-")</f>
        <v>Not Meet Target</v>
      </c>
      <c r="N33" s="9" t="str">
        <f aca="false">IFERROR(VLOOKUP(D33,'Team Member List'!B:C,2,0),"")</f>
        <v>TL Cabrera</v>
      </c>
      <c r="O33" s="9" t="s">
        <v>2408</v>
      </c>
    </row>
    <row r="34" customFormat="false" ht="15" hidden="false" customHeight="false" outlineLevel="0" collapsed="false">
      <c r="A34" s="9" t="s">
        <v>63</v>
      </c>
      <c r="B34" s="10"/>
      <c r="C34" s="9" t="s">
        <v>2375</v>
      </c>
      <c r="D34" s="9" t="s">
        <v>2375</v>
      </c>
      <c r="E34" s="9" t="s">
        <v>1432</v>
      </c>
      <c r="F34" s="9" t="s">
        <v>1438</v>
      </c>
      <c r="G34" s="9" t="s">
        <v>1438</v>
      </c>
      <c r="H34" s="9" t="s">
        <v>190</v>
      </c>
      <c r="I34" s="9" t="str">
        <f aca="false">TRIM(A34) &amp; TRIM(F34) &amp; TRIM(H34)</f>
        <v>First ReviewQuest Adv VideoPH</v>
      </c>
      <c r="J34" s="9" t="n">
        <f aca="false">IFERROR(VLOOKUP(I34,'WFM Q4 Target'!J:K,2,0),"-")</f>
        <v>13.278</v>
      </c>
      <c r="K34" s="9" t="n">
        <v>280.1882</v>
      </c>
      <c r="L34" s="9" t="n">
        <v>10.9207</v>
      </c>
      <c r="M34" s="9" t="str">
        <f aca="false">IFERROR(IF(K34&gt;J34,"Not Meet Target","Meet Target"),"-")</f>
        <v>Not Meet Target</v>
      </c>
      <c r="N34" s="9" t="str">
        <f aca="false">IFERROR(VLOOKUP(D34,'Team Member List'!B:C,2,0),"")</f>
        <v>TL Okafor</v>
      </c>
      <c r="O34" s="9" t="s">
        <v>2408</v>
      </c>
    </row>
    <row r="35" customFormat="false" ht="15" hidden="false" customHeight="false" outlineLevel="0" collapsed="false">
      <c r="A35" s="9" t="s">
        <v>63</v>
      </c>
      <c r="B35" s="10"/>
      <c r="C35" s="9" t="s">
        <v>2362</v>
      </c>
      <c r="D35" s="9" t="s">
        <v>2362</v>
      </c>
      <c r="E35" s="9" t="s">
        <v>973</v>
      </c>
      <c r="F35" s="9" t="s">
        <v>979</v>
      </c>
      <c r="G35" s="9" t="s">
        <v>979</v>
      </c>
      <c r="H35" s="9" t="s">
        <v>235</v>
      </c>
      <c r="I35" s="9" t="str">
        <f aca="false">TRIM(A35) &amp; TRIM(F35) &amp; TRIM(H35)</f>
        <v>First ReviewBooking Ads Pre ApprovalJP</v>
      </c>
      <c r="J35" s="9" t="n">
        <f aca="false">IFERROR(VLOOKUP(I35,'WFM Q4 Target'!J:K,2,0),"-")</f>
        <v>788.154</v>
      </c>
      <c r="K35" s="9" t="n">
        <v>179.7305</v>
      </c>
      <c r="L35" s="9" t="n">
        <v>12.8813</v>
      </c>
      <c r="M35" s="9" t="str">
        <f aca="false">IFERROR(IF(K35&gt;J35,"Not Meet Target","Meet Target"),"-")</f>
        <v>Meet Target</v>
      </c>
      <c r="N35" s="9" t="str">
        <f aca="false">IFERROR(VLOOKUP(D35,'Team Member List'!B:C,2,0),"")</f>
        <v>TL Okafor</v>
      </c>
      <c r="O35" s="9" t="s">
        <v>2408</v>
      </c>
    </row>
    <row r="36" customFormat="false" ht="15" hidden="false" customHeight="false" outlineLevel="0" collapsed="false">
      <c r="A36" s="9" t="s">
        <v>63</v>
      </c>
      <c r="B36" s="10"/>
      <c r="C36" s="9" t="s">
        <v>2330</v>
      </c>
      <c r="D36" s="9" t="s">
        <v>2330</v>
      </c>
      <c r="E36" s="9" t="s">
        <v>1432</v>
      </c>
      <c r="F36" s="9" t="s">
        <v>1438</v>
      </c>
      <c r="G36" s="9" t="s">
        <v>1438</v>
      </c>
      <c r="H36" s="9" t="s">
        <v>267</v>
      </c>
      <c r="I36" s="9" t="str">
        <f aca="false">TRIM(A36) &amp; TRIM(F36) &amp; TRIM(H36)</f>
        <v>First ReviewQuest Adv VideoID</v>
      </c>
      <c r="J36" s="9" t="n">
        <f aca="false">IFERROR(VLOOKUP(I36,'WFM Q4 Target'!J:K,2,0),"-")</f>
        <v>49.086</v>
      </c>
      <c r="K36" s="9" t="n">
        <v>99.2646</v>
      </c>
      <c r="L36" s="9" t="n">
        <v>31.8211</v>
      </c>
      <c r="M36" s="9" t="str">
        <f aca="false">IFERROR(IF(K36&gt;J36,"Not Meet Target","Meet Target"),"-")</f>
        <v>Not Meet Target</v>
      </c>
      <c r="N36" s="9" t="str">
        <f aca="false">IFERROR(VLOOKUP(D36,'Team Member List'!B:C,2,0),"")</f>
        <v>TL Ramirez</v>
      </c>
      <c r="O36" s="9" t="s">
        <v>2408</v>
      </c>
    </row>
    <row r="37" customFormat="false" ht="15" hidden="false" customHeight="false" outlineLevel="0" collapsed="false">
      <c r="A37" s="9" t="s">
        <v>63</v>
      </c>
      <c r="B37" s="10"/>
      <c r="C37" s="9" t="s">
        <v>2361</v>
      </c>
      <c r="D37" s="9" t="s">
        <v>2361</v>
      </c>
      <c r="E37" s="9" t="s">
        <v>973</v>
      </c>
      <c r="F37" s="9" t="s">
        <v>974</v>
      </c>
      <c r="G37" s="9" t="s">
        <v>974</v>
      </c>
      <c r="H37" s="9" t="s">
        <v>235</v>
      </c>
      <c r="I37" s="9" t="str">
        <f aca="false">TRIM(A37) &amp; TRIM(F37) &amp; TRIM(H37)</f>
        <v>First ReviewHighlight ViewJP</v>
      </c>
      <c r="J37" s="9" t="n">
        <f aca="false">IFERROR(VLOOKUP(I37,'WFM Q4 Target'!J:K,2,0),"-")</f>
        <v>759.402</v>
      </c>
      <c r="K37" s="9" t="n">
        <v>590.1577</v>
      </c>
      <c r="L37" s="9" t="n">
        <v>0</v>
      </c>
      <c r="M37" s="9" t="str">
        <f aca="false">IFERROR(IF(K37&gt;J37,"Not Meet Target","Meet Target"),"-")</f>
        <v>Meet Target</v>
      </c>
      <c r="N37" s="9" t="str">
        <f aca="false">IFERROR(VLOOKUP(D37,'Team Member List'!B:C,2,0),"")</f>
        <v>TL Okafor</v>
      </c>
      <c r="O37" s="9" t="s">
        <v>2408</v>
      </c>
    </row>
    <row r="38" customFormat="false" ht="15" hidden="false" customHeight="false" outlineLevel="0" collapsed="false">
      <c r="A38" s="9" t="s">
        <v>63</v>
      </c>
      <c r="B38" s="10"/>
      <c r="C38" s="9" t="s">
        <v>2336</v>
      </c>
      <c r="D38" s="9" t="s">
        <v>2336</v>
      </c>
      <c r="E38" s="9" t="s">
        <v>973</v>
      </c>
      <c r="F38" s="9" t="s">
        <v>979</v>
      </c>
      <c r="G38" s="9" t="s">
        <v>979</v>
      </c>
      <c r="H38" s="9" t="s">
        <v>58</v>
      </c>
      <c r="I38" s="9" t="str">
        <f aca="false">TRIM(A38) &amp; TRIM(F38) &amp; TRIM(H38)</f>
        <v>First ReviewBooking Ads Pre ApprovalSG</v>
      </c>
      <c r="J38" s="9" t="n">
        <f aca="false">IFERROR(VLOOKUP(I38,'WFM Q4 Target'!J:K,2,0),"-")</f>
        <v>59.52</v>
      </c>
      <c r="K38" s="9" t="n">
        <v>253.2216</v>
      </c>
      <c r="L38" s="9" t="n">
        <v>69.1455</v>
      </c>
      <c r="M38" s="9" t="str">
        <f aca="false">IFERROR(IF(K38&gt;J38,"Not Meet Target","Meet Target"),"-")</f>
        <v>Not Meet Target</v>
      </c>
      <c r="N38" s="9" t="str">
        <f aca="false">IFERROR(VLOOKUP(D38,'Team Member List'!B:C,2,0),"")</f>
        <v>TL Ramirez</v>
      </c>
      <c r="O38" s="9" t="s">
        <v>2408</v>
      </c>
    </row>
    <row r="39" customFormat="false" ht="15" hidden="false" customHeight="false" outlineLevel="0" collapsed="false">
      <c r="A39" s="9" t="s">
        <v>63</v>
      </c>
      <c r="B39" s="10"/>
      <c r="C39" s="9"/>
      <c r="D39" s="9" t="s">
        <v>2336</v>
      </c>
      <c r="E39" s="9"/>
      <c r="F39" s="9" t="s">
        <v>974</v>
      </c>
      <c r="G39" s="9" t="s">
        <v>974</v>
      </c>
      <c r="H39" s="9" t="s">
        <v>58</v>
      </c>
      <c r="I39" s="9" t="str">
        <f aca="false">TRIM(A39) &amp; TRIM(F39) &amp; TRIM(H39)</f>
        <v>First ReviewHighlight ViewSG</v>
      </c>
      <c r="J39" s="9" t="n">
        <f aca="false">IFERROR(VLOOKUP(I39,'WFM Q4 Target'!J:K,2,0),"-")</f>
        <v>225.912</v>
      </c>
      <c r="K39" s="9" t="n">
        <v>146.5702</v>
      </c>
      <c r="L39" s="9" t="n">
        <v>0</v>
      </c>
      <c r="M39" s="9" t="str">
        <f aca="false">IFERROR(IF(K39&gt;J39,"Not Meet Target","Meet Target"),"-")</f>
        <v>Meet Target</v>
      </c>
      <c r="N39" s="9" t="str">
        <f aca="false">IFERROR(VLOOKUP(D39,'Team Member List'!B:C,2,0),"")</f>
        <v>TL Ramirez</v>
      </c>
      <c r="O39" s="9" t="s">
        <v>2408</v>
      </c>
    </row>
    <row r="40" customFormat="false" ht="15" hidden="false" customHeight="false" outlineLevel="0" collapsed="false">
      <c r="A40" s="9" t="s">
        <v>63</v>
      </c>
      <c r="B40" s="10"/>
      <c r="C40" s="9"/>
      <c r="D40" s="9" t="s">
        <v>2336</v>
      </c>
      <c r="E40" s="9" t="s">
        <v>1432</v>
      </c>
      <c r="F40" s="9" t="s">
        <v>1440</v>
      </c>
      <c r="G40" s="9" t="s">
        <v>1440</v>
      </c>
      <c r="H40" s="9" t="s">
        <v>106</v>
      </c>
      <c r="I40" s="9" t="str">
        <f aca="false">TRIM(A40) &amp; TRIM(F40) &amp; TRIM(H40)</f>
        <v>First ReviewHTC Adv CampaignMY</v>
      </c>
      <c r="J40" s="9" t="n">
        <f aca="false">IFERROR(VLOOKUP(I40,'WFM Q4 Target'!J:K,2,0),"-")</f>
        <v>96.534</v>
      </c>
      <c r="K40" s="9" t="n">
        <v>196.6465</v>
      </c>
      <c r="L40" s="9" t="n">
        <v>0</v>
      </c>
      <c r="M40" s="9" t="str">
        <f aca="false">IFERROR(IF(K40&gt;J40,"Not Meet Target","Meet Target"),"-")</f>
        <v>Not Meet Target</v>
      </c>
      <c r="N40" s="9" t="str">
        <f aca="false">IFERROR(VLOOKUP(D40,'Team Member List'!B:C,2,0),"")</f>
        <v>TL Ramirez</v>
      </c>
      <c r="O40" s="9" t="s">
        <v>2408</v>
      </c>
    </row>
    <row r="41" customFormat="false" ht="15" hidden="false" customHeight="false" outlineLevel="0" collapsed="false">
      <c r="A41" s="9" t="s">
        <v>63</v>
      </c>
      <c r="B41" s="10"/>
      <c r="C41" s="9"/>
      <c r="D41" s="9" t="s">
        <v>2336</v>
      </c>
      <c r="E41" s="9"/>
      <c r="F41" s="9" t="s">
        <v>1436</v>
      </c>
      <c r="G41" s="9" t="s">
        <v>1436</v>
      </c>
      <c r="H41" s="9" t="s">
        <v>106</v>
      </c>
      <c r="I41" s="9" t="str">
        <f aca="false">TRIM(A41) &amp; TRIM(F41) &amp; TRIM(H41)</f>
        <v>First ReviewQuest Adv CampaignMY</v>
      </c>
      <c r="J41" s="9" t="n">
        <f aca="false">IFERROR(VLOOKUP(I41,'WFM Q4 Target'!J:K,2,0),"-")</f>
        <v>47.592</v>
      </c>
      <c r="K41" s="9" t="n">
        <v>369.7195</v>
      </c>
      <c r="L41" s="9" t="n">
        <v>0</v>
      </c>
      <c r="M41" s="9" t="str">
        <f aca="false">IFERROR(IF(K41&gt;J41,"Not Meet Target","Meet Target"),"-")</f>
        <v>Not Meet Target</v>
      </c>
      <c r="N41" s="9" t="str">
        <f aca="false">IFERROR(VLOOKUP(D41,'Team Member List'!B:C,2,0),"")</f>
        <v>TL Ramirez</v>
      </c>
      <c r="O41" s="9" t="s">
        <v>2408</v>
      </c>
    </row>
    <row r="42" customFormat="false" ht="15" hidden="false" customHeight="false" outlineLevel="0" collapsed="false">
      <c r="A42" s="9" t="s">
        <v>63</v>
      </c>
      <c r="B42" s="10"/>
      <c r="C42" s="9" t="s">
        <v>2373</v>
      </c>
      <c r="D42" s="9" t="s">
        <v>2373</v>
      </c>
      <c r="E42" s="9" t="s">
        <v>973</v>
      </c>
      <c r="F42" s="9" t="s">
        <v>974</v>
      </c>
      <c r="G42" s="9" t="s">
        <v>974</v>
      </c>
      <c r="H42" s="9" t="s">
        <v>82</v>
      </c>
      <c r="I42" s="9" t="str">
        <f aca="false">TRIM(A42) &amp; TRIM(F42) &amp; TRIM(H42)</f>
        <v>First ReviewHighlight ViewKH</v>
      </c>
      <c r="J42" s="9" t="n">
        <f aca="false">IFERROR(VLOOKUP(I42,'WFM Q4 Target'!J:K,2,0),"-")</f>
        <v>126.318</v>
      </c>
      <c r="K42" s="9" t="n">
        <v>132.9872</v>
      </c>
      <c r="L42" s="9" t="n">
        <v>0</v>
      </c>
      <c r="M42" s="9" t="str">
        <f aca="false">IFERROR(IF(K42&gt;J42,"Not Meet Target","Meet Target"),"-")</f>
        <v>Not Meet Target</v>
      </c>
      <c r="N42" s="9" t="str">
        <f aca="false">IFERROR(VLOOKUP(D42,'Team Member List'!B:C,2,0),"")</f>
        <v>TL Okafor</v>
      </c>
      <c r="O42" s="9" t="s">
        <v>2408</v>
      </c>
    </row>
    <row r="43" customFormat="false" ht="15" hidden="false" customHeight="false" outlineLevel="0" collapsed="false">
      <c r="A43" s="9" t="s">
        <v>63</v>
      </c>
      <c r="B43" s="10"/>
      <c r="C43" s="9"/>
      <c r="D43" s="9" t="s">
        <v>2373</v>
      </c>
      <c r="E43" s="9"/>
      <c r="F43" s="9"/>
      <c r="G43" s="9" t="s">
        <v>974</v>
      </c>
      <c r="H43" s="9" t="s">
        <v>190</v>
      </c>
      <c r="I43" s="9" t="str">
        <f aca="false">TRIM(A43) &amp; TRIM(F43) &amp; TRIM(H43)</f>
        <v>First ReviewPH</v>
      </c>
      <c r="J43" s="9" t="str">
        <f aca="false">IFERROR(VLOOKUP(I43,'WFM Q4 Target'!J:K,2,0),"-")</f>
        <v>-</v>
      </c>
      <c r="K43" s="9" t="n">
        <v>157.0969</v>
      </c>
      <c r="L43" s="9" t="n">
        <v>0</v>
      </c>
      <c r="M43" s="9" t="str">
        <f aca="false">IFERROR(IF(K43&gt;J43,"Not Meet Target","Meet Target"),"-")</f>
        <v>Meet Target</v>
      </c>
      <c r="N43" s="9" t="str">
        <f aca="false">IFERROR(VLOOKUP(D43,'Team Member List'!B:C,2,0),"")</f>
        <v>TL Okafor</v>
      </c>
      <c r="O43" s="9" t="s">
        <v>2408</v>
      </c>
    </row>
    <row r="44" customFormat="false" ht="15" hidden="false" customHeight="false" outlineLevel="0" collapsed="false">
      <c r="A44" s="9" t="s">
        <v>63</v>
      </c>
      <c r="B44" s="10"/>
      <c r="C44" s="9" t="s">
        <v>2351</v>
      </c>
      <c r="D44" s="9" t="s">
        <v>2351</v>
      </c>
      <c r="E44" s="9" t="s">
        <v>1432</v>
      </c>
      <c r="F44" s="9" t="s">
        <v>1440</v>
      </c>
      <c r="G44" s="9" t="s">
        <v>1440</v>
      </c>
      <c r="H44" s="9" t="s">
        <v>95</v>
      </c>
      <c r="I44" s="9" t="str">
        <f aca="false">TRIM(A44) &amp; TRIM(F44) &amp; TRIM(H44)</f>
        <v>First ReviewHTC Adv CampaignVN</v>
      </c>
      <c r="J44" s="9" t="n">
        <f aca="false">IFERROR(VLOOKUP(I44,'WFM Q4 Target'!J:K,2,0),"-")</f>
        <v>1077.744</v>
      </c>
      <c r="K44" s="9" t="n">
        <v>587.0227</v>
      </c>
      <c r="L44" s="9" t="n">
        <v>0</v>
      </c>
      <c r="M44" s="9" t="str">
        <f aca="false">IFERROR(IF(K44&gt;J44,"Not Meet Target","Meet Target"),"-")</f>
        <v>Meet Target</v>
      </c>
      <c r="N44" s="9" t="str">
        <f aca="false">IFERROR(VLOOKUP(D44,'Team Member List'!B:C,2,0),"")</f>
        <v>TL Lindgren</v>
      </c>
      <c r="O44" s="9" t="s">
        <v>2408</v>
      </c>
    </row>
    <row r="45" customFormat="false" ht="15" hidden="false" customHeight="false" outlineLevel="0" collapsed="false">
      <c r="A45" s="9" t="s">
        <v>63</v>
      </c>
      <c r="B45" s="10"/>
      <c r="C45" s="9"/>
      <c r="D45" s="9" t="s">
        <v>2351</v>
      </c>
      <c r="E45" s="9"/>
      <c r="F45" s="9" t="s">
        <v>1458</v>
      </c>
      <c r="G45" s="9" t="s">
        <v>1458</v>
      </c>
      <c r="H45" s="9" t="s">
        <v>95</v>
      </c>
      <c r="I45" s="9" t="str">
        <f aca="false">TRIM(A45) &amp; TRIM(F45) &amp; TRIM(H45)</f>
        <v>First ReviewHTC Adv VideoVN</v>
      </c>
      <c r="J45" s="9" t="str">
        <f aca="false">IFERROR(VLOOKUP(I45,'WFM Q4 Target'!J:K,2,0),"-")</f>
        <v>-</v>
      </c>
      <c r="K45" s="9" t="n">
        <v>426.6305</v>
      </c>
      <c r="L45" s="9" t="n">
        <v>3.9112</v>
      </c>
      <c r="M45" s="9" t="str">
        <f aca="false">IFERROR(IF(K45&gt;J45,"Not Meet Target","Meet Target"),"-")</f>
        <v>Meet Target</v>
      </c>
      <c r="N45" s="9" t="str">
        <f aca="false">IFERROR(VLOOKUP(D45,'Team Member List'!B:C,2,0),"")</f>
        <v>TL Lindgren</v>
      </c>
      <c r="O45" s="9" t="s">
        <v>2408</v>
      </c>
    </row>
    <row r="46" customFormat="false" ht="15" hidden="false" customHeight="false" outlineLevel="0" collapsed="false">
      <c r="A46" s="9" t="s">
        <v>63</v>
      </c>
      <c r="B46" s="10"/>
      <c r="C46" s="9" t="s">
        <v>2329</v>
      </c>
      <c r="D46" s="9" t="s">
        <v>2329</v>
      </c>
      <c r="E46" s="9" t="s">
        <v>1432</v>
      </c>
      <c r="F46" s="9" t="s">
        <v>1458</v>
      </c>
      <c r="G46" s="9" t="s">
        <v>1458</v>
      </c>
      <c r="H46" s="9" t="s">
        <v>267</v>
      </c>
      <c r="I46" s="9" t="str">
        <f aca="false">TRIM(A46) &amp; TRIM(F46) &amp; TRIM(H46)</f>
        <v>First ReviewHTC Adv VideoID</v>
      </c>
      <c r="J46" s="9" t="str">
        <f aca="false">IFERROR(VLOOKUP(I46,'WFM Q4 Target'!J:K,2,0),"-")</f>
        <v>-</v>
      </c>
      <c r="K46" s="9" t="n">
        <v>213.1774</v>
      </c>
      <c r="L46" s="9" t="n">
        <v>33.2102</v>
      </c>
      <c r="M46" s="9" t="str">
        <f aca="false">IFERROR(IF(K46&gt;J46,"Not Meet Target","Meet Target"),"-")</f>
        <v>Meet Target</v>
      </c>
      <c r="N46" s="9" t="str">
        <f aca="false">IFERROR(VLOOKUP(D46,'Team Member List'!B:C,2,0),"")</f>
        <v>TL Ramirez</v>
      </c>
      <c r="O46" s="9" t="s">
        <v>2408</v>
      </c>
    </row>
    <row r="47" customFormat="false" ht="15" hidden="false" customHeight="false" outlineLevel="0" collapsed="false">
      <c r="A47" s="9" t="s">
        <v>63</v>
      </c>
      <c r="B47" s="10"/>
      <c r="C47" s="9"/>
      <c r="D47" s="9" t="s">
        <v>2329</v>
      </c>
      <c r="E47" s="9"/>
      <c r="F47" s="9" t="s">
        <v>1438</v>
      </c>
      <c r="G47" s="9" t="s">
        <v>1438</v>
      </c>
      <c r="H47" s="9" t="s">
        <v>267</v>
      </c>
      <c r="I47" s="9" t="str">
        <f aca="false">TRIM(A47) &amp; TRIM(F47) &amp; TRIM(H47)</f>
        <v>First ReviewQuest Adv VideoID</v>
      </c>
      <c r="J47" s="9" t="n">
        <f aca="false">IFERROR(VLOOKUP(I47,'WFM Q4 Target'!J:K,2,0),"-")</f>
        <v>49.086</v>
      </c>
      <c r="K47" s="9" t="n">
        <v>204.1665</v>
      </c>
      <c r="L47" s="9" t="n">
        <v>16.6974</v>
      </c>
      <c r="M47" s="9" t="str">
        <f aca="false">IFERROR(IF(K47&gt;J47,"Not Meet Target","Meet Target"),"-")</f>
        <v>Not Meet Target</v>
      </c>
      <c r="N47" s="9" t="str">
        <f aca="false">IFERROR(VLOOKUP(D47,'Team Member List'!B:C,2,0),"")</f>
        <v>TL Ramirez</v>
      </c>
      <c r="O47" s="9" t="s">
        <v>2408</v>
      </c>
    </row>
    <row r="48" customFormat="false" ht="15" hidden="false" customHeight="false" outlineLevel="0" collapsed="false">
      <c r="A48" s="9" t="s">
        <v>63</v>
      </c>
      <c r="B48" s="10"/>
      <c r="C48" s="9" t="s">
        <v>2327</v>
      </c>
      <c r="D48" s="9" t="s">
        <v>2327</v>
      </c>
      <c r="E48" s="9" t="s">
        <v>973</v>
      </c>
      <c r="F48" s="9" t="s">
        <v>2409</v>
      </c>
      <c r="G48" s="9" t="s">
        <v>2409</v>
      </c>
      <c r="H48" s="9" t="s">
        <v>208</v>
      </c>
      <c r="I48" s="9" t="str">
        <f aca="false">TRIM(A48) &amp; TRIM(F48) &amp; TRIM(H48)</f>
        <v>First ReviewESTCO</v>
      </c>
      <c r="J48" s="9" t="str">
        <f aca="false">IFERROR(VLOOKUP(I48,'WFM Q4 Target'!J:K,2,0),"-")</f>
        <v>-</v>
      </c>
      <c r="K48" s="9" t="n">
        <v>150.4677</v>
      </c>
      <c r="L48" s="9" t="n">
        <v>0</v>
      </c>
      <c r="M48" s="9" t="str">
        <f aca="false">IFERROR(IF(K48&gt;J48,"Not Meet Target","Meet Target"),"-")</f>
        <v>Meet Target</v>
      </c>
      <c r="N48" s="9" t="str">
        <f aca="false">IFERROR(VLOOKUP(D48,'Team Member List'!B:C,2,0),"")</f>
        <v>TL Ramirez</v>
      </c>
      <c r="O48" s="9" t="s">
        <v>2408</v>
      </c>
    </row>
    <row r="49" customFormat="false" ht="15" hidden="false" customHeight="false" outlineLevel="0" collapsed="false">
      <c r="A49" s="9" t="s">
        <v>63</v>
      </c>
      <c r="B49" s="10"/>
      <c r="C49" s="9"/>
      <c r="D49" s="9" t="s">
        <v>2327</v>
      </c>
      <c r="E49" s="9"/>
      <c r="F49" s="9" t="s">
        <v>979</v>
      </c>
      <c r="G49" s="9" t="s">
        <v>979</v>
      </c>
      <c r="H49" s="9" t="s">
        <v>267</v>
      </c>
      <c r="I49" s="9" t="str">
        <f aca="false">TRIM(A49) &amp; TRIM(F49) &amp; TRIM(H49)</f>
        <v>First ReviewBooking Ads Pre ApprovalID</v>
      </c>
      <c r="J49" s="9" t="n">
        <f aca="false">IFERROR(VLOOKUP(I49,'WFM Q4 Target'!J:K,2,0),"-")</f>
        <v>271.992</v>
      </c>
      <c r="K49" s="9" t="n">
        <v>341.6172</v>
      </c>
      <c r="L49" s="9" t="n">
        <v>19.8596</v>
      </c>
      <c r="M49" s="9" t="str">
        <f aca="false">IFERROR(IF(K49&gt;J49,"Not Meet Target","Meet Target"),"-")</f>
        <v>Not Meet Target</v>
      </c>
      <c r="N49" s="9" t="str">
        <f aca="false">IFERROR(VLOOKUP(D49,'Team Member List'!B:C,2,0),"")</f>
        <v>TL Ramirez</v>
      </c>
      <c r="O49" s="9" t="s">
        <v>2408</v>
      </c>
    </row>
    <row r="50" customFormat="false" ht="15" hidden="false" customHeight="false" outlineLevel="0" collapsed="false">
      <c r="A50" s="9" t="s">
        <v>63</v>
      </c>
      <c r="B50" s="10"/>
      <c r="C50" s="9"/>
      <c r="D50" s="9" t="s">
        <v>2327</v>
      </c>
      <c r="E50" s="9"/>
      <c r="F50" s="9" t="s">
        <v>974</v>
      </c>
      <c r="G50" s="9" t="s">
        <v>974</v>
      </c>
      <c r="H50" s="9" t="s">
        <v>267</v>
      </c>
      <c r="I50" s="9" t="str">
        <f aca="false">TRIM(A50) &amp; TRIM(F50) &amp; TRIM(H50)</f>
        <v>First ReviewHighlight ViewID</v>
      </c>
      <c r="J50" s="9" t="n">
        <f aca="false">IFERROR(VLOOKUP(I50,'WFM Q4 Target'!J:K,2,0),"-")</f>
        <v>590.502</v>
      </c>
      <c r="K50" s="9" t="n">
        <v>245.4542</v>
      </c>
      <c r="L50" s="9" t="n">
        <v>0</v>
      </c>
      <c r="M50" s="9" t="str">
        <f aca="false">IFERROR(IF(K50&gt;J50,"Not Meet Target","Meet Target"),"-")</f>
        <v>Meet Target</v>
      </c>
      <c r="N50" s="9" t="str">
        <f aca="false">IFERROR(VLOOKUP(D50,'Team Member List'!B:C,2,0),"")</f>
        <v>TL Ramirez</v>
      </c>
      <c r="O50" s="9" t="s">
        <v>2408</v>
      </c>
    </row>
    <row r="51" customFormat="false" ht="15" hidden="false" customHeight="false" outlineLevel="0" collapsed="false">
      <c r="A51" s="9" t="s">
        <v>63</v>
      </c>
      <c r="B51" s="10"/>
      <c r="C51" s="9"/>
      <c r="D51" s="9" t="s">
        <v>2327</v>
      </c>
      <c r="E51" s="9"/>
      <c r="F51" s="9"/>
      <c r="G51" s="9" t="s">
        <v>974</v>
      </c>
      <c r="H51" s="9" t="s">
        <v>210</v>
      </c>
      <c r="I51" s="9" t="str">
        <f aca="false">TRIM(A51) &amp; TRIM(F51) &amp; TRIM(H51)</f>
        <v>First ReviewPK</v>
      </c>
      <c r="J51" s="9" t="str">
        <f aca="false">IFERROR(VLOOKUP(I51,'WFM Q4 Target'!J:K,2,0),"-")</f>
        <v>-</v>
      </c>
      <c r="K51" s="9" t="n">
        <v>424.8775</v>
      </c>
      <c r="L51" s="9" t="n">
        <v>0</v>
      </c>
      <c r="M51" s="9" t="str">
        <f aca="false">IFERROR(IF(K51&gt;J51,"Not Meet Target","Meet Target"),"-")</f>
        <v>Meet Target</v>
      </c>
      <c r="N51" s="9" t="str">
        <f aca="false">IFERROR(VLOOKUP(D51,'Team Member List'!B:C,2,0),"")</f>
        <v>TL Ramirez</v>
      </c>
      <c r="O51" s="9" t="s">
        <v>2408</v>
      </c>
    </row>
    <row r="52" customFormat="false" ht="15" hidden="false" customHeight="false" outlineLevel="0" collapsed="false">
      <c r="A52" s="9" t="s">
        <v>63</v>
      </c>
      <c r="B52" s="10"/>
      <c r="C52" s="9"/>
      <c r="D52" s="9" t="s">
        <v>2327</v>
      </c>
      <c r="E52" s="9"/>
      <c r="F52" s="9"/>
      <c r="G52" s="9" t="s">
        <v>974</v>
      </c>
      <c r="H52" s="9" t="s">
        <v>79</v>
      </c>
      <c r="I52" s="9" t="str">
        <f aca="false">TRIM(A52) &amp; TRIM(F52) &amp; TRIM(H52)</f>
        <v>First ReviewZA</v>
      </c>
      <c r="J52" s="9" t="str">
        <f aca="false">IFERROR(VLOOKUP(I52,'WFM Q4 Target'!J:K,2,0),"-")</f>
        <v>-</v>
      </c>
      <c r="K52" s="9" t="n">
        <v>380.3462</v>
      </c>
      <c r="L52" s="9" t="n">
        <v>0</v>
      </c>
      <c r="M52" s="9" t="str">
        <f aca="false">IFERROR(IF(K52&gt;J52,"Not Meet Target","Meet Target"),"-")</f>
        <v>Meet Target</v>
      </c>
      <c r="N52" s="9" t="str">
        <f aca="false">IFERROR(VLOOKUP(D52,'Team Member List'!B:C,2,0),"")</f>
        <v>TL Ramirez</v>
      </c>
      <c r="O52" s="9" t="s">
        <v>2408</v>
      </c>
    </row>
    <row r="53" customFormat="false" ht="15" hidden="false" customHeight="false" outlineLevel="0" collapsed="false">
      <c r="A53" s="9" t="s">
        <v>63</v>
      </c>
      <c r="B53" s="10"/>
      <c r="C53" s="9"/>
      <c r="D53" s="9" t="s">
        <v>2327</v>
      </c>
      <c r="E53" s="9" t="s">
        <v>1432</v>
      </c>
      <c r="F53" s="9" t="s">
        <v>1498</v>
      </c>
      <c r="G53" s="9" t="s">
        <v>1498</v>
      </c>
      <c r="H53" s="9" t="s">
        <v>267</v>
      </c>
      <c r="I53" s="9" t="str">
        <f aca="false">TRIM(A53) &amp; TRIM(F53) &amp; TRIM(H53)</f>
        <v>First ReviewBE Adv CampaignID</v>
      </c>
      <c r="J53" s="9" t="str">
        <f aca="false">IFERROR(VLOOKUP(I53,'WFM Q4 Target'!J:K,2,0),"-")</f>
        <v>-</v>
      </c>
      <c r="K53" s="9" t="n">
        <v>277.6117</v>
      </c>
      <c r="L53" s="9" t="n">
        <v>0</v>
      </c>
      <c r="M53" s="9" t="str">
        <f aca="false">IFERROR(IF(K53&gt;J53,"Not Meet Target","Meet Target"),"-")</f>
        <v>Meet Target</v>
      </c>
      <c r="N53" s="9" t="str">
        <f aca="false">IFERROR(VLOOKUP(D53,'Team Member List'!B:C,2,0),"")</f>
        <v>TL Ramirez</v>
      </c>
      <c r="O53" s="9" t="s">
        <v>2408</v>
      </c>
    </row>
    <row r="54" customFormat="false" ht="15" hidden="false" customHeight="false" outlineLevel="0" collapsed="false">
      <c r="A54" s="9" t="s">
        <v>63</v>
      </c>
      <c r="B54" s="10"/>
      <c r="C54" s="9"/>
      <c r="D54" s="9" t="s">
        <v>2327</v>
      </c>
      <c r="E54" s="9"/>
      <c r="F54" s="9" t="s">
        <v>1502</v>
      </c>
      <c r="G54" s="9" t="s">
        <v>1502</v>
      </c>
      <c r="H54" s="9" t="s">
        <v>267</v>
      </c>
      <c r="I54" s="9" t="str">
        <f aca="false">TRIM(A54) &amp; TRIM(F54) &amp; TRIM(H54)</f>
        <v>First ReviewBE Adv VideoID</v>
      </c>
      <c r="J54" s="9" t="str">
        <f aca="false">IFERROR(VLOOKUP(I54,'WFM Q4 Target'!J:K,2,0),"-")</f>
        <v>-</v>
      </c>
      <c r="K54" s="9" t="n">
        <v>315.4966</v>
      </c>
      <c r="L54" s="9" t="n">
        <v>14.2456</v>
      </c>
      <c r="M54" s="9" t="str">
        <f aca="false">IFERROR(IF(K54&gt;J54,"Not Meet Target","Meet Target"),"-")</f>
        <v>Meet Target</v>
      </c>
      <c r="N54" s="9" t="str">
        <f aca="false">IFERROR(VLOOKUP(D54,'Team Member List'!B:C,2,0),"")</f>
        <v>TL Ramirez</v>
      </c>
      <c r="O54" s="9" t="s">
        <v>2408</v>
      </c>
    </row>
    <row r="55" customFormat="false" ht="15" hidden="false" customHeight="false" outlineLevel="0" collapsed="false">
      <c r="A55" s="9" t="s">
        <v>63</v>
      </c>
      <c r="B55" s="10"/>
      <c r="C55" s="9"/>
      <c r="D55" s="9" t="s">
        <v>2327</v>
      </c>
      <c r="E55" s="9"/>
      <c r="F55" s="9" t="s">
        <v>1440</v>
      </c>
      <c r="G55" s="9" t="s">
        <v>1440</v>
      </c>
      <c r="H55" s="9" t="s">
        <v>203</v>
      </c>
      <c r="I55" s="9" t="str">
        <f aca="false">TRIM(A55) &amp; TRIM(F55) &amp; TRIM(H55)</f>
        <v>First ReviewHTC Adv CampaignCA</v>
      </c>
      <c r="J55" s="9" t="n">
        <f aca="false">IFERROR(VLOOKUP(I55,'WFM Q4 Target'!J:K,2,0),"-")</f>
        <v>233.244</v>
      </c>
      <c r="K55" s="9" t="n">
        <v>354.2311</v>
      </c>
      <c r="L55" s="9" t="n">
        <v>0</v>
      </c>
      <c r="M55" s="9" t="str">
        <f aca="false">IFERROR(IF(K55&gt;J55,"Not Meet Target","Meet Target"),"-")</f>
        <v>Not Meet Target</v>
      </c>
      <c r="N55" s="9" t="str">
        <f aca="false">IFERROR(VLOOKUP(D55,'Team Member List'!B:C,2,0),"")</f>
        <v>TL Ramirez</v>
      </c>
      <c r="O55" s="9" t="s">
        <v>2408</v>
      </c>
    </row>
    <row r="56" customFormat="false" ht="15" hidden="false" customHeight="false" outlineLevel="0" collapsed="false">
      <c r="A56" s="9" t="s">
        <v>63</v>
      </c>
      <c r="B56" s="10"/>
      <c r="C56" s="9"/>
      <c r="D56" s="9" t="s">
        <v>2327</v>
      </c>
      <c r="E56" s="9"/>
      <c r="F56" s="9"/>
      <c r="G56" s="9" t="s">
        <v>1440</v>
      </c>
      <c r="H56" s="9" t="s">
        <v>267</v>
      </c>
      <c r="I56" s="9" t="str">
        <f aca="false">TRIM(A56) &amp; TRIM(F56) &amp; TRIM(H56)</f>
        <v>First ReviewID</v>
      </c>
      <c r="J56" s="9" t="str">
        <f aca="false">IFERROR(VLOOKUP(I56,'WFM Q4 Target'!J:K,2,0),"-")</f>
        <v>-</v>
      </c>
      <c r="K56" s="9" t="n">
        <v>312.5223</v>
      </c>
      <c r="L56" s="9" t="n">
        <v>0</v>
      </c>
      <c r="M56" s="9" t="str">
        <f aca="false">IFERROR(IF(K56&gt;J56,"Not Meet Target","Meet Target"),"-")</f>
        <v>Meet Target</v>
      </c>
      <c r="N56" s="9" t="str">
        <f aca="false">IFERROR(VLOOKUP(D56,'Team Member List'!B:C,2,0),"")</f>
        <v>TL Ramirez</v>
      </c>
      <c r="O56" s="9" t="s">
        <v>2408</v>
      </c>
    </row>
    <row r="57" customFormat="false" ht="15" hidden="false" customHeight="false" outlineLevel="0" collapsed="false">
      <c r="A57" s="9" t="s">
        <v>63</v>
      </c>
      <c r="B57" s="10"/>
      <c r="C57" s="9"/>
      <c r="D57" s="9" t="s">
        <v>2327</v>
      </c>
      <c r="E57" s="9"/>
      <c r="F57" s="9" t="s">
        <v>1436</v>
      </c>
      <c r="G57" s="9" t="s">
        <v>1436</v>
      </c>
      <c r="H57" s="9" t="s">
        <v>203</v>
      </c>
      <c r="I57" s="9" t="str">
        <f aca="false">TRIM(A57) &amp; TRIM(F57) &amp; TRIM(H57)</f>
        <v>First ReviewQuest Adv CampaignCA</v>
      </c>
      <c r="J57" s="9" t="n">
        <f aca="false">IFERROR(VLOOKUP(I57,'WFM Q4 Target'!J:K,2,0),"-")</f>
        <v>123.378</v>
      </c>
      <c r="K57" s="9" t="n">
        <v>356.7974</v>
      </c>
      <c r="L57" s="9" t="n">
        <v>0</v>
      </c>
      <c r="M57" s="9" t="str">
        <f aca="false">IFERROR(IF(K57&gt;J57,"Not Meet Target","Meet Target"),"-")</f>
        <v>Not Meet Target</v>
      </c>
      <c r="N57" s="9" t="str">
        <f aca="false">IFERROR(VLOOKUP(D57,'Team Member List'!B:C,2,0),"")</f>
        <v>TL Ramirez</v>
      </c>
      <c r="O57" s="9" t="s">
        <v>2408</v>
      </c>
    </row>
    <row r="58" customFormat="false" ht="15" hidden="false" customHeight="false" outlineLevel="0" collapsed="false">
      <c r="A58" s="9" t="s">
        <v>63</v>
      </c>
      <c r="B58" s="10"/>
      <c r="C58" s="9" t="s">
        <v>2371</v>
      </c>
      <c r="D58" s="9" t="s">
        <v>2371</v>
      </c>
      <c r="E58" s="9" t="s">
        <v>973</v>
      </c>
      <c r="F58" s="9" t="s">
        <v>974</v>
      </c>
      <c r="G58" s="9" t="s">
        <v>974</v>
      </c>
      <c r="H58" s="9" t="s">
        <v>458</v>
      </c>
      <c r="I58" s="9" t="str">
        <f aca="false">TRIM(A58) &amp; TRIM(F58) &amp; TRIM(H58)</f>
        <v>First ReviewHighlight ViewTW</v>
      </c>
      <c r="J58" s="9" t="n">
        <f aca="false">IFERROR(VLOOKUP(I58,'WFM Q4 Target'!J:K,2,0),"-")</f>
        <v>261.162</v>
      </c>
      <c r="K58" s="9" t="n">
        <v>297.1929</v>
      </c>
      <c r="L58" s="9" t="n">
        <v>0</v>
      </c>
      <c r="M58" s="9" t="str">
        <f aca="false">IFERROR(IF(K58&gt;J58,"Not Meet Target","Meet Target"),"-")</f>
        <v>Not Meet Target</v>
      </c>
      <c r="N58" s="9" t="str">
        <f aca="false">IFERROR(VLOOKUP(D58,'Team Member List'!B:C,2,0),"")</f>
        <v>TL Okafor</v>
      </c>
      <c r="O58" s="9" t="s">
        <v>2408</v>
      </c>
    </row>
    <row r="59" customFormat="false" ht="15" hidden="false" customHeight="false" outlineLevel="0" collapsed="false">
      <c r="A59" s="9" t="s">
        <v>63</v>
      </c>
      <c r="B59" s="10"/>
      <c r="C59" s="9" t="s">
        <v>2383</v>
      </c>
      <c r="D59" s="9" t="s">
        <v>2383</v>
      </c>
      <c r="E59" s="9" t="s">
        <v>973</v>
      </c>
      <c r="F59" s="9" t="s">
        <v>979</v>
      </c>
      <c r="G59" s="9" t="s">
        <v>979</v>
      </c>
      <c r="H59" s="9" t="s">
        <v>306</v>
      </c>
      <c r="I59" s="9" t="str">
        <f aca="false">TRIM(A59) &amp; TRIM(F59) &amp; TRIM(H59)</f>
        <v>First ReviewBooking Ads Pre ApprovalTH</v>
      </c>
      <c r="J59" s="9" t="n">
        <f aca="false">IFERROR(VLOOKUP(I59,'WFM Q4 Target'!J:K,2,0),"-")</f>
        <v>84.51</v>
      </c>
      <c r="K59" s="9" t="n">
        <v>149.9949</v>
      </c>
      <c r="L59" s="9" t="n">
        <v>16.6844</v>
      </c>
      <c r="M59" s="9" t="str">
        <f aca="false">IFERROR(IF(K59&gt;J59,"Not Meet Target","Meet Target"),"-")</f>
        <v>Not Meet Target</v>
      </c>
      <c r="N59" s="9" t="str">
        <f aca="false">IFERROR(VLOOKUP(D59,'Team Member List'!B:C,2,0),"")</f>
        <v>TL Cabrera</v>
      </c>
      <c r="O59" s="9" t="s">
        <v>2408</v>
      </c>
    </row>
    <row r="60" customFormat="false" ht="15" hidden="false" customHeight="false" outlineLevel="0" collapsed="false">
      <c r="A60" s="9" t="s">
        <v>63</v>
      </c>
      <c r="B60" s="10"/>
      <c r="C60" s="9" t="s">
        <v>2344</v>
      </c>
      <c r="D60" s="9" t="s">
        <v>2344</v>
      </c>
      <c r="E60" s="9" t="s">
        <v>973</v>
      </c>
      <c r="F60" s="9" t="s">
        <v>974</v>
      </c>
      <c r="G60" s="9" t="s">
        <v>974</v>
      </c>
      <c r="H60" s="9" t="s">
        <v>87</v>
      </c>
      <c r="I60" s="9" t="str">
        <f aca="false">TRIM(A60) &amp; TRIM(F60) &amp; TRIM(H60)</f>
        <v>First ReviewHighlight ViewAE</v>
      </c>
      <c r="J60" s="9" t="n">
        <f aca="false">IFERROR(VLOOKUP(I60,'WFM Q4 Target'!J:K,2,0),"-")</f>
        <v>6.33</v>
      </c>
      <c r="K60" s="9" t="n">
        <v>376.4206</v>
      </c>
      <c r="L60" s="9" t="n">
        <v>0</v>
      </c>
      <c r="M60" s="9" t="str">
        <f aca="false">IFERROR(IF(K60&gt;J60,"Not Meet Target","Meet Target"),"-")</f>
        <v>Not Meet Target</v>
      </c>
      <c r="N60" s="9" t="str">
        <f aca="false">IFERROR(VLOOKUP(D60,'Team Member List'!B:C,2,0),"")</f>
        <v>TL Lindgren</v>
      </c>
      <c r="O60" s="9" t="s">
        <v>2408</v>
      </c>
    </row>
    <row r="61" customFormat="false" ht="15" hidden="false" customHeight="false" outlineLevel="0" collapsed="false">
      <c r="A61" s="9" t="s">
        <v>63</v>
      </c>
      <c r="B61" s="10"/>
      <c r="C61" s="9"/>
      <c r="D61" s="9" t="s">
        <v>2344</v>
      </c>
      <c r="E61" s="9"/>
      <c r="F61" s="9"/>
      <c r="G61" s="9" t="s">
        <v>974</v>
      </c>
      <c r="H61" s="9" t="s">
        <v>95</v>
      </c>
      <c r="I61" s="9" t="str">
        <f aca="false">TRIM(A61) &amp; TRIM(F61) &amp; TRIM(H61)</f>
        <v>First ReviewVN</v>
      </c>
      <c r="J61" s="9" t="str">
        <f aca="false">IFERROR(VLOOKUP(I61,'WFM Q4 Target'!J:K,2,0),"-")</f>
        <v>-</v>
      </c>
      <c r="K61" s="9" t="n">
        <v>148.2353</v>
      </c>
      <c r="L61" s="9" t="n">
        <v>0</v>
      </c>
      <c r="M61" s="9" t="str">
        <f aca="false">IFERROR(IF(K61&gt;J61,"Not Meet Target","Meet Target"),"-")</f>
        <v>Meet Target</v>
      </c>
      <c r="N61" s="9" t="str">
        <f aca="false">IFERROR(VLOOKUP(D61,'Team Member List'!B:C,2,0),"")</f>
        <v>TL Lindgren</v>
      </c>
      <c r="O61" s="9" t="s">
        <v>2408</v>
      </c>
    </row>
    <row r="62" customFormat="false" ht="15" hidden="false" customHeight="false" outlineLevel="0" collapsed="false">
      <c r="A62" s="9" t="s">
        <v>63</v>
      </c>
      <c r="B62" s="10"/>
      <c r="C62" s="9"/>
      <c r="D62" s="9" t="s">
        <v>2344</v>
      </c>
      <c r="E62" s="9" t="s">
        <v>1432</v>
      </c>
      <c r="F62" s="9" t="s">
        <v>1502</v>
      </c>
      <c r="G62" s="9" t="s">
        <v>1502</v>
      </c>
      <c r="H62" s="9" t="s">
        <v>95</v>
      </c>
      <c r="I62" s="9" t="str">
        <f aca="false">TRIM(A62) &amp; TRIM(F62) &amp; TRIM(H62)</f>
        <v>First ReviewBE Adv VideoVN</v>
      </c>
      <c r="J62" s="9" t="str">
        <f aca="false">IFERROR(VLOOKUP(I62,'WFM Q4 Target'!J:K,2,0),"-")</f>
        <v>-</v>
      </c>
      <c r="K62" s="9" t="n">
        <v>191.7008</v>
      </c>
      <c r="L62" s="9" t="n">
        <v>28.2282</v>
      </c>
      <c r="M62" s="9" t="str">
        <f aca="false">IFERROR(IF(K62&gt;J62,"Not Meet Target","Meet Target"),"-")</f>
        <v>Meet Target</v>
      </c>
      <c r="N62" s="9" t="str">
        <f aca="false">IFERROR(VLOOKUP(D62,'Team Member List'!B:C,2,0),"")</f>
        <v>TL Lindgren</v>
      </c>
      <c r="O62" s="9" t="s">
        <v>2408</v>
      </c>
    </row>
    <row r="63" customFormat="false" ht="15" hidden="false" customHeight="false" outlineLevel="0" collapsed="false">
      <c r="A63" s="9" t="s">
        <v>63</v>
      </c>
      <c r="B63" s="10"/>
      <c r="C63" s="9"/>
      <c r="D63" s="9" t="s">
        <v>2344</v>
      </c>
      <c r="E63" s="9"/>
      <c r="F63" s="9" t="s">
        <v>1438</v>
      </c>
      <c r="G63" s="9" t="s">
        <v>1438</v>
      </c>
      <c r="H63" s="9" t="s">
        <v>95</v>
      </c>
      <c r="I63" s="9" t="str">
        <f aca="false">TRIM(A63) &amp; TRIM(F63) &amp; TRIM(H63)</f>
        <v>First ReviewQuest Adv VideoVN</v>
      </c>
      <c r="J63" s="9" t="n">
        <f aca="false">IFERROR(VLOOKUP(I63,'WFM Q4 Target'!J:K,2,0),"-")</f>
        <v>737.892</v>
      </c>
      <c r="K63" s="9" t="n">
        <v>188.8131</v>
      </c>
      <c r="L63" s="9" t="n">
        <v>28.8274</v>
      </c>
      <c r="M63" s="9" t="str">
        <f aca="false">IFERROR(IF(K63&gt;J63,"Not Meet Target","Meet Target"),"-")</f>
        <v>Meet Target</v>
      </c>
      <c r="N63" s="9" t="str">
        <f aca="false">IFERROR(VLOOKUP(D63,'Team Member List'!B:C,2,0),"")</f>
        <v>TL Lindgren</v>
      </c>
      <c r="O63" s="9" t="s">
        <v>2408</v>
      </c>
    </row>
    <row r="64" customFormat="false" ht="15" hidden="false" customHeight="false" outlineLevel="0" collapsed="false">
      <c r="A64" s="9" t="s">
        <v>63</v>
      </c>
      <c r="B64" s="10"/>
      <c r="C64" s="9" t="s">
        <v>2379</v>
      </c>
      <c r="D64" s="9" t="s">
        <v>2379</v>
      </c>
      <c r="E64" s="9" t="s">
        <v>56</v>
      </c>
      <c r="F64" s="9" t="s">
        <v>75</v>
      </c>
      <c r="G64" s="9" t="s">
        <v>75</v>
      </c>
      <c r="H64" s="9" t="s">
        <v>306</v>
      </c>
      <c r="I64" s="9" t="str">
        <f aca="false">TRIM(A64) &amp; TRIM(F64) &amp; TRIM(H64)</f>
        <v>First ReviewBid Ecom Ads GroupTH</v>
      </c>
      <c r="J64" s="9" t="n">
        <f aca="false">IFERROR(VLOOKUP(I64,'WFM Q4 Target'!J:K,2,0),"-")</f>
        <v>117.78</v>
      </c>
      <c r="K64" s="9" t="n">
        <v>1510.2616</v>
      </c>
      <c r="L64" s="9" t="n">
        <v>11.291</v>
      </c>
      <c r="M64" s="9" t="str">
        <f aca="false">IFERROR(IF(K64&gt;J64,"Not Meet Target","Meet Target"),"-")</f>
        <v>Not Meet Target</v>
      </c>
      <c r="N64" s="9" t="str">
        <f aca="false">IFERROR(VLOOKUP(D64,'Team Member List'!B:C,2,0),"")</f>
        <v>TL Okafor</v>
      </c>
      <c r="O64" s="9" t="s">
        <v>2408</v>
      </c>
    </row>
    <row r="65" customFormat="false" ht="15" hidden="false" customHeight="false" outlineLevel="0" collapsed="false">
      <c r="A65" s="9" t="s">
        <v>63</v>
      </c>
      <c r="B65" s="10"/>
      <c r="C65" s="9"/>
      <c r="D65" s="9" t="s">
        <v>2379</v>
      </c>
      <c r="E65" s="9" t="s">
        <v>973</v>
      </c>
      <c r="F65" s="9" t="s">
        <v>2409</v>
      </c>
      <c r="G65" s="9" t="s">
        <v>2409</v>
      </c>
      <c r="H65" s="9" t="s">
        <v>306</v>
      </c>
      <c r="I65" s="9" t="str">
        <f aca="false">TRIM(A65) &amp; TRIM(F65) &amp; TRIM(H65)</f>
        <v>First ReviewESTTH</v>
      </c>
      <c r="J65" s="9" t="str">
        <f aca="false">IFERROR(VLOOKUP(I65,'WFM Q4 Target'!J:K,2,0),"-")</f>
        <v>-</v>
      </c>
      <c r="K65" s="9" t="n">
        <v>824.2817</v>
      </c>
      <c r="L65" s="9" t="n">
        <v>0</v>
      </c>
      <c r="M65" s="9" t="str">
        <f aca="false">IFERROR(IF(K65&gt;J65,"Not Meet Target","Meet Target"),"-")</f>
        <v>Meet Target</v>
      </c>
      <c r="N65" s="9" t="str">
        <f aca="false">IFERROR(VLOOKUP(D65,'Team Member List'!B:C,2,0),"")</f>
        <v>TL Okafor</v>
      </c>
      <c r="O65" s="9" t="s">
        <v>2408</v>
      </c>
    </row>
    <row r="66" customFormat="false" ht="15" hidden="false" customHeight="false" outlineLevel="0" collapsed="false">
      <c r="A66" s="9" t="s">
        <v>63</v>
      </c>
      <c r="B66" s="10"/>
      <c r="C66" s="9"/>
      <c r="D66" s="9" t="s">
        <v>2379</v>
      </c>
      <c r="E66" s="9"/>
      <c r="F66" s="9" t="s">
        <v>979</v>
      </c>
      <c r="G66" s="9" t="s">
        <v>979</v>
      </c>
      <c r="H66" s="9" t="s">
        <v>306</v>
      </c>
      <c r="I66" s="9" t="str">
        <f aca="false">TRIM(A66) &amp; TRIM(F66) &amp; TRIM(H66)</f>
        <v>First ReviewBooking Ads Pre ApprovalTH</v>
      </c>
      <c r="J66" s="9" t="n">
        <f aca="false">IFERROR(VLOOKUP(I66,'WFM Q4 Target'!J:K,2,0),"-")</f>
        <v>84.51</v>
      </c>
      <c r="K66" s="9" t="n">
        <v>144.6629</v>
      </c>
      <c r="L66" s="9" t="n">
        <v>22.1099</v>
      </c>
      <c r="M66" s="9" t="str">
        <f aca="false">IFERROR(IF(K66&gt;J66,"Not Meet Target","Meet Target"),"-")</f>
        <v>Not Meet Target</v>
      </c>
      <c r="N66" s="9" t="str">
        <f aca="false">IFERROR(VLOOKUP(D66,'Team Member List'!B:C,2,0),"")</f>
        <v>TL Okafor</v>
      </c>
      <c r="O66" s="9" t="s">
        <v>2408</v>
      </c>
    </row>
    <row r="67" customFormat="false" ht="15" hidden="false" customHeight="false" outlineLevel="0" collapsed="false">
      <c r="A67" s="9" t="s">
        <v>66</v>
      </c>
      <c r="B67" s="10"/>
      <c r="C67" s="9" t="s">
        <v>2361</v>
      </c>
      <c r="D67" s="9" t="s">
        <v>2361</v>
      </c>
      <c r="E67" s="9" t="s">
        <v>56</v>
      </c>
      <c r="F67" s="9" t="s">
        <v>75</v>
      </c>
      <c r="G67" s="9" t="s">
        <v>75</v>
      </c>
      <c r="H67" s="9" t="s">
        <v>235</v>
      </c>
      <c r="I67" s="9" t="str">
        <f aca="false">TRIM(A67) &amp; TRIM(F67) &amp; TRIM(H67)</f>
        <v>Posted RecallBid Ecom Ads GroupJP</v>
      </c>
      <c r="J67" s="9" t="n">
        <f aca="false">IFERROR(VLOOKUP(I67,'WFM Q4 Target'!J:K,2,0),"-")</f>
        <v>125.826</v>
      </c>
      <c r="K67" s="9" t="n">
        <v>116.2748</v>
      </c>
      <c r="L67" s="9" t="n">
        <v>44.8951</v>
      </c>
      <c r="M67" s="9" t="str">
        <f aca="false">IFERROR(IF(K67&gt;J67,"Not Meet Target","Meet Target"),"-")</f>
        <v>Meet Target</v>
      </c>
      <c r="N67" s="9" t="str">
        <f aca="false">IFERROR(VLOOKUP(D67,'Team Member List'!B:C,2,0),"")</f>
        <v>TL Okafor</v>
      </c>
      <c r="O67" s="9" t="s">
        <v>2408</v>
      </c>
    </row>
    <row r="68" customFormat="false" ht="15" hidden="false" customHeight="false" outlineLevel="0" collapsed="false">
      <c r="A68" s="9" t="s">
        <v>66</v>
      </c>
      <c r="B68" s="10"/>
      <c r="C68" s="9" t="s">
        <v>2393</v>
      </c>
      <c r="D68" s="9" t="s">
        <v>2393</v>
      </c>
      <c r="E68" s="9" t="s">
        <v>56</v>
      </c>
      <c r="F68" s="9" t="s">
        <v>57</v>
      </c>
      <c r="G68" s="9" t="s">
        <v>57</v>
      </c>
      <c r="H68" s="9" t="s">
        <v>106</v>
      </c>
      <c r="I68" s="9" t="str">
        <f aca="false">TRIM(A68) &amp; TRIM(F68) &amp; TRIM(H68)</f>
        <v>Posted RecallBid Ad GroupMY</v>
      </c>
      <c r="J68" s="9" t="n">
        <f aca="false">IFERROR(VLOOKUP(I68,'WFM Q4 Target'!J:K,2,0),"-")</f>
        <v>125.562</v>
      </c>
      <c r="K68" s="9" t="n">
        <v>195.1484</v>
      </c>
      <c r="L68" s="9" t="n">
        <v>218.851</v>
      </c>
      <c r="M68" s="9" t="str">
        <f aca="false">IFERROR(IF(K68&gt;J68,"Not Meet Target","Meet Target"),"-")</f>
        <v>Not Meet Target</v>
      </c>
      <c r="N68" s="9" t="str">
        <f aca="false">IFERROR(VLOOKUP(D68,'Team Member List'!B:C,2,0),"")</f>
        <v>TL Cabrera</v>
      </c>
      <c r="O68" s="9" t="s">
        <v>2408</v>
      </c>
    </row>
    <row r="69" customFormat="false" ht="15" hidden="false" customHeight="false" outlineLevel="0" collapsed="false">
      <c r="A69" s="9" t="s">
        <v>66</v>
      </c>
      <c r="B69" s="10"/>
      <c r="C69" s="9" t="s">
        <v>2387</v>
      </c>
      <c r="D69" s="9" t="s">
        <v>2387</v>
      </c>
      <c r="E69" s="9" t="s">
        <v>2009</v>
      </c>
      <c r="F69" s="9" t="s">
        <v>2012</v>
      </c>
      <c r="G69" s="9" t="s">
        <v>2012</v>
      </c>
      <c r="H69" s="9" t="s">
        <v>267</v>
      </c>
      <c r="I69" s="9" t="str">
        <f aca="false">TRIM(A69) &amp; TRIM(F69) &amp; TRIM(H69)</f>
        <v>Posted RecallTrial Install Android AppID</v>
      </c>
      <c r="J69" s="9" t="n">
        <f aca="false">IFERROR(VLOOKUP(I69,'WFM Q4 Target'!J:K,2,0),"-")</f>
        <v>532.764</v>
      </c>
      <c r="K69" s="9" t="n">
        <v>2176.939</v>
      </c>
      <c r="L69" s="9" t="n">
        <v>121.5492</v>
      </c>
      <c r="M69" s="9" t="str">
        <f aca="false">IFERROR(IF(K69&gt;J69,"Not Meet Target","Meet Target"),"-")</f>
        <v>Not Meet Target</v>
      </c>
      <c r="N69" s="9" t="str">
        <f aca="false">IFERROR(VLOOKUP(D69,'Team Member List'!B:C,2,0),"")</f>
        <v>TL Cabrera</v>
      </c>
      <c r="O69" s="9" t="s">
        <v>2408</v>
      </c>
    </row>
    <row r="70" customFormat="false" ht="15" hidden="false" customHeight="false" outlineLevel="0" collapsed="false">
      <c r="A70" s="9" t="s">
        <v>66</v>
      </c>
      <c r="B70" s="10"/>
      <c r="C70" s="9" t="s">
        <v>2388</v>
      </c>
      <c r="D70" s="9" t="s">
        <v>2388</v>
      </c>
      <c r="E70" s="9" t="s">
        <v>2009</v>
      </c>
      <c r="F70" s="9" t="s">
        <v>2012</v>
      </c>
      <c r="G70" s="9" t="s">
        <v>2012</v>
      </c>
      <c r="H70" s="9" t="s">
        <v>267</v>
      </c>
      <c r="I70" s="9" t="str">
        <f aca="false">TRIM(A70) &amp; TRIM(F70) &amp; TRIM(H70)</f>
        <v>Posted RecallTrial Install Android AppID</v>
      </c>
      <c r="J70" s="9" t="n">
        <f aca="false">IFERROR(VLOOKUP(I70,'WFM Q4 Target'!J:K,2,0),"-")</f>
        <v>532.764</v>
      </c>
      <c r="K70" s="9" t="n">
        <v>526.6103</v>
      </c>
      <c r="L70" s="9" t="n">
        <v>427.3362</v>
      </c>
      <c r="M70" s="9" t="str">
        <f aca="false">IFERROR(IF(K70&gt;J70,"Not Meet Target","Meet Target"),"-")</f>
        <v>Meet Target</v>
      </c>
      <c r="N70" s="9" t="str">
        <f aca="false">IFERROR(VLOOKUP(D70,'Team Member List'!B:C,2,0),"")</f>
        <v>TL Cabrera</v>
      </c>
      <c r="O70" s="9" t="s">
        <v>2408</v>
      </c>
    </row>
    <row r="71" customFormat="false" ht="15" hidden="false" customHeight="false" outlineLevel="0" collapsed="false">
      <c r="A71" s="9" t="s">
        <v>66</v>
      </c>
      <c r="B71" s="10"/>
      <c r="C71" s="9"/>
      <c r="D71" s="9" t="s">
        <v>2388</v>
      </c>
      <c r="E71" s="9"/>
      <c r="F71" s="9"/>
      <c r="G71" s="9" t="s">
        <v>2012</v>
      </c>
      <c r="H71" s="9" t="s">
        <v>95</v>
      </c>
      <c r="I71" s="9" t="str">
        <f aca="false">TRIM(A71) &amp; TRIM(F71) &amp; TRIM(H71)</f>
        <v>Posted RecallVN</v>
      </c>
      <c r="J71" s="9" t="str">
        <f aca="false">IFERROR(VLOOKUP(I71,'WFM Q4 Target'!J:K,2,0),"-")</f>
        <v>-</v>
      </c>
      <c r="K71" s="9" t="n">
        <v>358.8737</v>
      </c>
      <c r="L71" s="9" t="n">
        <v>1006.7968</v>
      </c>
      <c r="M71" s="9" t="str">
        <f aca="false">IFERROR(IF(K71&gt;J71,"Not Meet Target","Meet Target"),"-")</f>
        <v>Meet Target</v>
      </c>
      <c r="N71" s="9" t="str">
        <f aca="false">IFERROR(VLOOKUP(D71,'Team Member List'!B:C,2,0),"")</f>
        <v>TL Cabrera</v>
      </c>
      <c r="O71" s="9" t="s">
        <v>2408</v>
      </c>
    </row>
    <row r="72" customFormat="false" ht="15" hidden="false" customHeight="false" outlineLevel="0" collapsed="false">
      <c r="A72" s="9" t="s">
        <v>66</v>
      </c>
      <c r="B72" s="10"/>
      <c r="C72" s="9" t="s">
        <v>2385</v>
      </c>
      <c r="D72" s="9" t="s">
        <v>2385</v>
      </c>
      <c r="E72" s="9" t="s">
        <v>2009</v>
      </c>
      <c r="F72" s="9" t="s">
        <v>2012</v>
      </c>
      <c r="G72" s="9" t="s">
        <v>2012</v>
      </c>
      <c r="H72" s="9" t="s">
        <v>267</v>
      </c>
      <c r="I72" s="9" t="str">
        <f aca="false">TRIM(A72) &amp; TRIM(F72) &amp; TRIM(H72)</f>
        <v>Posted RecallTrial Install Android AppID</v>
      </c>
      <c r="J72" s="9" t="n">
        <f aca="false">IFERROR(VLOOKUP(I72,'WFM Q4 Target'!J:K,2,0),"-")</f>
        <v>532.764</v>
      </c>
      <c r="K72" s="9" t="n">
        <v>329.8717</v>
      </c>
      <c r="L72" s="9" t="n">
        <v>307.2843</v>
      </c>
      <c r="M72" s="9" t="str">
        <f aca="false">IFERROR(IF(K72&gt;J72,"Not Meet Target","Meet Target"),"-")</f>
        <v>Meet Target</v>
      </c>
      <c r="N72" s="9" t="str">
        <f aca="false">IFERROR(VLOOKUP(D72,'Team Member List'!B:C,2,0),"")</f>
        <v>TL Cabrera</v>
      </c>
      <c r="O72" s="9" t="s">
        <v>2408</v>
      </c>
    </row>
  </sheetData>
  <mergeCells count="16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N3:N4"/>
    <mergeCell ref="O3:O4"/>
  </mergeCells>
  <conditionalFormatting sqref="M5:M72">
    <cfRule type="containsText" priority="2" operator="containsText" aboveAverage="0" equalAverage="0" bottom="0" percent="0" rank="0" text="Not Meet Target" dxfId="0">
      <formula>NOT(ISERROR(SEARCH("Not Meet Target",M5)))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2398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2399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8" t="s">
        <v>8</v>
      </c>
      <c r="B3" s="8" t="s">
        <v>8</v>
      </c>
      <c r="C3" s="8" t="s">
        <v>2400</v>
      </c>
      <c r="D3" s="8" t="s">
        <v>2401</v>
      </c>
      <c r="E3" s="8" t="s">
        <v>5</v>
      </c>
      <c r="F3" s="8" t="s">
        <v>6</v>
      </c>
      <c r="G3" s="8" t="s">
        <v>6</v>
      </c>
      <c r="H3" s="8" t="s">
        <v>7</v>
      </c>
      <c r="I3" s="8" t="s">
        <v>13</v>
      </c>
      <c r="J3" s="8" t="s">
        <v>2402</v>
      </c>
      <c r="K3" s="8" t="s">
        <v>2414</v>
      </c>
      <c r="L3" s="8"/>
      <c r="M3" s="8" t="s">
        <v>2404</v>
      </c>
      <c r="N3" s="8" t="s">
        <v>2321</v>
      </c>
      <c r="O3" s="8" t="s">
        <v>2405</v>
      </c>
    </row>
    <row r="4" customFormat="false" ht="23.8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5" t="s">
        <v>2406</v>
      </c>
      <c r="L4" s="3" t="s">
        <v>2407</v>
      </c>
      <c r="M4" s="8"/>
      <c r="N4" s="8"/>
      <c r="O4" s="8"/>
    </row>
    <row r="5" customFormat="false" ht="15" hidden="false" customHeight="false" outlineLevel="0" collapsed="false">
      <c r="A5" s="9" t="s">
        <v>63</v>
      </c>
      <c r="B5" s="10"/>
      <c r="C5" s="9" t="s">
        <v>2355</v>
      </c>
      <c r="D5" s="9" t="s">
        <v>2355</v>
      </c>
      <c r="E5" s="9" t="s">
        <v>973</v>
      </c>
      <c r="F5" s="9" t="s">
        <v>979</v>
      </c>
      <c r="G5" s="9" t="s">
        <v>979</v>
      </c>
      <c r="H5" s="9" t="s">
        <v>100</v>
      </c>
      <c r="I5" s="9" t="str">
        <f aca="false">TRIM(A5) &amp; TRIM(F5) &amp; TRIM(H5)</f>
        <v>First ReviewBooking Ads Pre ApprovalAU</v>
      </c>
      <c r="J5" s="9" t="n">
        <f aca="false">IFERROR(VLOOKUP(I5,'WFM Q4 Target'!J:K,2,0),"-")</f>
        <v>174.66</v>
      </c>
      <c r="K5" s="9" t="n">
        <v>172.0025</v>
      </c>
      <c r="L5" s="9" t="n">
        <v>19.5694</v>
      </c>
      <c r="M5" s="9" t="str">
        <f aca="false">IFERROR(IF(K5&gt;J5,"Not Meet Target","Meet Target"),"-")</f>
        <v>Meet Target</v>
      </c>
      <c r="N5" s="9" t="str">
        <f aca="false">IFERROR(VLOOKUP(D5,'Team Member List'!B:C,2,0),"")</f>
        <v>TL Lindgren</v>
      </c>
      <c r="O5" s="9" t="s">
        <v>2408</v>
      </c>
    </row>
    <row r="6" customFormat="false" ht="15" hidden="false" customHeight="false" outlineLevel="0" collapsed="false">
      <c r="A6" s="9" t="s">
        <v>63</v>
      </c>
      <c r="B6" s="10"/>
      <c r="C6" s="9"/>
      <c r="D6" s="9" t="s">
        <v>2355</v>
      </c>
      <c r="E6" s="9"/>
      <c r="F6" s="9" t="s">
        <v>974</v>
      </c>
      <c r="G6" s="9" t="s">
        <v>974</v>
      </c>
      <c r="H6" s="9" t="s">
        <v>154</v>
      </c>
      <c r="I6" s="9" t="str">
        <f aca="false">TRIM(A6) &amp; TRIM(F6) &amp; TRIM(H6)</f>
        <v>First ReviewHighlight ViewES</v>
      </c>
      <c r="J6" s="9" t="n">
        <f aca="false">IFERROR(VLOOKUP(I6,'WFM Q4 Target'!J:K,2,0),"-")</f>
        <v>168.468</v>
      </c>
      <c r="K6" s="9" t="n">
        <v>234.3876</v>
      </c>
      <c r="L6" s="9" t="n">
        <v>0</v>
      </c>
      <c r="M6" s="9" t="str">
        <f aca="false">IFERROR(IF(K6&gt;J6,"Not Meet Target","Meet Target"),"-")</f>
        <v>Not Meet Target</v>
      </c>
      <c r="N6" s="9" t="str">
        <f aca="false">IFERROR(VLOOKUP(D6,'Team Member List'!B:C,2,0),"")</f>
        <v>TL Lindgren</v>
      </c>
      <c r="O6" s="9" t="s">
        <v>2408</v>
      </c>
    </row>
    <row r="7" customFormat="false" ht="15" hidden="false" customHeight="false" outlineLevel="0" collapsed="false">
      <c r="A7" s="9" t="s">
        <v>63</v>
      </c>
      <c r="B7" s="10"/>
      <c r="C7" s="9"/>
      <c r="D7" s="9" t="s">
        <v>2355</v>
      </c>
      <c r="E7" s="9"/>
      <c r="F7" s="9" t="s">
        <v>974</v>
      </c>
      <c r="G7" s="9"/>
      <c r="H7" s="9" t="s">
        <v>275</v>
      </c>
      <c r="I7" s="9" t="str">
        <f aca="false">TRIM(A7) &amp; TRIM(F7) &amp; TRIM(H7)</f>
        <v>First ReviewHighlight ViewGB</v>
      </c>
      <c r="J7" s="9" t="n">
        <f aca="false">IFERROR(VLOOKUP(I7,'WFM Q4 Target'!J:K,2,0),"-")</f>
        <v>151.884</v>
      </c>
      <c r="K7" s="9" t="n">
        <v>373.6594</v>
      </c>
      <c r="L7" s="9" t="n">
        <v>0</v>
      </c>
      <c r="M7" s="9" t="str">
        <f aca="false">IFERROR(IF(K7&gt;J7,"Not Meet Target","Meet Target"),"-")</f>
        <v>Not Meet Target</v>
      </c>
      <c r="N7" s="9" t="str">
        <f aca="false">IFERROR(VLOOKUP(D7,'Team Member List'!B:C,2,0),"")</f>
        <v>TL Lindgren</v>
      </c>
      <c r="O7" s="9" t="s">
        <v>2408</v>
      </c>
    </row>
    <row r="8" customFormat="false" ht="15" hidden="false" customHeight="false" outlineLevel="0" collapsed="false">
      <c r="A8" s="9" t="s">
        <v>63</v>
      </c>
      <c r="B8" s="10"/>
      <c r="C8" s="9"/>
      <c r="D8" s="9" t="s">
        <v>2355</v>
      </c>
      <c r="E8" s="9"/>
      <c r="F8" s="9" t="s">
        <v>974</v>
      </c>
      <c r="G8" s="9"/>
      <c r="H8" s="9" t="s">
        <v>255</v>
      </c>
      <c r="I8" s="9" t="str">
        <f aca="false">TRIM(A8) &amp; TRIM(F8) &amp; TRIM(H8)</f>
        <v>First ReviewHighlight ViewNZ</v>
      </c>
      <c r="J8" s="9" t="n">
        <f aca="false">IFERROR(VLOOKUP(I8,'WFM Q4 Target'!J:K,2,0),"-")</f>
        <v>212.076</v>
      </c>
      <c r="K8" s="9" t="n">
        <v>488.2698</v>
      </c>
      <c r="L8" s="9" t="n">
        <v>0</v>
      </c>
      <c r="M8" s="9" t="str">
        <f aca="false">IFERROR(IF(K8&gt;J8,"Not Meet Target","Meet Target"),"-")</f>
        <v>Not Meet Target</v>
      </c>
      <c r="N8" s="9" t="str">
        <f aca="false">IFERROR(VLOOKUP(D8,'Team Member List'!B:C,2,0),"")</f>
        <v>TL Lindgren</v>
      </c>
      <c r="O8" s="9" t="s">
        <v>2408</v>
      </c>
    </row>
    <row r="9" customFormat="false" ht="15" hidden="false" customHeight="false" outlineLevel="0" collapsed="false">
      <c r="A9" s="9" t="s">
        <v>63</v>
      </c>
      <c r="B9" s="10"/>
      <c r="C9" s="9"/>
      <c r="D9" s="9" t="s">
        <v>2355</v>
      </c>
      <c r="E9" s="9"/>
      <c r="F9" s="9" t="s">
        <v>974</v>
      </c>
      <c r="G9" s="9"/>
      <c r="H9" s="9" t="s">
        <v>308</v>
      </c>
      <c r="I9" s="9" t="str">
        <f aca="false">TRIM(A9) &amp; TRIM(F9) &amp; TRIM(H9)</f>
        <v>First ReviewHighlight ViewPL</v>
      </c>
      <c r="J9" s="9" t="n">
        <f aca="false">IFERROR(VLOOKUP(I9,'WFM Q4 Target'!J:K,2,0),"-")</f>
        <v>598.278</v>
      </c>
      <c r="K9" s="9" t="n">
        <v>351.0042</v>
      </c>
      <c r="L9" s="9" t="n">
        <v>0</v>
      </c>
      <c r="M9" s="9" t="str">
        <f aca="false">IFERROR(IF(K9&gt;J9,"Not Meet Target","Meet Target"),"-")</f>
        <v>Meet Target</v>
      </c>
      <c r="N9" s="9" t="str">
        <f aca="false">IFERROR(VLOOKUP(D9,'Team Member List'!B:C,2,0),"")</f>
        <v>TL Lindgren</v>
      </c>
      <c r="O9" s="9" t="s">
        <v>2408</v>
      </c>
    </row>
    <row r="10" customFormat="false" ht="15" hidden="false" customHeight="false" outlineLevel="0" collapsed="false">
      <c r="A10" s="9" t="s">
        <v>63</v>
      </c>
      <c r="B10" s="10"/>
      <c r="C10" s="9"/>
      <c r="D10" s="9" t="s">
        <v>2355</v>
      </c>
      <c r="E10" s="9"/>
      <c r="F10" s="9" t="s">
        <v>974</v>
      </c>
      <c r="G10" s="9"/>
      <c r="H10" s="9" t="s">
        <v>157</v>
      </c>
      <c r="I10" s="9" t="str">
        <f aca="false">TRIM(A10) &amp; TRIM(F10) &amp; TRIM(H10)</f>
        <v>First ReviewHighlight ViewSA</v>
      </c>
      <c r="J10" s="9" t="n">
        <f aca="false">IFERROR(VLOOKUP(I10,'WFM Q4 Target'!J:K,2,0),"-")</f>
        <v>778.374</v>
      </c>
      <c r="K10" s="9" t="n">
        <v>129.0047</v>
      </c>
      <c r="L10" s="9" t="n">
        <v>0</v>
      </c>
      <c r="M10" s="9" t="str">
        <f aca="false">IFERROR(IF(K10&gt;J10,"Not Meet Target","Meet Target"),"-")</f>
        <v>Meet Target</v>
      </c>
      <c r="N10" s="9" t="str">
        <f aca="false">IFERROR(VLOOKUP(D10,'Team Member List'!B:C,2,0),"")</f>
        <v>TL Lindgren</v>
      </c>
      <c r="O10" s="9" t="s">
        <v>2408</v>
      </c>
    </row>
    <row r="11" customFormat="false" ht="15" hidden="false" customHeight="false" outlineLevel="0" collapsed="false">
      <c r="A11" s="9" t="s">
        <v>63</v>
      </c>
      <c r="B11" s="10"/>
      <c r="C11" s="9" t="s">
        <v>2371</v>
      </c>
      <c r="D11" s="9" t="s">
        <v>2371</v>
      </c>
      <c r="E11" s="9" t="s">
        <v>973</v>
      </c>
      <c r="F11" s="9" t="s">
        <v>979</v>
      </c>
      <c r="G11" s="9" t="s">
        <v>979</v>
      </c>
      <c r="H11" s="9" t="s">
        <v>458</v>
      </c>
      <c r="I11" s="9" t="str">
        <f aca="false">TRIM(A11) &amp; TRIM(F11) &amp; TRIM(H11)</f>
        <v>First ReviewBooking Ads Pre ApprovalTW</v>
      </c>
      <c r="J11" s="9" t="n">
        <f aca="false">IFERROR(VLOOKUP(I11,'WFM Q4 Target'!J:K,2,0),"-")</f>
        <v>256.044</v>
      </c>
      <c r="K11" s="9" t="n">
        <v>198.4791</v>
      </c>
      <c r="L11" s="9" t="n">
        <v>40.4862</v>
      </c>
      <c r="M11" s="9" t="str">
        <f aca="false">IFERROR(IF(K11&gt;J11,"Not Meet Target","Meet Target"),"-")</f>
        <v>Meet Target</v>
      </c>
      <c r="N11" s="9" t="str">
        <f aca="false">IFERROR(VLOOKUP(D11,'Team Member List'!B:C,2,0),"")</f>
        <v>TL Okafor</v>
      </c>
      <c r="O11" s="9" t="s">
        <v>2408</v>
      </c>
    </row>
    <row r="12" customFormat="false" ht="15" hidden="false" customHeight="false" outlineLevel="0" collapsed="false">
      <c r="A12" s="9" t="s">
        <v>63</v>
      </c>
      <c r="B12" s="10"/>
      <c r="C12" s="9"/>
      <c r="D12" s="9" t="s">
        <v>2371</v>
      </c>
      <c r="E12" s="9"/>
      <c r="F12" s="9" t="s">
        <v>974</v>
      </c>
      <c r="G12" s="9" t="s">
        <v>974</v>
      </c>
      <c r="H12" s="9" t="s">
        <v>458</v>
      </c>
      <c r="I12" s="9" t="str">
        <f aca="false">TRIM(A12) &amp; TRIM(F12) &amp; TRIM(H12)</f>
        <v>First ReviewHighlight ViewTW</v>
      </c>
      <c r="J12" s="9" t="n">
        <f aca="false">IFERROR(VLOOKUP(I12,'WFM Q4 Target'!J:K,2,0),"-")</f>
        <v>261.162</v>
      </c>
      <c r="K12" s="9" t="n">
        <v>261.8074</v>
      </c>
      <c r="L12" s="9" t="n">
        <v>0</v>
      </c>
      <c r="M12" s="9" t="str">
        <f aca="false">IFERROR(IF(K12&gt;J12,"Not Meet Target","Meet Target"),"-")</f>
        <v>Not Meet Target</v>
      </c>
      <c r="N12" s="9" t="str">
        <f aca="false">IFERROR(VLOOKUP(D12,'Team Member List'!B:C,2,0),"")</f>
        <v>TL Okafor</v>
      </c>
      <c r="O12" s="9" t="s">
        <v>2408</v>
      </c>
    </row>
    <row r="13" customFormat="false" ht="15" hidden="false" customHeight="false" outlineLevel="0" collapsed="false">
      <c r="A13" s="9" t="s">
        <v>63</v>
      </c>
      <c r="B13" s="10"/>
      <c r="C13" s="9" t="s">
        <v>2345</v>
      </c>
      <c r="D13" s="9" t="s">
        <v>2345</v>
      </c>
      <c r="E13" s="9" t="s">
        <v>973</v>
      </c>
      <c r="F13" s="9" t="s">
        <v>979</v>
      </c>
      <c r="G13" s="9" t="s">
        <v>979</v>
      </c>
      <c r="H13" s="9" t="s">
        <v>95</v>
      </c>
      <c r="I13" s="9" t="str">
        <f aca="false">TRIM(A13) &amp; TRIM(F13) &amp; TRIM(H13)</f>
        <v>First ReviewBooking Ads Pre ApprovalVN</v>
      </c>
      <c r="J13" s="9" t="n">
        <f aca="false">IFERROR(VLOOKUP(I13,'WFM Q4 Target'!J:K,2,0),"-")</f>
        <v>213.222</v>
      </c>
      <c r="K13" s="9" t="n">
        <v>424.7292</v>
      </c>
      <c r="L13" s="9" t="n">
        <v>28.2749</v>
      </c>
      <c r="M13" s="9" t="str">
        <f aca="false">IFERROR(IF(K13&gt;J13,"Not Meet Target","Meet Target"),"-")</f>
        <v>Not Meet Target</v>
      </c>
      <c r="N13" s="9" t="str">
        <f aca="false">IFERROR(VLOOKUP(D13,'Team Member List'!B:C,2,0),"")</f>
        <v>TL Lindgren</v>
      </c>
      <c r="O13" s="9" t="s">
        <v>2408</v>
      </c>
    </row>
    <row r="14" customFormat="false" ht="15" hidden="false" customHeight="false" outlineLevel="0" collapsed="false">
      <c r="A14" s="9" t="s">
        <v>63</v>
      </c>
      <c r="B14" s="10"/>
      <c r="C14" s="9"/>
      <c r="D14" s="9" t="s">
        <v>2345</v>
      </c>
      <c r="E14" s="9"/>
      <c r="F14" s="9" t="s">
        <v>974</v>
      </c>
      <c r="G14" s="9" t="s">
        <v>974</v>
      </c>
      <c r="H14" s="9" t="s">
        <v>89</v>
      </c>
      <c r="I14" s="9" t="str">
        <f aca="false">TRIM(A14) &amp; TRIM(F14) &amp; TRIM(H14)</f>
        <v>First ReviewHighlight ViewFI</v>
      </c>
      <c r="J14" s="9" t="n">
        <f aca="false">IFERROR(VLOOKUP(I14,'WFM Q4 Target'!J:K,2,0),"-")</f>
        <v>612.93</v>
      </c>
      <c r="K14" s="9" t="n">
        <v>377.5876</v>
      </c>
      <c r="L14" s="9" t="n">
        <v>0</v>
      </c>
      <c r="M14" s="9" t="str">
        <f aca="false">IFERROR(IF(K14&gt;J14,"Not Meet Target","Meet Target"),"-")</f>
        <v>Meet Target</v>
      </c>
      <c r="N14" s="9" t="str">
        <f aca="false">IFERROR(VLOOKUP(D14,'Team Member List'!B:C,2,0),"")</f>
        <v>TL Lindgren</v>
      </c>
      <c r="O14" s="9" t="s">
        <v>2408</v>
      </c>
    </row>
    <row r="15" customFormat="false" ht="15" hidden="false" customHeight="false" outlineLevel="0" collapsed="false">
      <c r="A15" s="9" t="s">
        <v>63</v>
      </c>
      <c r="B15" s="10"/>
      <c r="C15" s="9"/>
      <c r="D15" s="9" t="s">
        <v>2345</v>
      </c>
      <c r="E15" s="9"/>
      <c r="F15" s="9" t="s">
        <v>974</v>
      </c>
      <c r="G15" s="9"/>
      <c r="H15" s="9" t="s">
        <v>308</v>
      </c>
      <c r="I15" s="9" t="str">
        <f aca="false">TRIM(A15) &amp; TRIM(F15) &amp; TRIM(H15)</f>
        <v>First ReviewHighlight ViewPL</v>
      </c>
      <c r="J15" s="9" t="n">
        <f aca="false">IFERROR(VLOOKUP(I15,'WFM Q4 Target'!J:K,2,0),"-")</f>
        <v>598.278</v>
      </c>
      <c r="K15" s="9" t="n">
        <v>444.3515</v>
      </c>
      <c r="L15" s="9" t="n">
        <v>0</v>
      </c>
      <c r="M15" s="9" t="str">
        <f aca="false">IFERROR(IF(K15&gt;J15,"Not Meet Target","Meet Target"),"-")</f>
        <v>Meet Target</v>
      </c>
      <c r="N15" s="9" t="str">
        <f aca="false">IFERROR(VLOOKUP(D15,'Team Member List'!B:C,2,0),"")</f>
        <v>TL Lindgren</v>
      </c>
      <c r="O15" s="9" t="s">
        <v>2408</v>
      </c>
    </row>
    <row r="16" customFormat="false" ht="15" hidden="false" customHeight="false" outlineLevel="0" collapsed="false">
      <c r="A16" s="9" t="s">
        <v>63</v>
      </c>
      <c r="B16" s="10"/>
      <c r="C16" s="9"/>
      <c r="D16" s="9" t="s">
        <v>2345</v>
      </c>
      <c r="E16" s="9" t="s">
        <v>1346</v>
      </c>
      <c r="F16" s="9" t="s">
        <v>1347</v>
      </c>
      <c r="G16" s="9" t="s">
        <v>1347</v>
      </c>
      <c r="H16" s="9" t="s">
        <v>111</v>
      </c>
      <c r="I16" s="9" t="str">
        <f aca="false">TRIM(A16) &amp; TRIM(F16) &amp; TRIM(H16)</f>
        <v>First ReviewFX StudioUS</v>
      </c>
      <c r="J16" s="9" t="n">
        <f aca="false">IFERROR(VLOOKUP(I16,'WFM Q4 Target'!J:K,2,0),"-")</f>
        <v>61.572</v>
      </c>
      <c r="K16" s="9" t="n">
        <v>420.7932</v>
      </c>
      <c r="L16" s="9" t="n">
        <v>2.3842</v>
      </c>
      <c r="M16" s="9" t="str">
        <f aca="false">IFERROR(IF(K16&gt;J16,"Not Meet Target","Meet Target"),"-")</f>
        <v>Not Meet Target</v>
      </c>
      <c r="N16" s="9" t="str">
        <f aca="false">IFERROR(VLOOKUP(D16,'Team Member List'!B:C,2,0),"")</f>
        <v>TL Lindgren</v>
      </c>
      <c r="O16" s="9" t="s">
        <v>2408</v>
      </c>
    </row>
    <row r="17" customFormat="false" ht="15" hidden="false" customHeight="false" outlineLevel="0" collapsed="false">
      <c r="A17" s="9" t="s">
        <v>63</v>
      </c>
      <c r="B17" s="10"/>
      <c r="C17" s="9" t="s">
        <v>2379</v>
      </c>
      <c r="D17" s="9" t="s">
        <v>2379</v>
      </c>
      <c r="E17" s="9" t="s">
        <v>973</v>
      </c>
      <c r="F17" s="9" t="s">
        <v>979</v>
      </c>
      <c r="G17" s="9" t="s">
        <v>979</v>
      </c>
      <c r="H17" s="9" t="s">
        <v>306</v>
      </c>
      <c r="I17" s="9" t="str">
        <f aca="false">TRIM(A17) &amp; TRIM(F17) &amp; TRIM(H17)</f>
        <v>First ReviewBooking Ads Pre ApprovalTH</v>
      </c>
      <c r="J17" s="9" t="n">
        <f aca="false">IFERROR(VLOOKUP(I17,'WFM Q4 Target'!J:K,2,0),"-")</f>
        <v>84.51</v>
      </c>
      <c r="K17" s="9" t="n">
        <v>202.4655</v>
      </c>
      <c r="L17" s="9" t="n">
        <v>14.3378</v>
      </c>
      <c r="M17" s="9" t="str">
        <f aca="false">IFERROR(IF(K17&gt;J17,"Not Meet Target","Meet Target"),"-")</f>
        <v>Not Meet Target</v>
      </c>
      <c r="N17" s="9" t="str">
        <f aca="false">IFERROR(VLOOKUP(D17,'Team Member List'!B:C,2,0),"")</f>
        <v>TL Okafor</v>
      </c>
      <c r="O17" s="9" t="s">
        <v>2408</v>
      </c>
    </row>
    <row r="18" customFormat="false" ht="15" hidden="false" customHeight="false" outlineLevel="0" collapsed="false">
      <c r="A18" s="9" t="s">
        <v>63</v>
      </c>
      <c r="B18" s="10"/>
      <c r="C18" s="9"/>
      <c r="D18" s="9" t="s">
        <v>2379</v>
      </c>
      <c r="E18" s="9"/>
      <c r="F18" s="9" t="s">
        <v>974</v>
      </c>
      <c r="G18" s="9" t="s">
        <v>974</v>
      </c>
      <c r="H18" s="9" t="s">
        <v>306</v>
      </c>
      <c r="I18" s="9" t="str">
        <f aca="false">TRIM(A18) &amp; TRIM(F18) &amp; TRIM(H18)</f>
        <v>First ReviewHighlight ViewTH</v>
      </c>
      <c r="J18" s="9" t="n">
        <f aca="false">IFERROR(VLOOKUP(I18,'WFM Q4 Target'!J:K,2,0),"-")</f>
        <v>225.126</v>
      </c>
      <c r="K18" s="9" t="n">
        <v>367.2237</v>
      </c>
      <c r="L18" s="9" t="n">
        <v>0</v>
      </c>
      <c r="M18" s="9" t="str">
        <f aca="false">IFERROR(IF(K18&gt;J18,"Not Meet Target","Meet Target"),"-")</f>
        <v>Not Meet Target</v>
      </c>
      <c r="N18" s="9" t="str">
        <f aca="false">IFERROR(VLOOKUP(D18,'Team Member List'!B:C,2,0),"")</f>
        <v>TL Okafor</v>
      </c>
      <c r="O18" s="9" t="s">
        <v>2408</v>
      </c>
    </row>
    <row r="19" customFormat="false" ht="15" hidden="false" customHeight="false" outlineLevel="0" collapsed="false">
      <c r="A19" s="9" t="s">
        <v>63</v>
      </c>
      <c r="B19" s="10"/>
      <c r="C19" s="9" t="s">
        <v>2334</v>
      </c>
      <c r="D19" s="9" t="s">
        <v>2334</v>
      </c>
      <c r="E19" s="9" t="s">
        <v>973</v>
      </c>
      <c r="F19" s="9" t="s">
        <v>974</v>
      </c>
      <c r="G19" s="9" t="s">
        <v>974</v>
      </c>
      <c r="H19" s="9" t="s">
        <v>267</v>
      </c>
      <c r="I19" s="9" t="str">
        <f aca="false">TRIM(A19) &amp; TRIM(F19) &amp; TRIM(H19)</f>
        <v>First ReviewHighlight ViewID</v>
      </c>
      <c r="J19" s="9" t="n">
        <f aca="false">IFERROR(VLOOKUP(I19,'WFM Q4 Target'!J:K,2,0),"-")</f>
        <v>590.502</v>
      </c>
      <c r="K19" s="9" t="n">
        <v>514.1014</v>
      </c>
      <c r="L19" s="9" t="n">
        <v>0</v>
      </c>
      <c r="M19" s="9" t="str">
        <f aca="false">IFERROR(IF(K19&gt;J19,"Not Meet Target","Meet Target"),"-")</f>
        <v>Meet Target</v>
      </c>
      <c r="N19" s="9" t="str">
        <f aca="false">IFERROR(VLOOKUP(D19,'Team Member List'!B:C,2,0),"")</f>
        <v>TL Ramirez</v>
      </c>
      <c r="O19" s="9" t="s">
        <v>2408</v>
      </c>
    </row>
    <row r="20" customFormat="false" ht="15" hidden="false" customHeight="false" outlineLevel="0" collapsed="false">
      <c r="A20" s="9" t="s">
        <v>63</v>
      </c>
      <c r="B20" s="10"/>
      <c r="C20" s="9"/>
      <c r="D20" s="9" t="s">
        <v>2334</v>
      </c>
      <c r="E20" s="9" t="s">
        <v>1432</v>
      </c>
      <c r="F20" s="9" t="s">
        <v>1438</v>
      </c>
      <c r="G20" s="9" t="s">
        <v>1438</v>
      </c>
      <c r="H20" s="9" t="s">
        <v>267</v>
      </c>
      <c r="I20" s="9" t="str">
        <f aca="false">TRIM(A20) &amp; TRIM(F20) &amp; TRIM(H20)</f>
        <v>First ReviewQuest Adv VideoID</v>
      </c>
      <c r="J20" s="9" t="n">
        <f aca="false">IFERROR(VLOOKUP(I20,'WFM Q4 Target'!J:K,2,0),"-")</f>
        <v>49.086</v>
      </c>
      <c r="K20" s="9" t="n">
        <v>134.2448</v>
      </c>
      <c r="L20" s="9" t="n">
        <v>50.8421</v>
      </c>
      <c r="M20" s="9" t="str">
        <f aca="false">IFERROR(IF(K20&gt;J20,"Not Meet Target","Meet Target"),"-")</f>
        <v>Not Meet Target</v>
      </c>
      <c r="N20" s="9" t="str">
        <f aca="false">IFERROR(VLOOKUP(D20,'Team Member List'!B:C,2,0),"")</f>
        <v>TL Ramirez</v>
      </c>
      <c r="O20" s="9" t="s">
        <v>2408</v>
      </c>
    </row>
    <row r="21" customFormat="false" ht="15" hidden="false" customHeight="false" outlineLevel="0" collapsed="false">
      <c r="A21" s="9" t="s">
        <v>63</v>
      </c>
      <c r="B21" s="10"/>
      <c r="C21" s="9" t="s">
        <v>2374</v>
      </c>
      <c r="D21" s="9" t="s">
        <v>2374</v>
      </c>
      <c r="E21" s="9" t="s">
        <v>973</v>
      </c>
      <c r="F21" s="9" t="s">
        <v>974</v>
      </c>
      <c r="G21" s="9" t="s">
        <v>974</v>
      </c>
      <c r="H21" s="9" t="s">
        <v>213</v>
      </c>
      <c r="I21" s="9" t="str">
        <f aca="false">TRIM(A21) &amp; TRIM(F21) &amp; TRIM(H21)</f>
        <v>First ReviewHighlight ViewFR</v>
      </c>
      <c r="J21" s="9" t="n">
        <f aca="false">IFERROR(VLOOKUP(I21,'WFM Q4 Target'!J:K,2,0),"-")</f>
        <v>636.57</v>
      </c>
      <c r="K21" s="9" t="n">
        <v>212.8487</v>
      </c>
      <c r="L21" s="9" t="n">
        <v>0</v>
      </c>
      <c r="M21" s="9" t="str">
        <f aca="false">IFERROR(IF(K21&gt;J21,"Not Meet Target","Meet Target"),"-")</f>
        <v>Meet Target</v>
      </c>
      <c r="N21" s="9" t="str">
        <f aca="false">IFERROR(VLOOKUP(D21,'Team Member List'!B:C,2,0),"")</f>
        <v>TL Okafor</v>
      </c>
      <c r="O21" s="9" t="s">
        <v>2408</v>
      </c>
    </row>
    <row r="22" customFormat="false" ht="15" hidden="false" customHeight="false" outlineLevel="0" collapsed="false">
      <c r="A22" s="9" t="s">
        <v>63</v>
      </c>
      <c r="B22" s="10"/>
      <c r="C22" s="9"/>
      <c r="D22" s="9" t="s">
        <v>2374</v>
      </c>
      <c r="E22" s="9"/>
      <c r="F22" s="9" t="s">
        <v>974</v>
      </c>
      <c r="G22" s="9"/>
      <c r="H22" s="9" t="s">
        <v>235</v>
      </c>
      <c r="I22" s="9" t="str">
        <f aca="false">TRIM(A22) &amp; TRIM(F22) &amp; TRIM(H22)</f>
        <v>First ReviewHighlight ViewJP</v>
      </c>
      <c r="J22" s="9" t="n">
        <f aca="false">IFERROR(VLOOKUP(I22,'WFM Q4 Target'!J:K,2,0),"-")</f>
        <v>759.402</v>
      </c>
      <c r="K22" s="9" t="n">
        <v>178.2818</v>
      </c>
      <c r="L22" s="9" t="n">
        <v>0</v>
      </c>
      <c r="M22" s="9" t="str">
        <f aca="false">IFERROR(IF(K22&gt;J22,"Not Meet Target","Meet Target"),"-")</f>
        <v>Meet Target</v>
      </c>
      <c r="N22" s="9" t="str">
        <f aca="false">IFERROR(VLOOKUP(D22,'Team Member List'!B:C,2,0),"")</f>
        <v>TL Okafor</v>
      </c>
      <c r="O22" s="9" t="s">
        <v>2408</v>
      </c>
    </row>
    <row r="23" customFormat="false" ht="15" hidden="false" customHeight="false" outlineLevel="0" collapsed="false">
      <c r="A23" s="9" t="s">
        <v>63</v>
      </c>
      <c r="B23" s="10"/>
      <c r="C23" s="9" t="s">
        <v>2373</v>
      </c>
      <c r="D23" s="9" t="s">
        <v>2373</v>
      </c>
      <c r="E23" s="9" t="s">
        <v>973</v>
      </c>
      <c r="F23" s="9" t="s">
        <v>974</v>
      </c>
      <c r="G23" s="9" t="s">
        <v>974</v>
      </c>
      <c r="H23" s="9" t="s">
        <v>87</v>
      </c>
      <c r="I23" s="9" t="str">
        <f aca="false">TRIM(A23) &amp; TRIM(F23) &amp; TRIM(H23)</f>
        <v>First ReviewHighlight ViewAE</v>
      </c>
      <c r="J23" s="9" t="n">
        <f aca="false">IFERROR(VLOOKUP(I23,'WFM Q4 Target'!J:K,2,0),"-")</f>
        <v>6.33</v>
      </c>
      <c r="K23" s="9" t="n">
        <v>210.9463</v>
      </c>
      <c r="L23" s="9" t="n">
        <v>0</v>
      </c>
      <c r="M23" s="9" t="str">
        <f aca="false">IFERROR(IF(K23&gt;J23,"Not Meet Target","Meet Target"),"-")</f>
        <v>Not Meet Target</v>
      </c>
      <c r="N23" s="9" t="str">
        <f aca="false">IFERROR(VLOOKUP(D23,'Team Member List'!B:C,2,0),"")</f>
        <v>TL Okafor</v>
      </c>
      <c r="O23" s="9" t="s">
        <v>2408</v>
      </c>
    </row>
    <row r="24" customFormat="false" ht="15" hidden="false" customHeight="false" outlineLevel="0" collapsed="false">
      <c r="A24" s="9" t="s">
        <v>63</v>
      </c>
      <c r="B24" s="10"/>
      <c r="C24" s="9"/>
      <c r="D24" s="9" t="s">
        <v>2373</v>
      </c>
      <c r="E24" s="9" t="s">
        <v>1432</v>
      </c>
      <c r="F24" s="9" t="s">
        <v>1502</v>
      </c>
      <c r="G24" s="9" t="s">
        <v>1502</v>
      </c>
      <c r="H24" s="9" t="s">
        <v>111</v>
      </c>
      <c r="I24" s="9" t="str">
        <f aca="false">TRIM(A24) &amp; TRIM(F24) &amp; TRIM(H24)</f>
        <v>First ReviewBE Adv VideoUS</v>
      </c>
      <c r="J24" s="9" t="str">
        <f aca="false">IFERROR(VLOOKUP(I24,'WFM Q4 Target'!J:K,2,0),"-")</f>
        <v>-</v>
      </c>
      <c r="K24" s="9" t="n">
        <v>1190.1027</v>
      </c>
      <c r="L24" s="9" t="n">
        <v>35.5353</v>
      </c>
      <c r="M24" s="9" t="str">
        <f aca="false">IFERROR(IF(K24&gt;J24,"Not Meet Target","Meet Target"),"-")</f>
        <v>Meet Target</v>
      </c>
      <c r="N24" s="9" t="str">
        <f aca="false">IFERROR(VLOOKUP(D24,'Team Member List'!B:C,2,0),"")</f>
        <v>TL Okafor</v>
      </c>
      <c r="O24" s="9" t="s">
        <v>2408</v>
      </c>
    </row>
    <row r="25" customFormat="false" ht="15" hidden="false" customHeight="false" outlineLevel="0" collapsed="false">
      <c r="A25" s="9" t="s">
        <v>63</v>
      </c>
      <c r="B25" s="10"/>
      <c r="C25" s="9"/>
      <c r="D25" s="9" t="s">
        <v>2373</v>
      </c>
      <c r="E25" s="9"/>
      <c r="F25" s="9" t="s">
        <v>1458</v>
      </c>
      <c r="G25" s="9" t="s">
        <v>1458</v>
      </c>
      <c r="H25" s="9" t="s">
        <v>190</v>
      </c>
      <c r="I25" s="9" t="str">
        <f aca="false">TRIM(A25) &amp; TRIM(F25) &amp; TRIM(H25)</f>
        <v>First ReviewHTC Adv VideoPH</v>
      </c>
      <c r="J25" s="9" t="n">
        <f aca="false">IFERROR(VLOOKUP(I25,'WFM Q4 Target'!J:K,2,0),"-")</f>
        <v>29.562</v>
      </c>
      <c r="K25" s="9" t="n">
        <v>204.9477</v>
      </c>
      <c r="L25" s="9" t="n">
        <v>18.6145</v>
      </c>
      <c r="M25" s="9" t="str">
        <f aca="false">IFERROR(IF(K25&gt;J25,"Not Meet Target","Meet Target"),"-")</f>
        <v>Not Meet Target</v>
      </c>
      <c r="N25" s="9" t="str">
        <f aca="false">IFERROR(VLOOKUP(D25,'Team Member List'!B:C,2,0),"")</f>
        <v>TL Okafor</v>
      </c>
      <c r="O25" s="9" t="s">
        <v>2408</v>
      </c>
    </row>
    <row r="26" customFormat="false" ht="15" hidden="false" customHeight="false" outlineLevel="0" collapsed="false">
      <c r="A26" s="9" t="s">
        <v>63</v>
      </c>
      <c r="B26" s="10"/>
      <c r="C26" s="9" t="s">
        <v>2376</v>
      </c>
      <c r="D26" s="9" t="s">
        <v>2376</v>
      </c>
      <c r="E26" s="9" t="s">
        <v>973</v>
      </c>
      <c r="F26" s="9" t="s">
        <v>974</v>
      </c>
      <c r="G26" s="9" t="s">
        <v>974</v>
      </c>
      <c r="H26" s="9" t="s">
        <v>235</v>
      </c>
      <c r="I26" s="9" t="str">
        <f aca="false">TRIM(A26) &amp; TRIM(F26) &amp; TRIM(H26)</f>
        <v>First ReviewHighlight ViewJP</v>
      </c>
      <c r="J26" s="9" t="n">
        <f aca="false">IFERROR(VLOOKUP(I26,'WFM Q4 Target'!J:K,2,0),"-")</f>
        <v>759.402</v>
      </c>
      <c r="K26" s="9" t="n">
        <v>227.1809</v>
      </c>
      <c r="L26" s="9" t="n">
        <v>0</v>
      </c>
      <c r="M26" s="9" t="str">
        <f aca="false">IFERROR(IF(K26&gt;J26,"Not Meet Target","Meet Target"),"-")</f>
        <v>Meet Target</v>
      </c>
      <c r="N26" s="9" t="str">
        <f aca="false">IFERROR(VLOOKUP(D26,'Team Member List'!B:C,2,0),"")</f>
        <v>TL Okafor</v>
      </c>
      <c r="O26" s="9" t="s">
        <v>2408</v>
      </c>
    </row>
    <row r="27" customFormat="false" ht="15" hidden="false" customHeight="false" outlineLevel="0" collapsed="false">
      <c r="A27" s="9" t="s">
        <v>63</v>
      </c>
      <c r="B27" s="10"/>
      <c r="C27" s="9" t="s">
        <v>2388</v>
      </c>
      <c r="D27" s="9" t="s">
        <v>2388</v>
      </c>
      <c r="E27" s="9" t="s">
        <v>1346</v>
      </c>
      <c r="F27" s="9" t="s">
        <v>1347</v>
      </c>
      <c r="G27" s="9" t="s">
        <v>1347</v>
      </c>
      <c r="H27" s="9" t="s">
        <v>121</v>
      </c>
      <c r="I27" s="9" t="str">
        <f aca="false">TRIM(A27) &amp; TRIM(F27) &amp; TRIM(H27)</f>
        <v>First ReviewFX StudioKR</v>
      </c>
      <c r="J27" s="9" t="str">
        <f aca="false">IFERROR(VLOOKUP(I27,'WFM Q4 Target'!J:K,2,0),"-")</f>
        <v>-</v>
      </c>
      <c r="K27" s="9" t="n">
        <v>183.7719</v>
      </c>
      <c r="L27" s="9" t="n">
        <v>10.5768</v>
      </c>
      <c r="M27" s="9" t="str">
        <f aca="false">IFERROR(IF(K27&gt;J27,"Not Meet Target","Meet Target"),"-")</f>
        <v>Meet Target</v>
      </c>
      <c r="N27" s="9" t="str">
        <f aca="false">IFERROR(VLOOKUP(D27,'Team Member List'!B:C,2,0),"")</f>
        <v>TL Cabrera</v>
      </c>
      <c r="O27" s="9" t="s">
        <v>2408</v>
      </c>
    </row>
    <row r="28" customFormat="false" ht="15" hidden="false" customHeight="false" outlineLevel="0" collapsed="false">
      <c r="A28" s="9" t="s">
        <v>63</v>
      </c>
      <c r="B28" s="10"/>
      <c r="C28" s="9" t="s">
        <v>2344</v>
      </c>
      <c r="D28" s="9" t="s">
        <v>2344</v>
      </c>
      <c r="E28" s="9" t="s">
        <v>973</v>
      </c>
      <c r="F28" s="9" t="s">
        <v>979</v>
      </c>
      <c r="G28" s="9" t="s">
        <v>979</v>
      </c>
      <c r="H28" s="9" t="s">
        <v>357</v>
      </c>
      <c r="I28" s="9" t="str">
        <f aca="false">TRIM(A28) &amp; TRIM(F28) &amp; TRIM(H28)</f>
        <v>First ReviewBooking Ads Pre ApprovalHU</v>
      </c>
      <c r="J28" s="9" t="str">
        <f aca="false">IFERROR(VLOOKUP(I28,'WFM Q4 Target'!J:K,2,0),"-")</f>
        <v>-</v>
      </c>
      <c r="K28" s="9" t="n">
        <v>281.3266</v>
      </c>
      <c r="L28" s="9" t="n">
        <v>17.0331</v>
      </c>
      <c r="M28" s="9" t="str">
        <f aca="false">IFERROR(IF(K28&gt;J28,"Not Meet Target","Meet Target"),"-")</f>
        <v>Meet Target</v>
      </c>
      <c r="N28" s="9" t="str">
        <f aca="false">IFERROR(VLOOKUP(D28,'Team Member List'!B:C,2,0),"")</f>
        <v>TL Lindgren</v>
      </c>
      <c r="O28" s="9" t="s">
        <v>2408</v>
      </c>
    </row>
    <row r="29" customFormat="false" ht="15" hidden="false" customHeight="false" outlineLevel="0" collapsed="false">
      <c r="A29" s="9" t="s">
        <v>63</v>
      </c>
      <c r="B29" s="10"/>
      <c r="C29" s="9"/>
      <c r="D29" s="9" t="s">
        <v>2344</v>
      </c>
      <c r="E29" s="9"/>
      <c r="F29" s="9" t="s">
        <v>974</v>
      </c>
      <c r="G29" s="9" t="s">
        <v>974</v>
      </c>
      <c r="H29" s="9" t="s">
        <v>95</v>
      </c>
      <c r="I29" s="9" t="str">
        <f aca="false">TRIM(A29) &amp; TRIM(F29) &amp; TRIM(H29)</f>
        <v>First ReviewHighlight ViewVN</v>
      </c>
      <c r="J29" s="9" t="n">
        <f aca="false">IFERROR(VLOOKUP(I29,'WFM Q4 Target'!J:K,2,0),"-")</f>
        <v>286.158</v>
      </c>
      <c r="K29" s="9" t="n">
        <v>559.8718</v>
      </c>
      <c r="L29" s="9" t="n">
        <v>0</v>
      </c>
      <c r="M29" s="9" t="str">
        <f aca="false">IFERROR(IF(K29&gt;J29,"Not Meet Target","Meet Target"),"-")</f>
        <v>Not Meet Target</v>
      </c>
      <c r="N29" s="9" t="str">
        <f aca="false">IFERROR(VLOOKUP(D29,'Team Member List'!B:C,2,0),"")</f>
        <v>TL Lindgren</v>
      </c>
      <c r="O29" s="9" t="s">
        <v>2408</v>
      </c>
    </row>
    <row r="30" customFormat="false" ht="15" hidden="false" customHeight="false" outlineLevel="0" collapsed="false">
      <c r="A30" s="9" t="s">
        <v>63</v>
      </c>
      <c r="B30" s="10"/>
      <c r="C30" s="9"/>
      <c r="D30" s="9" t="s">
        <v>2344</v>
      </c>
      <c r="E30" s="9" t="s">
        <v>1432</v>
      </c>
      <c r="F30" s="9" t="s">
        <v>1458</v>
      </c>
      <c r="G30" s="9" t="s">
        <v>1458</v>
      </c>
      <c r="H30" s="9" t="s">
        <v>95</v>
      </c>
      <c r="I30" s="9" t="str">
        <f aca="false">TRIM(A30) &amp; TRIM(F30) &amp; TRIM(H30)</f>
        <v>First ReviewHTC Adv VideoVN</v>
      </c>
      <c r="J30" s="9" t="str">
        <f aca="false">IFERROR(VLOOKUP(I30,'WFM Q4 Target'!J:K,2,0),"-")</f>
        <v>-</v>
      </c>
      <c r="K30" s="9" t="n">
        <v>224.8429</v>
      </c>
      <c r="L30" s="9" t="n">
        <v>48.711</v>
      </c>
      <c r="M30" s="9" t="str">
        <f aca="false">IFERROR(IF(K30&gt;J30,"Not Meet Target","Meet Target"),"-")</f>
        <v>Meet Target</v>
      </c>
      <c r="N30" s="9" t="str">
        <f aca="false">IFERROR(VLOOKUP(D30,'Team Member List'!B:C,2,0),"")</f>
        <v>TL Lindgren</v>
      </c>
      <c r="O30" s="9" t="s">
        <v>2408</v>
      </c>
    </row>
    <row r="31" customFormat="false" ht="15" hidden="false" customHeight="false" outlineLevel="0" collapsed="false">
      <c r="A31" s="9" t="s">
        <v>63</v>
      </c>
      <c r="B31" s="10"/>
      <c r="C31" s="9"/>
      <c r="D31" s="9" t="s">
        <v>2344</v>
      </c>
      <c r="E31" s="9"/>
      <c r="F31" s="9" t="s">
        <v>1436</v>
      </c>
      <c r="G31" s="9" t="s">
        <v>1436</v>
      </c>
      <c r="H31" s="9" t="s">
        <v>95</v>
      </c>
      <c r="I31" s="9" t="str">
        <f aca="false">TRIM(A31) &amp; TRIM(F31) &amp; TRIM(H31)</f>
        <v>First ReviewQuest Adv CampaignVN</v>
      </c>
      <c r="J31" s="9" t="n">
        <f aca="false">IFERROR(VLOOKUP(I31,'WFM Q4 Target'!J:K,2,0),"-")</f>
        <v>744.528</v>
      </c>
      <c r="K31" s="9" t="n">
        <v>419.701</v>
      </c>
      <c r="L31" s="9" t="n">
        <v>0</v>
      </c>
      <c r="M31" s="9" t="str">
        <f aca="false">IFERROR(IF(K31&gt;J31,"Not Meet Target","Meet Target"),"-")</f>
        <v>Meet Target</v>
      </c>
      <c r="N31" s="9" t="str">
        <f aca="false">IFERROR(VLOOKUP(D31,'Team Member List'!B:C,2,0),"")</f>
        <v>TL Lindgren</v>
      </c>
      <c r="O31" s="9" t="s">
        <v>2408</v>
      </c>
    </row>
    <row r="32" customFormat="false" ht="15" hidden="false" customHeight="false" outlineLevel="0" collapsed="false">
      <c r="A32" s="9" t="s">
        <v>63</v>
      </c>
      <c r="B32" s="10"/>
      <c r="C32" s="9"/>
      <c r="D32" s="9" t="s">
        <v>2344</v>
      </c>
      <c r="E32" s="9"/>
      <c r="F32" s="9" t="s">
        <v>1438</v>
      </c>
      <c r="G32" s="9" t="s">
        <v>1438</v>
      </c>
      <c r="H32" s="9" t="s">
        <v>95</v>
      </c>
      <c r="I32" s="9" t="str">
        <f aca="false">TRIM(A32) &amp; TRIM(F32) &amp; TRIM(H32)</f>
        <v>First ReviewQuest Adv VideoVN</v>
      </c>
      <c r="J32" s="9" t="n">
        <f aca="false">IFERROR(VLOOKUP(I32,'WFM Q4 Target'!J:K,2,0),"-")</f>
        <v>737.892</v>
      </c>
      <c r="K32" s="9" t="n">
        <v>253.5907</v>
      </c>
      <c r="L32" s="9" t="n">
        <v>61.0863</v>
      </c>
      <c r="M32" s="9" t="str">
        <f aca="false">IFERROR(IF(K32&gt;J32,"Not Meet Target","Meet Target"),"-")</f>
        <v>Meet Target</v>
      </c>
      <c r="N32" s="9" t="str">
        <f aca="false">IFERROR(VLOOKUP(D32,'Team Member List'!B:C,2,0),"")</f>
        <v>TL Lindgren</v>
      </c>
      <c r="O32" s="9" t="s">
        <v>2408</v>
      </c>
    </row>
    <row r="33" customFormat="false" ht="15" hidden="false" customHeight="false" outlineLevel="0" collapsed="false">
      <c r="A33" s="9" t="s">
        <v>63</v>
      </c>
      <c r="B33" s="10"/>
      <c r="C33" s="9" t="s">
        <v>2340</v>
      </c>
      <c r="D33" s="9" t="s">
        <v>2340</v>
      </c>
      <c r="E33" s="9" t="s">
        <v>973</v>
      </c>
      <c r="F33" s="9" t="s">
        <v>979</v>
      </c>
      <c r="G33" s="9" t="s">
        <v>979</v>
      </c>
      <c r="H33" s="9" t="s">
        <v>97</v>
      </c>
      <c r="I33" s="9" t="str">
        <f aca="false">TRIM(A33) &amp; TRIM(F33) &amp; TRIM(H33)</f>
        <v>First ReviewBooking Ads Pre ApprovalBR</v>
      </c>
      <c r="J33" s="9" t="n">
        <f aca="false">IFERROR(VLOOKUP(I33,'WFM Q4 Target'!J:K,2,0),"-")</f>
        <v>1137.432</v>
      </c>
      <c r="K33" s="9" t="n">
        <v>588.0593</v>
      </c>
      <c r="L33" s="9" t="n">
        <v>26.9512</v>
      </c>
      <c r="M33" s="9" t="str">
        <f aca="false">IFERROR(IF(K33&gt;J33,"Not Meet Target","Meet Target"),"-")</f>
        <v>Meet Target</v>
      </c>
      <c r="N33" s="9" t="str">
        <f aca="false">IFERROR(VLOOKUP(D33,'Team Member List'!B:C,2,0),"")</f>
        <v>TL Lindgren</v>
      </c>
      <c r="O33" s="9" t="s">
        <v>2408</v>
      </c>
    </row>
    <row r="34" customFormat="false" ht="15" hidden="false" customHeight="false" outlineLevel="0" collapsed="false">
      <c r="A34" s="9" t="s">
        <v>63</v>
      </c>
      <c r="B34" s="10"/>
      <c r="C34" s="9"/>
      <c r="D34" s="9" t="s">
        <v>2340</v>
      </c>
      <c r="E34" s="9" t="s">
        <v>1432</v>
      </c>
      <c r="F34" s="9" t="s">
        <v>1440</v>
      </c>
      <c r="G34" s="9" t="s">
        <v>1440</v>
      </c>
      <c r="H34" s="9" t="s">
        <v>95</v>
      </c>
      <c r="I34" s="9" t="str">
        <f aca="false">TRIM(A34) &amp; TRIM(F34) &amp; TRIM(H34)</f>
        <v>First ReviewHTC Adv CampaignVN</v>
      </c>
      <c r="J34" s="9" t="n">
        <f aca="false">IFERROR(VLOOKUP(I34,'WFM Q4 Target'!J:K,2,0),"-")</f>
        <v>1077.744</v>
      </c>
      <c r="K34" s="9" t="n">
        <v>138.4768</v>
      </c>
      <c r="L34" s="9" t="n">
        <v>0</v>
      </c>
      <c r="M34" s="9" t="str">
        <f aca="false">IFERROR(IF(K34&gt;J34,"Not Meet Target","Meet Target"),"-")</f>
        <v>Meet Target</v>
      </c>
      <c r="N34" s="9" t="str">
        <f aca="false">IFERROR(VLOOKUP(D34,'Team Member List'!B:C,2,0),"")</f>
        <v>TL Lindgren</v>
      </c>
      <c r="O34" s="9" t="s">
        <v>2408</v>
      </c>
    </row>
    <row r="35" customFormat="false" ht="15" hidden="false" customHeight="false" outlineLevel="0" collapsed="false">
      <c r="A35" s="9" t="s">
        <v>63</v>
      </c>
      <c r="B35" s="10"/>
      <c r="C35" s="9" t="s">
        <v>2375</v>
      </c>
      <c r="D35" s="9" t="s">
        <v>2375</v>
      </c>
      <c r="E35" s="9" t="s">
        <v>973</v>
      </c>
      <c r="F35" s="9" t="s">
        <v>974</v>
      </c>
      <c r="G35" s="9" t="s">
        <v>974</v>
      </c>
      <c r="H35" s="9" t="s">
        <v>235</v>
      </c>
      <c r="I35" s="9" t="str">
        <f aca="false">TRIM(A35) &amp; TRIM(F35) &amp; TRIM(H35)</f>
        <v>First ReviewHighlight ViewJP</v>
      </c>
      <c r="J35" s="9" t="n">
        <f aca="false">IFERROR(VLOOKUP(I35,'WFM Q4 Target'!J:K,2,0),"-")</f>
        <v>759.402</v>
      </c>
      <c r="K35" s="9" t="n">
        <v>137.7265</v>
      </c>
      <c r="L35" s="9" t="n">
        <v>0</v>
      </c>
      <c r="M35" s="9" t="str">
        <f aca="false">IFERROR(IF(K35&gt;J35,"Not Meet Target","Meet Target"),"-")</f>
        <v>Meet Target</v>
      </c>
      <c r="N35" s="9" t="str">
        <f aca="false">IFERROR(VLOOKUP(D35,'Team Member List'!B:C,2,0),"")</f>
        <v>TL Okafor</v>
      </c>
      <c r="O35" s="9" t="s">
        <v>2408</v>
      </c>
    </row>
    <row r="36" customFormat="false" ht="15" hidden="false" customHeight="false" outlineLevel="0" collapsed="false">
      <c r="A36" s="9" t="s">
        <v>63</v>
      </c>
      <c r="B36" s="10"/>
      <c r="C36" s="9" t="s">
        <v>2365</v>
      </c>
      <c r="D36" s="9" t="s">
        <v>2365</v>
      </c>
      <c r="E36" s="9" t="s">
        <v>973</v>
      </c>
      <c r="F36" s="9" t="s">
        <v>974</v>
      </c>
      <c r="G36" s="9" t="s">
        <v>974</v>
      </c>
      <c r="H36" s="9" t="s">
        <v>121</v>
      </c>
      <c r="I36" s="9" t="str">
        <f aca="false">TRIM(A36) &amp; TRIM(F36) &amp; TRIM(H36)</f>
        <v>First ReviewHighlight ViewKR</v>
      </c>
      <c r="J36" s="9" t="n">
        <f aca="false">IFERROR(VLOOKUP(I36,'WFM Q4 Target'!J:K,2,0),"-")</f>
        <v>57.264</v>
      </c>
      <c r="K36" s="9" t="n">
        <v>165.1797</v>
      </c>
      <c r="L36" s="9" t="n">
        <v>0</v>
      </c>
      <c r="M36" s="9" t="str">
        <f aca="false">IFERROR(IF(K36&gt;J36,"Not Meet Target","Meet Target"),"-")</f>
        <v>Not Meet Target</v>
      </c>
      <c r="N36" s="9" t="str">
        <f aca="false">IFERROR(VLOOKUP(D36,'Team Member List'!B:C,2,0),"")</f>
        <v>TL Okafor</v>
      </c>
      <c r="O36" s="9" t="s">
        <v>2408</v>
      </c>
    </row>
    <row r="37" customFormat="false" ht="15" hidden="false" customHeight="false" outlineLevel="0" collapsed="false">
      <c r="A37" s="9" t="s">
        <v>63</v>
      </c>
      <c r="B37" s="10"/>
      <c r="C37" s="9" t="s">
        <v>2346</v>
      </c>
      <c r="D37" s="9" t="s">
        <v>2346</v>
      </c>
      <c r="E37" s="9" t="s">
        <v>973</v>
      </c>
      <c r="F37" s="9" t="s">
        <v>974</v>
      </c>
      <c r="G37" s="9" t="s">
        <v>974</v>
      </c>
      <c r="H37" s="9" t="s">
        <v>95</v>
      </c>
      <c r="I37" s="9" t="str">
        <f aca="false">TRIM(A37) &amp; TRIM(F37) &amp; TRIM(H37)</f>
        <v>First ReviewHighlight ViewVN</v>
      </c>
      <c r="J37" s="9" t="n">
        <f aca="false">IFERROR(VLOOKUP(I37,'WFM Q4 Target'!J:K,2,0),"-")</f>
        <v>286.158</v>
      </c>
      <c r="K37" s="9" t="n">
        <v>225.8808</v>
      </c>
      <c r="L37" s="9" t="n">
        <v>0</v>
      </c>
      <c r="M37" s="9" t="str">
        <f aca="false">IFERROR(IF(K37&gt;J37,"Not Meet Target","Meet Target"),"-")</f>
        <v>Meet Target</v>
      </c>
      <c r="N37" s="9" t="str">
        <f aca="false">IFERROR(VLOOKUP(D37,'Team Member List'!B:C,2,0),"")</f>
        <v>TL Lindgren</v>
      </c>
      <c r="O37" s="9" t="s">
        <v>2408</v>
      </c>
    </row>
    <row r="38" customFormat="false" ht="15" hidden="false" customHeight="false" outlineLevel="0" collapsed="false">
      <c r="A38" s="9" t="s">
        <v>63</v>
      </c>
      <c r="B38" s="10"/>
      <c r="C38" s="9" t="s">
        <v>2338</v>
      </c>
      <c r="D38" s="9" t="s">
        <v>2338</v>
      </c>
      <c r="E38" s="9" t="s">
        <v>973</v>
      </c>
      <c r="F38" s="9" t="s">
        <v>979</v>
      </c>
      <c r="G38" s="9" t="s">
        <v>979</v>
      </c>
      <c r="H38" s="9" t="s">
        <v>106</v>
      </c>
      <c r="I38" s="9" t="str">
        <f aca="false">TRIM(A38) &amp; TRIM(F38) &amp; TRIM(H38)</f>
        <v>First ReviewBooking Ads Pre ApprovalMY</v>
      </c>
      <c r="J38" s="9" t="n">
        <f aca="false">IFERROR(VLOOKUP(I38,'WFM Q4 Target'!J:K,2,0),"-")</f>
        <v>91.824</v>
      </c>
      <c r="K38" s="9" t="n">
        <v>564.4524</v>
      </c>
      <c r="L38" s="9" t="n">
        <v>21.0937</v>
      </c>
      <c r="M38" s="9" t="str">
        <f aca="false">IFERROR(IF(K38&gt;J38,"Not Meet Target","Meet Target"),"-")</f>
        <v>Not Meet Target</v>
      </c>
      <c r="N38" s="9" t="str">
        <f aca="false">IFERROR(VLOOKUP(D38,'Team Member List'!B:C,2,0),"")</f>
        <v>TL Ramirez</v>
      </c>
      <c r="O38" s="9" t="s">
        <v>2408</v>
      </c>
    </row>
    <row r="39" customFormat="false" ht="15" hidden="false" customHeight="false" outlineLevel="0" collapsed="false">
      <c r="A39" s="9" t="s">
        <v>63</v>
      </c>
      <c r="B39" s="10"/>
      <c r="C39" s="9"/>
      <c r="D39" s="9" t="s">
        <v>2338</v>
      </c>
      <c r="E39" s="9"/>
      <c r="F39" s="9" t="s">
        <v>974</v>
      </c>
      <c r="G39" s="9" t="s">
        <v>974</v>
      </c>
      <c r="H39" s="9" t="s">
        <v>106</v>
      </c>
      <c r="I39" s="9" t="str">
        <f aca="false">TRIM(A39) &amp; TRIM(F39) &amp; TRIM(H39)</f>
        <v>First ReviewHighlight ViewMY</v>
      </c>
      <c r="J39" s="9" t="n">
        <f aca="false">IFERROR(VLOOKUP(I39,'WFM Q4 Target'!J:K,2,0),"-")</f>
        <v>242.28</v>
      </c>
      <c r="K39" s="9" t="n">
        <v>129.2502</v>
      </c>
      <c r="L39" s="9" t="n">
        <v>0</v>
      </c>
      <c r="M39" s="9" t="str">
        <f aca="false">IFERROR(IF(K39&gt;J39,"Not Meet Target","Meet Target"),"-")</f>
        <v>Meet Target</v>
      </c>
      <c r="N39" s="9" t="str">
        <f aca="false">IFERROR(VLOOKUP(D39,'Team Member List'!B:C,2,0),"")</f>
        <v>TL Ramirez</v>
      </c>
      <c r="O39" s="9" t="s">
        <v>2408</v>
      </c>
    </row>
    <row r="40" customFormat="false" ht="15" hidden="false" customHeight="false" outlineLevel="0" collapsed="false">
      <c r="A40" s="9" t="s">
        <v>63</v>
      </c>
      <c r="B40" s="10"/>
      <c r="C40" s="9"/>
      <c r="D40" s="9" t="s">
        <v>2338</v>
      </c>
      <c r="E40" s="9"/>
      <c r="F40" s="9" t="s">
        <v>974</v>
      </c>
      <c r="G40" s="9"/>
      <c r="H40" s="9" t="s">
        <v>58</v>
      </c>
      <c r="I40" s="9" t="str">
        <f aca="false">TRIM(A40) &amp; TRIM(F40) &amp; TRIM(H40)</f>
        <v>First ReviewHighlight ViewSG</v>
      </c>
      <c r="J40" s="9" t="n">
        <f aca="false">IFERROR(VLOOKUP(I40,'WFM Q4 Target'!J:K,2,0),"-")</f>
        <v>225.912</v>
      </c>
      <c r="K40" s="9" t="n">
        <v>168.0253</v>
      </c>
      <c r="L40" s="9" t="n">
        <v>0</v>
      </c>
      <c r="M40" s="9" t="str">
        <f aca="false">IFERROR(IF(K40&gt;J40,"Not Meet Target","Meet Target"),"-")</f>
        <v>Meet Target</v>
      </c>
      <c r="N40" s="9" t="str">
        <f aca="false">IFERROR(VLOOKUP(D40,'Team Member List'!B:C,2,0),"")</f>
        <v>TL Ramirez</v>
      </c>
      <c r="O40" s="9" t="s">
        <v>2408</v>
      </c>
    </row>
    <row r="41" customFormat="false" ht="15" hidden="false" customHeight="false" outlineLevel="0" collapsed="false">
      <c r="A41" s="9" t="s">
        <v>63</v>
      </c>
      <c r="B41" s="10"/>
      <c r="C41" s="9" t="s">
        <v>2337</v>
      </c>
      <c r="D41" s="9" t="s">
        <v>2337</v>
      </c>
      <c r="E41" s="9" t="s">
        <v>973</v>
      </c>
      <c r="F41" s="9" t="s">
        <v>979</v>
      </c>
      <c r="G41" s="9" t="s">
        <v>979</v>
      </c>
      <c r="H41" s="9" t="s">
        <v>106</v>
      </c>
      <c r="I41" s="9" t="str">
        <f aca="false">TRIM(A41) &amp; TRIM(F41) &amp; TRIM(H41)</f>
        <v>First ReviewBooking Ads Pre ApprovalMY</v>
      </c>
      <c r="J41" s="9" t="n">
        <f aca="false">IFERROR(VLOOKUP(I41,'WFM Q4 Target'!J:K,2,0),"-")</f>
        <v>91.824</v>
      </c>
      <c r="K41" s="9" t="n">
        <v>122.3909</v>
      </c>
      <c r="L41" s="9" t="n">
        <v>29.982</v>
      </c>
      <c r="M41" s="9" t="str">
        <f aca="false">IFERROR(IF(K41&gt;J41,"Not Meet Target","Meet Target"),"-")</f>
        <v>Not Meet Target</v>
      </c>
      <c r="N41" s="9" t="str">
        <f aca="false">IFERROR(VLOOKUP(D41,'Team Member List'!B:C,2,0),"")</f>
        <v>TL Ramirez</v>
      </c>
      <c r="O41" s="9" t="s">
        <v>2408</v>
      </c>
    </row>
    <row r="42" customFormat="false" ht="15" hidden="false" customHeight="false" outlineLevel="0" collapsed="false">
      <c r="A42" s="9" t="s">
        <v>63</v>
      </c>
      <c r="B42" s="10"/>
      <c r="C42" s="9"/>
      <c r="D42" s="9" t="s">
        <v>2337</v>
      </c>
      <c r="E42" s="9"/>
      <c r="F42" s="9" t="s">
        <v>979</v>
      </c>
      <c r="G42" s="9"/>
      <c r="H42" s="9" t="s">
        <v>58</v>
      </c>
      <c r="I42" s="9" t="str">
        <f aca="false">TRIM(A42) &amp; TRIM(F42) &amp; TRIM(H42)</f>
        <v>First ReviewBooking Ads Pre ApprovalSG</v>
      </c>
      <c r="J42" s="9" t="n">
        <f aca="false">IFERROR(VLOOKUP(I42,'WFM Q4 Target'!J:K,2,0),"-")</f>
        <v>59.52</v>
      </c>
      <c r="K42" s="9" t="n">
        <v>167.4847</v>
      </c>
      <c r="L42" s="9" t="n">
        <v>12.6715</v>
      </c>
      <c r="M42" s="9" t="str">
        <f aca="false">IFERROR(IF(K42&gt;J42,"Not Meet Target","Meet Target"),"-")</f>
        <v>Not Meet Target</v>
      </c>
      <c r="N42" s="9" t="str">
        <f aca="false">IFERROR(VLOOKUP(D42,'Team Member List'!B:C,2,0),"")</f>
        <v>TL Ramirez</v>
      </c>
      <c r="O42" s="9" t="s">
        <v>2408</v>
      </c>
    </row>
    <row r="43" customFormat="false" ht="15" hidden="false" customHeight="false" outlineLevel="0" collapsed="false">
      <c r="A43" s="9" t="s">
        <v>63</v>
      </c>
      <c r="B43" s="10"/>
      <c r="C43" s="9"/>
      <c r="D43" s="9" t="s">
        <v>2337</v>
      </c>
      <c r="E43" s="9"/>
      <c r="F43" s="9" t="s">
        <v>974</v>
      </c>
      <c r="G43" s="9" t="s">
        <v>974</v>
      </c>
      <c r="H43" s="9" t="s">
        <v>106</v>
      </c>
      <c r="I43" s="9" t="str">
        <f aca="false">TRIM(A43) &amp; TRIM(F43) &amp; TRIM(H43)</f>
        <v>First ReviewHighlight ViewMY</v>
      </c>
      <c r="J43" s="9" t="n">
        <f aca="false">IFERROR(VLOOKUP(I43,'WFM Q4 Target'!J:K,2,0),"-")</f>
        <v>242.28</v>
      </c>
      <c r="K43" s="9" t="n">
        <v>165.5846</v>
      </c>
      <c r="L43" s="9" t="n">
        <v>0</v>
      </c>
      <c r="M43" s="9" t="str">
        <f aca="false">IFERROR(IF(K43&gt;J43,"Not Meet Target","Meet Target"),"-")</f>
        <v>Meet Target</v>
      </c>
      <c r="N43" s="9" t="str">
        <f aca="false">IFERROR(VLOOKUP(D43,'Team Member List'!B:C,2,0),"")</f>
        <v>TL Ramirez</v>
      </c>
      <c r="O43" s="9" t="s">
        <v>2408</v>
      </c>
    </row>
    <row r="44" customFormat="false" ht="15" hidden="false" customHeight="false" outlineLevel="0" collapsed="false">
      <c r="A44" s="9" t="s">
        <v>63</v>
      </c>
      <c r="B44" s="10"/>
      <c r="C44" s="9"/>
      <c r="D44" s="9" t="s">
        <v>2337</v>
      </c>
      <c r="E44" s="9"/>
      <c r="F44" s="9" t="s">
        <v>974</v>
      </c>
      <c r="G44" s="9"/>
      <c r="H44" s="9" t="s">
        <v>58</v>
      </c>
      <c r="I44" s="9" t="str">
        <f aca="false">TRIM(A44) &amp; TRIM(F44) &amp; TRIM(H44)</f>
        <v>First ReviewHighlight ViewSG</v>
      </c>
      <c r="J44" s="9" t="n">
        <f aca="false">IFERROR(VLOOKUP(I44,'WFM Q4 Target'!J:K,2,0),"-")</f>
        <v>225.912</v>
      </c>
      <c r="K44" s="9" t="n">
        <v>128.5823</v>
      </c>
      <c r="L44" s="9" t="n">
        <v>0</v>
      </c>
      <c r="M44" s="9" t="str">
        <f aca="false">IFERROR(IF(K44&gt;J44,"Not Meet Target","Meet Target"),"-")</f>
        <v>Meet Target</v>
      </c>
      <c r="N44" s="9" t="str">
        <f aca="false">IFERROR(VLOOKUP(D44,'Team Member List'!B:C,2,0),"")</f>
        <v>TL Ramirez</v>
      </c>
      <c r="O44" s="9" t="s">
        <v>2408</v>
      </c>
    </row>
    <row r="45" customFormat="false" ht="15" hidden="false" customHeight="false" outlineLevel="0" collapsed="false">
      <c r="A45" s="9" t="s">
        <v>63</v>
      </c>
      <c r="B45" s="10"/>
      <c r="C45" s="9"/>
      <c r="D45" s="9" t="s">
        <v>2337</v>
      </c>
      <c r="E45" s="9" t="s">
        <v>1346</v>
      </c>
      <c r="F45" s="9" t="s">
        <v>1347</v>
      </c>
      <c r="G45" s="9" t="s">
        <v>1347</v>
      </c>
      <c r="H45" s="9" t="s">
        <v>106</v>
      </c>
      <c r="I45" s="9" t="str">
        <f aca="false">TRIM(A45) &amp; TRIM(F45) &amp; TRIM(H45)</f>
        <v>First ReviewFX StudioMY</v>
      </c>
      <c r="J45" s="9" t="str">
        <f aca="false">IFERROR(VLOOKUP(I45,'WFM Q4 Target'!J:K,2,0),"-")</f>
        <v>-</v>
      </c>
      <c r="K45" s="9" t="n">
        <v>138.6814</v>
      </c>
      <c r="L45" s="9" t="n">
        <v>12.9342</v>
      </c>
      <c r="M45" s="9" t="str">
        <f aca="false">IFERROR(IF(K45&gt;J45,"Not Meet Target","Meet Target"),"-")</f>
        <v>Meet Target</v>
      </c>
      <c r="N45" s="9" t="str">
        <f aca="false">IFERROR(VLOOKUP(D45,'Team Member List'!B:C,2,0),"")</f>
        <v>TL Ramirez</v>
      </c>
      <c r="O45" s="9" t="s">
        <v>2408</v>
      </c>
    </row>
    <row r="46" customFormat="false" ht="15" hidden="false" customHeight="false" outlineLevel="0" collapsed="false">
      <c r="A46" s="9" t="s">
        <v>63</v>
      </c>
      <c r="B46" s="10"/>
      <c r="C46" s="9" t="s">
        <v>2329</v>
      </c>
      <c r="D46" s="9" t="s">
        <v>2329</v>
      </c>
      <c r="E46" s="9" t="s">
        <v>1432</v>
      </c>
      <c r="F46" s="9" t="s">
        <v>1502</v>
      </c>
      <c r="G46" s="9" t="s">
        <v>1502</v>
      </c>
      <c r="H46" s="9" t="s">
        <v>267</v>
      </c>
      <c r="I46" s="9" t="str">
        <f aca="false">TRIM(A46) &amp; TRIM(F46) &amp; TRIM(H46)</f>
        <v>First ReviewBE Adv VideoID</v>
      </c>
      <c r="J46" s="9" t="str">
        <f aca="false">IFERROR(VLOOKUP(I46,'WFM Q4 Target'!J:K,2,0),"-")</f>
        <v>-</v>
      </c>
      <c r="K46" s="9" t="n">
        <v>841.4644</v>
      </c>
      <c r="L46" s="9" t="n">
        <v>17.4519</v>
      </c>
      <c r="M46" s="9" t="str">
        <f aca="false">IFERROR(IF(K46&gt;J46,"Not Meet Target","Meet Target"),"-")</f>
        <v>Meet Target</v>
      </c>
      <c r="N46" s="9" t="str">
        <f aca="false">IFERROR(VLOOKUP(D46,'Team Member List'!B:C,2,0),"")</f>
        <v>TL Ramirez</v>
      </c>
      <c r="O46" s="9" t="s">
        <v>2408</v>
      </c>
    </row>
    <row r="47" customFormat="false" ht="15" hidden="false" customHeight="false" outlineLevel="0" collapsed="false">
      <c r="A47" s="9" t="s">
        <v>63</v>
      </c>
      <c r="B47" s="10"/>
      <c r="C47" s="9"/>
      <c r="D47" s="9" t="s">
        <v>2329</v>
      </c>
      <c r="E47" s="9"/>
      <c r="F47" s="9" t="s">
        <v>1458</v>
      </c>
      <c r="G47" s="9" t="s">
        <v>1458</v>
      </c>
      <c r="H47" s="9" t="s">
        <v>267</v>
      </c>
      <c r="I47" s="9" t="str">
        <f aca="false">TRIM(A47) &amp; TRIM(F47) &amp; TRIM(H47)</f>
        <v>First ReviewHTC Adv VideoID</v>
      </c>
      <c r="J47" s="9" t="str">
        <f aca="false">IFERROR(VLOOKUP(I47,'WFM Q4 Target'!J:K,2,0),"-")</f>
        <v>-</v>
      </c>
      <c r="K47" s="9" t="n">
        <v>378.5612</v>
      </c>
      <c r="L47" s="9" t="n">
        <v>60.1237</v>
      </c>
      <c r="M47" s="9" t="str">
        <f aca="false">IFERROR(IF(K47&gt;J47,"Not Meet Target","Meet Target"),"-")</f>
        <v>Meet Target</v>
      </c>
      <c r="N47" s="9" t="str">
        <f aca="false">IFERROR(VLOOKUP(D47,'Team Member List'!B:C,2,0),"")</f>
        <v>TL Ramirez</v>
      </c>
      <c r="O47" s="9" t="s">
        <v>2408</v>
      </c>
    </row>
    <row r="48" customFormat="false" ht="15" hidden="false" customHeight="false" outlineLevel="0" collapsed="false">
      <c r="A48" s="9" t="s">
        <v>63</v>
      </c>
      <c r="B48" s="10"/>
      <c r="C48" s="9" t="s">
        <v>2327</v>
      </c>
      <c r="D48" s="9" t="s">
        <v>2327</v>
      </c>
      <c r="E48" s="9" t="s">
        <v>973</v>
      </c>
      <c r="F48" s="9" t="s">
        <v>974</v>
      </c>
      <c r="G48" s="9" t="s">
        <v>974</v>
      </c>
      <c r="H48" s="9" t="s">
        <v>154</v>
      </c>
      <c r="I48" s="9" t="str">
        <f aca="false">TRIM(A48) &amp; TRIM(F48) &amp; TRIM(H48)</f>
        <v>First ReviewHighlight ViewES</v>
      </c>
      <c r="J48" s="9" t="n">
        <f aca="false">IFERROR(VLOOKUP(I48,'WFM Q4 Target'!J:K,2,0),"-")</f>
        <v>168.468</v>
      </c>
      <c r="K48" s="9" t="n">
        <v>716.857</v>
      </c>
      <c r="L48" s="9" t="n">
        <v>0</v>
      </c>
      <c r="M48" s="9" t="str">
        <f aca="false">IFERROR(IF(K48&gt;J48,"Not Meet Target","Meet Target"),"-")</f>
        <v>Not Meet Target</v>
      </c>
      <c r="N48" s="9" t="str">
        <f aca="false">IFERROR(VLOOKUP(D48,'Team Member List'!B:C,2,0),"")</f>
        <v>TL Ramirez</v>
      </c>
      <c r="O48" s="9" t="s">
        <v>2408</v>
      </c>
    </row>
    <row r="49" customFormat="false" ht="15" hidden="false" customHeight="false" outlineLevel="0" collapsed="false">
      <c r="A49" s="9" t="s">
        <v>63</v>
      </c>
      <c r="B49" s="10"/>
      <c r="C49" s="9"/>
      <c r="D49" s="9" t="s">
        <v>2327</v>
      </c>
      <c r="E49" s="9"/>
      <c r="F49" s="9" t="s">
        <v>974</v>
      </c>
      <c r="G49" s="9"/>
      <c r="H49" s="9" t="s">
        <v>267</v>
      </c>
      <c r="I49" s="9" t="str">
        <f aca="false">TRIM(A49) &amp; TRIM(F49) &amp; TRIM(H49)</f>
        <v>First ReviewHighlight ViewID</v>
      </c>
      <c r="J49" s="9" t="n">
        <f aca="false">IFERROR(VLOOKUP(I49,'WFM Q4 Target'!J:K,2,0),"-")</f>
        <v>590.502</v>
      </c>
      <c r="K49" s="9" t="n">
        <v>206.5333</v>
      </c>
      <c r="L49" s="9" t="n">
        <v>0</v>
      </c>
      <c r="M49" s="9" t="str">
        <f aca="false">IFERROR(IF(K49&gt;J49,"Not Meet Target","Meet Target"),"-")</f>
        <v>Meet Target</v>
      </c>
      <c r="N49" s="9" t="str">
        <f aca="false">IFERROR(VLOOKUP(D49,'Team Member List'!B:C,2,0),"")</f>
        <v>TL Ramirez</v>
      </c>
      <c r="O49" s="9" t="s">
        <v>2408</v>
      </c>
    </row>
    <row r="50" customFormat="false" ht="15" hidden="false" customHeight="false" outlineLevel="0" collapsed="false">
      <c r="A50" s="9" t="s">
        <v>63</v>
      </c>
      <c r="B50" s="10"/>
      <c r="C50" s="9"/>
      <c r="D50" s="9" t="s">
        <v>2327</v>
      </c>
      <c r="E50" s="9"/>
      <c r="F50" s="9" t="s">
        <v>974</v>
      </c>
      <c r="G50" s="9"/>
      <c r="H50" s="9" t="s">
        <v>126</v>
      </c>
      <c r="I50" s="9" t="str">
        <f aca="false">TRIM(A50) &amp; TRIM(F50) &amp; TRIM(H50)</f>
        <v>First ReviewHighlight ViewMX</v>
      </c>
      <c r="J50" s="9" t="n">
        <f aca="false">IFERROR(VLOOKUP(I50,'WFM Q4 Target'!J:K,2,0),"-")</f>
        <v>573.366</v>
      </c>
      <c r="K50" s="9" t="n">
        <v>299.9304</v>
      </c>
      <c r="L50" s="9" t="n">
        <v>0</v>
      </c>
      <c r="M50" s="9" t="str">
        <f aca="false">IFERROR(IF(K50&gt;J50,"Not Meet Target","Meet Target"),"-")</f>
        <v>Meet Target</v>
      </c>
      <c r="N50" s="9" t="str">
        <f aca="false">IFERROR(VLOOKUP(D50,'Team Member List'!B:C,2,0),"")</f>
        <v>TL Ramirez</v>
      </c>
      <c r="O50" s="9" t="s">
        <v>2408</v>
      </c>
    </row>
    <row r="51" customFormat="false" ht="15" hidden="false" customHeight="false" outlineLevel="0" collapsed="false">
      <c r="A51" s="9" t="s">
        <v>63</v>
      </c>
      <c r="B51" s="10"/>
      <c r="C51" s="9"/>
      <c r="D51" s="9" t="s">
        <v>2327</v>
      </c>
      <c r="E51" s="9"/>
      <c r="F51" s="9" t="s">
        <v>974</v>
      </c>
      <c r="G51" s="9"/>
      <c r="H51" s="9" t="s">
        <v>157</v>
      </c>
      <c r="I51" s="9" t="str">
        <f aca="false">TRIM(A51) &amp; TRIM(F51) &amp; TRIM(H51)</f>
        <v>First ReviewHighlight ViewSA</v>
      </c>
      <c r="J51" s="9" t="n">
        <f aca="false">IFERROR(VLOOKUP(I51,'WFM Q4 Target'!J:K,2,0),"-")</f>
        <v>778.374</v>
      </c>
      <c r="K51" s="9" t="n">
        <v>305.3509</v>
      </c>
      <c r="L51" s="9" t="n">
        <v>0</v>
      </c>
      <c r="M51" s="9" t="str">
        <f aca="false">IFERROR(IF(K51&gt;J51,"Not Meet Target","Meet Target"),"-")</f>
        <v>Meet Target</v>
      </c>
      <c r="N51" s="9" t="str">
        <f aca="false">IFERROR(VLOOKUP(D51,'Team Member List'!B:C,2,0),"")</f>
        <v>TL Ramirez</v>
      </c>
      <c r="O51" s="9" t="s">
        <v>2408</v>
      </c>
    </row>
    <row r="52" customFormat="false" ht="15" hidden="false" customHeight="false" outlineLevel="0" collapsed="false">
      <c r="A52" s="9" t="s">
        <v>63</v>
      </c>
      <c r="B52" s="10"/>
      <c r="C52" s="9"/>
      <c r="D52" s="9" t="s">
        <v>2327</v>
      </c>
      <c r="E52" s="9" t="s">
        <v>1432</v>
      </c>
      <c r="F52" s="9" t="s">
        <v>1498</v>
      </c>
      <c r="G52" s="9" t="s">
        <v>1498</v>
      </c>
      <c r="H52" s="9" t="s">
        <v>275</v>
      </c>
      <c r="I52" s="9" t="str">
        <f aca="false">TRIM(A52) &amp; TRIM(F52) &amp; TRIM(H52)</f>
        <v>First ReviewBE Adv CampaignGB</v>
      </c>
      <c r="J52" s="9" t="str">
        <f aca="false">IFERROR(VLOOKUP(I52,'WFM Q4 Target'!J:K,2,0),"-")</f>
        <v>-</v>
      </c>
      <c r="K52" s="9" t="n">
        <v>187.7147</v>
      </c>
      <c r="L52" s="9" t="n">
        <v>0</v>
      </c>
      <c r="M52" s="9" t="str">
        <f aca="false">IFERROR(IF(K52&gt;J52,"Not Meet Target","Meet Target"),"-")</f>
        <v>Meet Target</v>
      </c>
      <c r="N52" s="9" t="str">
        <f aca="false">IFERROR(VLOOKUP(D52,'Team Member List'!B:C,2,0),"")</f>
        <v>TL Ramirez</v>
      </c>
      <c r="O52" s="9" t="s">
        <v>2408</v>
      </c>
    </row>
    <row r="53" customFormat="false" ht="15" hidden="false" customHeight="false" outlineLevel="0" collapsed="false">
      <c r="A53" s="9" t="s">
        <v>63</v>
      </c>
      <c r="B53" s="10"/>
      <c r="C53" s="9"/>
      <c r="D53" s="9" t="s">
        <v>2327</v>
      </c>
      <c r="E53" s="9"/>
      <c r="F53" s="9" t="s">
        <v>1502</v>
      </c>
      <c r="G53" s="9" t="s">
        <v>1502</v>
      </c>
      <c r="H53" s="9" t="s">
        <v>275</v>
      </c>
      <c r="I53" s="9" t="str">
        <f aca="false">TRIM(A53) &amp; TRIM(F53) &amp; TRIM(H53)</f>
        <v>First ReviewBE Adv VideoGB</v>
      </c>
      <c r="J53" s="9" t="str">
        <f aca="false">IFERROR(VLOOKUP(I53,'WFM Q4 Target'!J:K,2,0),"-")</f>
        <v>-</v>
      </c>
      <c r="K53" s="9" t="n">
        <v>600.7917</v>
      </c>
      <c r="L53" s="9" t="n">
        <v>32.7085</v>
      </c>
      <c r="M53" s="9" t="str">
        <f aca="false">IFERROR(IF(K53&gt;J53,"Not Meet Target","Meet Target"),"-")</f>
        <v>Meet Target</v>
      </c>
      <c r="N53" s="9" t="str">
        <f aca="false">IFERROR(VLOOKUP(D53,'Team Member List'!B:C,2,0),"")</f>
        <v>TL Ramirez</v>
      </c>
      <c r="O53" s="9" t="s">
        <v>2408</v>
      </c>
    </row>
    <row r="54" customFormat="false" ht="15" hidden="false" customHeight="false" outlineLevel="0" collapsed="false">
      <c r="A54" s="9" t="s">
        <v>63</v>
      </c>
      <c r="B54" s="10"/>
      <c r="C54" s="9"/>
      <c r="D54" s="9" t="s">
        <v>2327</v>
      </c>
      <c r="E54" s="9"/>
      <c r="F54" s="9" t="s">
        <v>1440</v>
      </c>
      <c r="G54" s="9" t="s">
        <v>1440</v>
      </c>
      <c r="H54" s="9" t="s">
        <v>275</v>
      </c>
      <c r="I54" s="9" t="str">
        <f aca="false">TRIM(A54) &amp; TRIM(F54) &amp; TRIM(H54)</f>
        <v>First ReviewHTC Adv CampaignGB</v>
      </c>
      <c r="J54" s="9" t="n">
        <f aca="false">IFERROR(VLOOKUP(I54,'WFM Q4 Target'!J:K,2,0),"-")</f>
        <v>7.254</v>
      </c>
      <c r="K54" s="9" t="n">
        <v>510.5538</v>
      </c>
      <c r="L54" s="9" t="n">
        <v>0</v>
      </c>
      <c r="M54" s="9" t="str">
        <f aca="false">IFERROR(IF(K54&gt;J54,"Not Meet Target","Meet Target"),"-")</f>
        <v>Not Meet Target</v>
      </c>
      <c r="N54" s="9" t="str">
        <f aca="false">IFERROR(VLOOKUP(D54,'Team Member List'!B:C,2,0),"")</f>
        <v>TL Ramirez</v>
      </c>
      <c r="O54" s="9" t="s">
        <v>2408</v>
      </c>
    </row>
    <row r="55" customFormat="false" ht="15" hidden="false" customHeight="false" outlineLevel="0" collapsed="false">
      <c r="A55" s="9" t="s">
        <v>63</v>
      </c>
      <c r="B55" s="10"/>
      <c r="C55" s="9"/>
      <c r="D55" s="9" t="s">
        <v>2327</v>
      </c>
      <c r="E55" s="9"/>
      <c r="F55" s="9" t="s">
        <v>1458</v>
      </c>
      <c r="G55" s="9" t="s">
        <v>1458</v>
      </c>
      <c r="H55" s="9" t="s">
        <v>267</v>
      </c>
      <c r="I55" s="9" t="str">
        <f aca="false">TRIM(A55) &amp; TRIM(F55) &amp; TRIM(H55)</f>
        <v>First ReviewHTC Adv VideoID</v>
      </c>
      <c r="J55" s="9" t="str">
        <f aca="false">IFERROR(VLOOKUP(I55,'WFM Q4 Target'!J:K,2,0),"-")</f>
        <v>-</v>
      </c>
      <c r="K55" s="9" t="n">
        <v>341.4367</v>
      </c>
      <c r="L55" s="9" t="n">
        <v>15.6218</v>
      </c>
      <c r="M55" s="9" t="str">
        <f aca="false">IFERROR(IF(K55&gt;J55,"Not Meet Target","Meet Target"),"-")</f>
        <v>Meet Target</v>
      </c>
      <c r="N55" s="9" t="str">
        <f aca="false">IFERROR(VLOOKUP(D55,'Team Member List'!B:C,2,0),"")</f>
        <v>TL Ramirez</v>
      </c>
      <c r="O55" s="9" t="s">
        <v>2408</v>
      </c>
    </row>
    <row r="56" customFormat="false" ht="15" hidden="false" customHeight="false" outlineLevel="0" collapsed="false">
      <c r="A56" s="9" t="s">
        <v>63</v>
      </c>
      <c r="B56" s="10"/>
      <c r="C56" s="9"/>
      <c r="D56" s="9" t="s">
        <v>2327</v>
      </c>
      <c r="E56" s="9"/>
      <c r="F56" s="9" t="s">
        <v>1436</v>
      </c>
      <c r="G56" s="9" t="s">
        <v>1436</v>
      </c>
      <c r="H56" s="9" t="s">
        <v>275</v>
      </c>
      <c r="I56" s="9" t="str">
        <f aca="false">TRIM(A56) &amp; TRIM(F56) &amp; TRIM(H56)</f>
        <v>First ReviewQuest Adv CampaignGB</v>
      </c>
      <c r="J56" s="9" t="n">
        <f aca="false">IFERROR(VLOOKUP(I56,'WFM Q4 Target'!J:K,2,0),"-")</f>
        <v>68.136</v>
      </c>
      <c r="K56" s="9" t="n">
        <v>787.917</v>
      </c>
      <c r="L56" s="9" t="n">
        <v>0</v>
      </c>
      <c r="M56" s="9" t="str">
        <f aca="false">IFERROR(IF(K56&gt;J56,"Not Meet Target","Meet Target"),"-")</f>
        <v>Not Meet Target</v>
      </c>
      <c r="N56" s="9" t="str">
        <f aca="false">IFERROR(VLOOKUP(D56,'Team Member List'!B:C,2,0),"")</f>
        <v>TL Ramirez</v>
      </c>
      <c r="O56" s="9" t="s">
        <v>2408</v>
      </c>
    </row>
    <row r="57" customFormat="false" ht="15" hidden="false" customHeight="false" outlineLevel="0" collapsed="false">
      <c r="A57" s="9" t="s">
        <v>63</v>
      </c>
      <c r="B57" s="10"/>
      <c r="C57" s="9"/>
      <c r="D57" s="9" t="s">
        <v>2327</v>
      </c>
      <c r="E57" s="9"/>
      <c r="F57" s="9" t="s">
        <v>1436</v>
      </c>
      <c r="G57" s="9"/>
      <c r="H57" s="9" t="s">
        <v>267</v>
      </c>
      <c r="I57" s="9" t="str">
        <f aca="false">TRIM(A57) &amp; TRIM(F57) &amp; TRIM(H57)</f>
        <v>First ReviewQuest Adv CampaignID</v>
      </c>
      <c r="J57" s="9" t="n">
        <f aca="false">IFERROR(VLOOKUP(I57,'WFM Q4 Target'!J:K,2,0),"-")</f>
        <v>40.356</v>
      </c>
      <c r="K57" s="9" t="n">
        <v>279.4315</v>
      </c>
      <c r="L57" s="9" t="n">
        <v>0</v>
      </c>
      <c r="M57" s="9" t="str">
        <f aca="false">IFERROR(IF(K57&gt;J57,"Not Meet Target","Meet Target"),"-")</f>
        <v>Not Meet Target</v>
      </c>
      <c r="N57" s="9" t="str">
        <f aca="false">IFERROR(VLOOKUP(D57,'Team Member List'!B:C,2,0),"")</f>
        <v>TL Ramirez</v>
      </c>
      <c r="O57" s="9" t="s">
        <v>2408</v>
      </c>
    </row>
    <row r="58" customFormat="false" ht="15" hidden="false" customHeight="false" outlineLevel="0" collapsed="false">
      <c r="A58" s="9" t="s">
        <v>63</v>
      </c>
      <c r="B58" s="10"/>
      <c r="C58" s="9" t="s">
        <v>2336</v>
      </c>
      <c r="D58" s="9" t="s">
        <v>2336</v>
      </c>
      <c r="E58" s="9" t="s">
        <v>973</v>
      </c>
      <c r="F58" s="9" t="s">
        <v>979</v>
      </c>
      <c r="G58" s="9" t="s">
        <v>979</v>
      </c>
      <c r="H58" s="9" t="s">
        <v>192</v>
      </c>
      <c r="I58" s="9" t="str">
        <f aca="false">TRIM(A58) &amp; TRIM(F58) &amp; TRIM(H58)</f>
        <v>First ReviewBooking Ads Pre ApprovalGT</v>
      </c>
      <c r="J58" s="9" t="n">
        <f aca="false">IFERROR(VLOOKUP(I58,'WFM Q4 Target'!J:K,2,0),"-")</f>
        <v>1091.658</v>
      </c>
      <c r="K58" s="9" t="n">
        <v>1349.0032</v>
      </c>
      <c r="L58" s="9" t="n">
        <v>37.218</v>
      </c>
      <c r="M58" s="9" t="str">
        <f aca="false">IFERROR(IF(K58&gt;J58,"Not Meet Target","Meet Target"),"-")</f>
        <v>Not Meet Target</v>
      </c>
      <c r="N58" s="9" t="str">
        <f aca="false">IFERROR(VLOOKUP(D58,'Team Member List'!B:C,2,0),"")</f>
        <v>TL Ramirez</v>
      </c>
      <c r="O58" s="9" t="s">
        <v>2408</v>
      </c>
    </row>
    <row r="59" customFormat="false" ht="15" hidden="false" customHeight="false" outlineLevel="0" collapsed="false">
      <c r="A59" s="9" t="s">
        <v>63</v>
      </c>
      <c r="B59" s="10"/>
      <c r="C59" s="9"/>
      <c r="D59" s="9" t="s">
        <v>2336</v>
      </c>
      <c r="E59" s="9"/>
      <c r="F59" s="9" t="s">
        <v>979</v>
      </c>
      <c r="G59" s="9"/>
      <c r="H59" s="9" t="s">
        <v>58</v>
      </c>
      <c r="I59" s="9" t="str">
        <f aca="false">TRIM(A59) &amp; TRIM(F59) &amp; TRIM(H59)</f>
        <v>First ReviewBooking Ads Pre ApprovalSG</v>
      </c>
      <c r="J59" s="9" t="n">
        <f aca="false">IFERROR(VLOOKUP(I59,'WFM Q4 Target'!J:K,2,0),"-")</f>
        <v>59.52</v>
      </c>
      <c r="K59" s="9" t="n">
        <v>222.1887</v>
      </c>
      <c r="L59" s="9" t="n">
        <v>23.2737</v>
      </c>
      <c r="M59" s="9" t="str">
        <f aca="false">IFERROR(IF(K59&gt;J59,"Not Meet Target","Meet Target"),"-")</f>
        <v>Not Meet Target</v>
      </c>
      <c r="N59" s="9" t="str">
        <f aca="false">IFERROR(VLOOKUP(D59,'Team Member List'!B:C,2,0),"")</f>
        <v>TL Ramirez</v>
      </c>
      <c r="O59" s="9" t="s">
        <v>2408</v>
      </c>
    </row>
    <row r="60" customFormat="false" ht="15" hidden="false" customHeight="false" outlineLevel="0" collapsed="false">
      <c r="A60" s="9" t="s">
        <v>63</v>
      </c>
      <c r="B60" s="10"/>
      <c r="C60" s="9"/>
      <c r="D60" s="9" t="s">
        <v>2336</v>
      </c>
      <c r="E60" s="9"/>
      <c r="F60" s="9" t="s">
        <v>974</v>
      </c>
      <c r="G60" s="9" t="s">
        <v>974</v>
      </c>
      <c r="H60" s="9" t="s">
        <v>106</v>
      </c>
      <c r="I60" s="9" t="str">
        <f aca="false">TRIM(A60) &amp; TRIM(F60) &amp; TRIM(H60)</f>
        <v>First ReviewHighlight ViewMY</v>
      </c>
      <c r="J60" s="9" t="n">
        <f aca="false">IFERROR(VLOOKUP(I60,'WFM Q4 Target'!J:K,2,0),"-")</f>
        <v>242.28</v>
      </c>
      <c r="K60" s="9" t="n">
        <v>125.9446</v>
      </c>
      <c r="L60" s="9" t="n">
        <v>0</v>
      </c>
      <c r="M60" s="9" t="str">
        <f aca="false">IFERROR(IF(K60&gt;J60,"Not Meet Target","Meet Target"),"-")</f>
        <v>Meet Target</v>
      </c>
      <c r="N60" s="9" t="str">
        <f aca="false">IFERROR(VLOOKUP(D60,'Team Member List'!B:C,2,0),"")</f>
        <v>TL Ramirez</v>
      </c>
      <c r="O60" s="9" t="s">
        <v>2408</v>
      </c>
    </row>
    <row r="61" customFormat="false" ht="15" hidden="false" customHeight="false" outlineLevel="0" collapsed="false">
      <c r="A61" s="9" t="s">
        <v>63</v>
      </c>
      <c r="B61" s="10"/>
      <c r="C61" s="9"/>
      <c r="D61" s="9" t="s">
        <v>2336</v>
      </c>
      <c r="E61" s="9"/>
      <c r="F61" s="9" t="s">
        <v>974</v>
      </c>
      <c r="G61" s="9"/>
      <c r="H61" s="9" t="s">
        <v>58</v>
      </c>
      <c r="I61" s="9" t="str">
        <f aca="false">TRIM(A61) &amp; TRIM(F61) &amp; TRIM(H61)</f>
        <v>First ReviewHighlight ViewSG</v>
      </c>
      <c r="J61" s="9" t="n">
        <f aca="false">IFERROR(VLOOKUP(I61,'WFM Q4 Target'!J:K,2,0),"-")</f>
        <v>225.912</v>
      </c>
      <c r="K61" s="9" t="n">
        <v>95.8088</v>
      </c>
      <c r="L61" s="9" t="n">
        <v>0</v>
      </c>
      <c r="M61" s="9" t="str">
        <f aca="false">IFERROR(IF(K61&gt;J61,"Not Meet Target","Meet Target"),"-")</f>
        <v>Meet Target</v>
      </c>
      <c r="N61" s="9" t="str">
        <f aca="false">IFERROR(VLOOKUP(D61,'Team Member List'!B:C,2,0),"")</f>
        <v>TL Ramirez</v>
      </c>
      <c r="O61" s="9" t="s">
        <v>2408</v>
      </c>
    </row>
    <row r="62" customFormat="false" ht="15" hidden="false" customHeight="false" outlineLevel="0" collapsed="false">
      <c r="A62" s="9" t="s">
        <v>63</v>
      </c>
      <c r="B62" s="10"/>
      <c r="C62" s="9" t="s">
        <v>2343</v>
      </c>
      <c r="D62" s="9" t="s">
        <v>2343</v>
      </c>
      <c r="E62" s="9" t="s">
        <v>973</v>
      </c>
      <c r="F62" s="9" t="s">
        <v>974</v>
      </c>
      <c r="G62" s="9" t="s">
        <v>974</v>
      </c>
      <c r="H62" s="9" t="s">
        <v>150</v>
      </c>
      <c r="I62" s="9" t="str">
        <f aca="false">TRIM(A62) &amp; TRIM(F62) &amp; TRIM(H62)</f>
        <v>First ReviewHighlight ViewDE</v>
      </c>
      <c r="J62" s="9" t="n">
        <f aca="false">IFERROR(VLOOKUP(I62,'WFM Q4 Target'!J:K,2,0),"-")</f>
        <v>682.752</v>
      </c>
      <c r="K62" s="9" t="n">
        <v>551.3753</v>
      </c>
      <c r="L62" s="9" t="n">
        <v>0</v>
      </c>
      <c r="M62" s="9" t="str">
        <f aca="false">IFERROR(IF(K62&gt;J62,"Not Meet Target","Meet Target"),"-")</f>
        <v>Meet Target</v>
      </c>
      <c r="N62" s="9" t="str">
        <f aca="false">IFERROR(VLOOKUP(D62,'Team Member List'!B:C,2,0),"")</f>
        <v>TL Lindgren</v>
      </c>
      <c r="O62" s="9" t="s">
        <v>2408</v>
      </c>
    </row>
    <row r="63" customFormat="false" ht="15" hidden="false" customHeight="false" outlineLevel="0" collapsed="false">
      <c r="A63" s="9" t="s">
        <v>63</v>
      </c>
      <c r="B63" s="10"/>
      <c r="C63" s="9"/>
      <c r="D63" s="9" t="s">
        <v>2343</v>
      </c>
      <c r="E63" s="9"/>
      <c r="F63" s="9" t="s">
        <v>974</v>
      </c>
      <c r="G63" s="9"/>
      <c r="H63" s="9" t="s">
        <v>308</v>
      </c>
      <c r="I63" s="9" t="str">
        <f aca="false">TRIM(A63) &amp; TRIM(F63) &amp; TRIM(H63)</f>
        <v>First ReviewHighlight ViewPL</v>
      </c>
      <c r="J63" s="9" t="n">
        <f aca="false">IFERROR(VLOOKUP(I63,'WFM Q4 Target'!J:K,2,0),"-")</f>
        <v>598.278</v>
      </c>
      <c r="K63" s="9" t="n">
        <v>266.6595</v>
      </c>
      <c r="L63" s="9" t="n">
        <v>0</v>
      </c>
      <c r="M63" s="9" t="str">
        <f aca="false">IFERROR(IF(K63&gt;J63,"Not Meet Target","Meet Target"),"-")</f>
        <v>Meet Target</v>
      </c>
      <c r="N63" s="9" t="str">
        <f aca="false">IFERROR(VLOOKUP(D63,'Team Member List'!B:C,2,0),"")</f>
        <v>TL Lindgren</v>
      </c>
      <c r="O63" s="9" t="s">
        <v>2408</v>
      </c>
    </row>
    <row r="64" customFormat="false" ht="15" hidden="false" customHeight="false" outlineLevel="0" collapsed="false">
      <c r="A64" s="9" t="s">
        <v>63</v>
      </c>
      <c r="B64" s="10"/>
      <c r="C64" s="9" t="s">
        <v>2387</v>
      </c>
      <c r="D64" s="9" t="s">
        <v>2387</v>
      </c>
      <c r="E64" s="9" t="s">
        <v>973</v>
      </c>
      <c r="F64" s="9" t="s">
        <v>974</v>
      </c>
      <c r="G64" s="9" t="s">
        <v>974</v>
      </c>
      <c r="H64" s="9" t="s">
        <v>235</v>
      </c>
      <c r="I64" s="9" t="str">
        <f aca="false">TRIM(A64) &amp; TRIM(F64) &amp; TRIM(H64)</f>
        <v>First ReviewHighlight ViewJP</v>
      </c>
      <c r="J64" s="9" t="n">
        <f aca="false">IFERROR(VLOOKUP(I64,'WFM Q4 Target'!J:K,2,0),"-")</f>
        <v>759.402</v>
      </c>
      <c r="K64" s="9" t="n">
        <v>133.8075</v>
      </c>
      <c r="L64" s="9" t="n">
        <v>0</v>
      </c>
      <c r="M64" s="9" t="str">
        <f aca="false">IFERROR(IF(K64&gt;J64,"Not Meet Target","Meet Target"),"-")</f>
        <v>Meet Target</v>
      </c>
      <c r="N64" s="9" t="str">
        <f aca="false">IFERROR(VLOOKUP(D64,'Team Member List'!B:C,2,0),"")</f>
        <v>TL Cabrera</v>
      </c>
      <c r="O64" s="9" t="s">
        <v>2408</v>
      </c>
    </row>
    <row r="65" customFormat="false" ht="15" hidden="false" customHeight="false" outlineLevel="0" collapsed="false">
      <c r="A65" s="9" t="s">
        <v>63</v>
      </c>
      <c r="B65" s="10"/>
      <c r="C65" s="9" t="s">
        <v>2323</v>
      </c>
      <c r="D65" s="9" t="s">
        <v>2323</v>
      </c>
      <c r="E65" s="9" t="s">
        <v>973</v>
      </c>
      <c r="F65" s="9" t="s">
        <v>979</v>
      </c>
      <c r="G65" s="9" t="s">
        <v>979</v>
      </c>
      <c r="H65" s="9" t="s">
        <v>150</v>
      </c>
      <c r="I65" s="9" t="str">
        <f aca="false">TRIM(A65) &amp; TRIM(F65) &amp; TRIM(H65)</f>
        <v>First ReviewBooking Ads Pre ApprovalDE</v>
      </c>
      <c r="J65" s="9" t="n">
        <f aca="false">IFERROR(VLOOKUP(I65,'WFM Q4 Target'!J:K,2,0),"-")</f>
        <v>1094.508</v>
      </c>
      <c r="K65" s="9" t="n">
        <v>356.7229</v>
      </c>
      <c r="L65" s="9" t="n">
        <v>40.0641</v>
      </c>
      <c r="M65" s="9" t="str">
        <f aca="false">IFERROR(IF(K65&gt;J65,"Not Meet Target","Meet Target"),"-")</f>
        <v>Meet Target</v>
      </c>
      <c r="N65" s="9" t="str">
        <f aca="false">IFERROR(VLOOKUP(D65,'Team Member List'!B:C,2,0),"")</f>
        <v>TL Ramirez</v>
      </c>
      <c r="O65" s="9" t="s">
        <v>2408</v>
      </c>
    </row>
    <row r="66" customFormat="false" ht="15" hidden="false" customHeight="false" outlineLevel="0" collapsed="false">
      <c r="A66" s="9" t="s">
        <v>63</v>
      </c>
      <c r="B66" s="10"/>
      <c r="C66" s="9"/>
      <c r="D66" s="9" t="s">
        <v>2323</v>
      </c>
      <c r="E66" s="9"/>
      <c r="F66" s="9" t="s">
        <v>979</v>
      </c>
      <c r="G66" s="9"/>
      <c r="H66" s="9" t="s">
        <v>192</v>
      </c>
      <c r="I66" s="9" t="str">
        <f aca="false">TRIM(A66) &amp; TRIM(F66) &amp; TRIM(H66)</f>
        <v>First ReviewBooking Ads Pre ApprovalGT</v>
      </c>
      <c r="J66" s="9" t="n">
        <f aca="false">IFERROR(VLOOKUP(I66,'WFM Q4 Target'!J:K,2,0),"-")</f>
        <v>1091.658</v>
      </c>
      <c r="K66" s="9" t="n">
        <v>1916.9889</v>
      </c>
      <c r="L66" s="9" t="n">
        <v>35.6276</v>
      </c>
      <c r="M66" s="9" t="str">
        <f aca="false">IFERROR(IF(K66&gt;J66,"Not Meet Target","Meet Target"),"-")</f>
        <v>Not Meet Target</v>
      </c>
      <c r="N66" s="9" t="str">
        <f aca="false">IFERROR(VLOOKUP(D66,'Team Member List'!B:C,2,0),"")</f>
        <v>TL Ramirez</v>
      </c>
      <c r="O66" s="9" t="s">
        <v>2408</v>
      </c>
    </row>
    <row r="67" customFormat="false" ht="15" hidden="false" customHeight="false" outlineLevel="0" collapsed="false">
      <c r="A67" s="9" t="s">
        <v>63</v>
      </c>
      <c r="B67" s="10"/>
      <c r="C67" s="9"/>
      <c r="D67" s="9" t="s">
        <v>2323</v>
      </c>
      <c r="E67" s="9"/>
      <c r="F67" s="9" t="s">
        <v>979</v>
      </c>
      <c r="G67" s="9"/>
      <c r="H67" s="9" t="s">
        <v>267</v>
      </c>
      <c r="I67" s="9" t="str">
        <f aca="false">TRIM(A67) &amp; TRIM(F67) &amp; TRIM(H67)</f>
        <v>First ReviewBooking Ads Pre ApprovalID</v>
      </c>
      <c r="J67" s="9" t="n">
        <f aca="false">IFERROR(VLOOKUP(I67,'WFM Q4 Target'!J:K,2,0),"-")</f>
        <v>271.992</v>
      </c>
      <c r="K67" s="9" t="n">
        <v>1914.6849</v>
      </c>
      <c r="L67" s="9" t="n">
        <v>11.5578</v>
      </c>
      <c r="M67" s="9" t="str">
        <f aca="false">IFERROR(IF(K67&gt;J67,"Not Meet Target","Meet Target"),"-")</f>
        <v>Not Meet Target</v>
      </c>
      <c r="N67" s="9" t="str">
        <f aca="false">IFERROR(VLOOKUP(D67,'Team Member List'!B:C,2,0),"")</f>
        <v>TL Ramirez</v>
      </c>
      <c r="O67" s="9" t="s">
        <v>2408</v>
      </c>
    </row>
    <row r="68" customFormat="false" ht="15" hidden="false" customHeight="false" outlineLevel="0" collapsed="false">
      <c r="A68" s="9" t="s">
        <v>63</v>
      </c>
      <c r="B68" s="10"/>
      <c r="C68" s="9"/>
      <c r="D68" s="9" t="s">
        <v>2323</v>
      </c>
      <c r="E68" s="9" t="s">
        <v>1432</v>
      </c>
      <c r="F68" s="9" t="s">
        <v>1498</v>
      </c>
      <c r="G68" s="9" t="s">
        <v>1498</v>
      </c>
      <c r="H68" s="9" t="s">
        <v>150</v>
      </c>
      <c r="I68" s="9" t="str">
        <f aca="false">TRIM(A68) &amp; TRIM(F68) &amp; TRIM(H68)</f>
        <v>First ReviewBE Adv CampaignDE</v>
      </c>
      <c r="J68" s="9" t="str">
        <f aca="false">IFERROR(VLOOKUP(I68,'WFM Q4 Target'!J:K,2,0),"-")</f>
        <v>-</v>
      </c>
      <c r="K68" s="9" t="n">
        <v>116.2258</v>
      </c>
      <c r="L68" s="9" t="n">
        <v>0</v>
      </c>
      <c r="M68" s="9" t="str">
        <f aca="false">IFERROR(IF(K68&gt;J68,"Not Meet Target","Meet Target"),"-")</f>
        <v>Meet Target</v>
      </c>
      <c r="N68" s="9" t="str">
        <f aca="false">IFERROR(VLOOKUP(D68,'Team Member List'!B:C,2,0),"")</f>
        <v>TL Ramirez</v>
      </c>
      <c r="O68" s="9" t="s">
        <v>2408</v>
      </c>
    </row>
    <row r="69" customFormat="false" ht="15" hidden="false" customHeight="false" outlineLevel="0" collapsed="false">
      <c r="A69" s="9" t="s">
        <v>63</v>
      </c>
      <c r="B69" s="10"/>
      <c r="C69" s="9"/>
      <c r="D69" s="9" t="s">
        <v>2323</v>
      </c>
      <c r="E69" s="9"/>
      <c r="F69" s="9" t="s">
        <v>1502</v>
      </c>
      <c r="G69" s="9" t="s">
        <v>1502</v>
      </c>
      <c r="H69" s="9" t="s">
        <v>150</v>
      </c>
      <c r="I69" s="9" t="str">
        <f aca="false">TRIM(A69) &amp; TRIM(F69) &amp; TRIM(H69)</f>
        <v>First ReviewBE Adv VideoDE</v>
      </c>
      <c r="J69" s="9" t="str">
        <f aca="false">IFERROR(VLOOKUP(I69,'WFM Q4 Target'!J:K,2,0),"-")</f>
        <v>-</v>
      </c>
      <c r="K69" s="9" t="n">
        <v>437.9161</v>
      </c>
      <c r="L69" s="9" t="n">
        <v>23.1001</v>
      </c>
      <c r="M69" s="9" t="str">
        <f aca="false">IFERROR(IF(K69&gt;J69,"Not Meet Target","Meet Target"),"-")</f>
        <v>Meet Target</v>
      </c>
      <c r="N69" s="9" t="str">
        <f aca="false">IFERROR(VLOOKUP(D69,'Team Member List'!B:C,2,0),"")</f>
        <v>TL Ramirez</v>
      </c>
      <c r="O69" s="9" t="s">
        <v>2408</v>
      </c>
    </row>
    <row r="70" customFormat="false" ht="15" hidden="false" customHeight="false" outlineLevel="0" collapsed="false">
      <c r="A70" s="9" t="s">
        <v>63</v>
      </c>
      <c r="B70" s="10"/>
      <c r="C70" s="9"/>
      <c r="D70" s="9" t="s">
        <v>2323</v>
      </c>
      <c r="E70" s="9"/>
      <c r="F70" s="9" t="s">
        <v>1440</v>
      </c>
      <c r="G70" s="9" t="s">
        <v>1440</v>
      </c>
      <c r="H70" s="9" t="s">
        <v>150</v>
      </c>
      <c r="I70" s="9" t="str">
        <f aca="false">TRIM(A70) &amp; TRIM(F70) &amp; TRIM(H70)</f>
        <v>First ReviewHTC Adv CampaignDE</v>
      </c>
      <c r="J70" s="9" t="n">
        <f aca="false">IFERROR(VLOOKUP(I70,'WFM Q4 Target'!J:K,2,0),"-")</f>
        <v>299.31</v>
      </c>
      <c r="K70" s="9" t="n">
        <v>426.9008</v>
      </c>
      <c r="L70" s="9" t="n">
        <v>0</v>
      </c>
      <c r="M70" s="9" t="str">
        <f aca="false">IFERROR(IF(K70&gt;J70,"Not Meet Target","Meet Target"),"-")</f>
        <v>Not Meet Target</v>
      </c>
      <c r="N70" s="9" t="str">
        <f aca="false">IFERROR(VLOOKUP(D70,'Team Member List'!B:C,2,0),"")</f>
        <v>TL Ramirez</v>
      </c>
      <c r="O70" s="9" t="s">
        <v>2408</v>
      </c>
    </row>
    <row r="71" customFormat="false" ht="15" hidden="false" customHeight="false" outlineLevel="0" collapsed="false">
      <c r="A71" s="9" t="s">
        <v>63</v>
      </c>
      <c r="B71" s="10"/>
      <c r="C71" s="9"/>
      <c r="D71" s="9" t="s">
        <v>2323</v>
      </c>
      <c r="E71" s="9"/>
      <c r="F71" s="9" t="s">
        <v>1458</v>
      </c>
      <c r="G71" s="9" t="s">
        <v>1458</v>
      </c>
      <c r="H71" s="9" t="s">
        <v>150</v>
      </c>
      <c r="I71" s="9" t="str">
        <f aca="false">TRIM(A71) &amp; TRIM(F71) &amp; TRIM(H71)</f>
        <v>First ReviewHTC Adv VideoDE</v>
      </c>
      <c r="J71" s="9" t="str">
        <f aca="false">IFERROR(VLOOKUP(I71,'WFM Q4 Target'!J:K,2,0),"-")</f>
        <v>-</v>
      </c>
      <c r="K71" s="9" t="n">
        <v>192.4417</v>
      </c>
      <c r="L71" s="9" t="n">
        <v>27.33</v>
      </c>
      <c r="M71" s="9" t="str">
        <f aca="false">IFERROR(IF(K71&gt;J71,"Not Meet Target","Meet Target"),"-")</f>
        <v>Meet Target</v>
      </c>
      <c r="N71" s="9" t="str">
        <f aca="false">IFERROR(VLOOKUP(D71,'Team Member List'!B:C,2,0),"")</f>
        <v>TL Ramirez</v>
      </c>
      <c r="O71" s="9" t="s">
        <v>2408</v>
      </c>
    </row>
    <row r="72" customFormat="false" ht="15" hidden="false" customHeight="false" outlineLevel="0" collapsed="false">
      <c r="A72" s="9" t="s">
        <v>63</v>
      </c>
      <c r="B72" s="10"/>
      <c r="C72" s="9"/>
      <c r="D72" s="9" t="s">
        <v>2323</v>
      </c>
      <c r="E72" s="9"/>
      <c r="F72" s="9" t="s">
        <v>1436</v>
      </c>
      <c r="G72" s="9" t="s">
        <v>1436</v>
      </c>
      <c r="H72" s="9" t="s">
        <v>150</v>
      </c>
      <c r="I72" s="9" t="str">
        <f aca="false">TRIM(A72) &amp; TRIM(F72) &amp; TRIM(H72)</f>
        <v>First ReviewQuest Adv CampaignDE</v>
      </c>
      <c r="J72" s="9" t="n">
        <f aca="false">IFERROR(VLOOKUP(I72,'WFM Q4 Target'!J:K,2,0),"-")</f>
        <v>126.894</v>
      </c>
      <c r="K72" s="9" t="n">
        <v>555.4066</v>
      </c>
      <c r="L72" s="9" t="n">
        <v>0</v>
      </c>
      <c r="M72" s="9" t="str">
        <f aca="false">IFERROR(IF(K72&gt;J72,"Not Meet Target","Meet Target"),"-")</f>
        <v>Not Meet Target</v>
      </c>
      <c r="N72" s="9" t="str">
        <f aca="false">IFERROR(VLOOKUP(D72,'Team Member List'!B:C,2,0),"")</f>
        <v>TL Ramirez</v>
      </c>
      <c r="O72" s="9" t="s">
        <v>2408</v>
      </c>
    </row>
    <row r="73" customFormat="false" ht="15" hidden="false" customHeight="false" outlineLevel="0" collapsed="false">
      <c r="A73" s="9" t="s">
        <v>66</v>
      </c>
      <c r="B73" s="10"/>
      <c r="C73" s="9" t="s">
        <v>2387</v>
      </c>
      <c r="D73" s="9" t="s">
        <v>2387</v>
      </c>
      <c r="E73" s="9" t="s">
        <v>2009</v>
      </c>
      <c r="F73" s="9" t="s">
        <v>2012</v>
      </c>
      <c r="G73" s="9" t="s">
        <v>2012</v>
      </c>
      <c r="H73" s="9" t="s">
        <v>267</v>
      </c>
      <c r="I73" s="9" t="str">
        <f aca="false">TRIM(A73) &amp; TRIM(F73) &amp; TRIM(H73)</f>
        <v>Posted RecallTrial Install Android AppID</v>
      </c>
      <c r="J73" s="9" t="n">
        <f aca="false">IFERROR(VLOOKUP(I73,'WFM Q4 Target'!J:K,2,0),"-")</f>
        <v>532.764</v>
      </c>
      <c r="K73" s="9" t="n">
        <v>1750.4454</v>
      </c>
      <c r="L73" s="9" t="n">
        <v>520.4021</v>
      </c>
      <c r="M73" s="9" t="str">
        <f aca="false">IFERROR(IF(K73&gt;J73,"Not Meet Target","Meet Target"),"-")</f>
        <v>Not Meet Target</v>
      </c>
      <c r="N73" s="9" t="str">
        <f aca="false">IFERROR(VLOOKUP(D73,'Team Member List'!B:C,2,0),"")</f>
        <v>TL Cabrera</v>
      </c>
      <c r="O73" s="9" t="s">
        <v>2408</v>
      </c>
    </row>
    <row r="74" customFormat="false" ht="15" hidden="false" customHeight="false" outlineLevel="0" collapsed="false">
      <c r="A74" s="9" t="s">
        <v>66</v>
      </c>
      <c r="B74" s="10"/>
      <c r="C74" s="9" t="s">
        <v>2385</v>
      </c>
      <c r="D74" s="9" t="s">
        <v>2385</v>
      </c>
      <c r="E74" s="9" t="s">
        <v>2009</v>
      </c>
      <c r="F74" s="9" t="s">
        <v>2012</v>
      </c>
      <c r="G74" s="9" t="s">
        <v>2012</v>
      </c>
      <c r="H74" s="9" t="s">
        <v>267</v>
      </c>
      <c r="I74" s="9" t="str">
        <f aca="false">TRIM(A74) &amp; TRIM(F74) &amp; TRIM(H74)</f>
        <v>Posted RecallTrial Install Android AppID</v>
      </c>
      <c r="J74" s="9" t="n">
        <f aca="false">IFERROR(VLOOKUP(I74,'WFM Q4 Target'!J:K,2,0),"-")</f>
        <v>532.764</v>
      </c>
      <c r="K74" s="9" t="n">
        <v>570.8992</v>
      </c>
      <c r="L74" s="9" t="n">
        <v>531.4719</v>
      </c>
      <c r="M74" s="9" t="str">
        <f aca="false">IFERROR(IF(K74&gt;J74,"Not Meet Target","Meet Target"),"-")</f>
        <v>Not Meet Target</v>
      </c>
      <c r="N74" s="9" t="str">
        <f aca="false">IFERROR(VLOOKUP(D74,'Team Member List'!B:C,2,0),"")</f>
        <v>TL Cabrera</v>
      </c>
      <c r="O74" s="9" t="s">
        <v>2408</v>
      </c>
    </row>
    <row r="75" customFormat="false" ht="15" hidden="false" customHeight="false" outlineLevel="0" collapsed="false">
      <c r="A75" s="9" t="s">
        <v>66</v>
      </c>
      <c r="B75" s="10"/>
      <c r="C75" s="9"/>
      <c r="D75" s="9" t="s">
        <v>2385</v>
      </c>
      <c r="E75" s="9"/>
      <c r="F75" s="9" t="s">
        <v>2012</v>
      </c>
      <c r="G75" s="9"/>
      <c r="H75" s="9" t="s">
        <v>95</v>
      </c>
      <c r="I75" s="9" t="str">
        <f aca="false">TRIM(A75) &amp; TRIM(F75) &amp; TRIM(H75)</f>
        <v>Posted RecallTrial Install Android AppVN</v>
      </c>
      <c r="J75" s="9" t="n">
        <f aca="false">IFERROR(VLOOKUP(I75,'WFM Q4 Target'!J:K,2,0),"-")</f>
        <v>711.03</v>
      </c>
      <c r="K75" s="9" t="n">
        <v>516.4608</v>
      </c>
      <c r="L75" s="9" t="n">
        <v>184.7136</v>
      </c>
      <c r="M75" s="9" t="str">
        <f aca="false">IFERROR(IF(K75&gt;J75,"Not Meet Target","Meet Target"),"-")</f>
        <v>Meet Target</v>
      </c>
      <c r="N75" s="9" t="str">
        <f aca="false">IFERROR(VLOOKUP(D75,'Team Member List'!B:C,2,0),"")</f>
        <v>TL Cabrera</v>
      </c>
      <c r="O75" s="9" t="s">
        <v>2408</v>
      </c>
    </row>
    <row r="76" customFormat="false" ht="15" hidden="false" customHeight="false" outlineLevel="0" collapsed="false">
      <c r="A76" s="9" t="s">
        <v>66</v>
      </c>
      <c r="B76" s="10"/>
      <c r="C76" s="9" t="s">
        <v>2388</v>
      </c>
      <c r="D76" s="9" t="s">
        <v>2388</v>
      </c>
      <c r="E76" s="9" t="s">
        <v>2009</v>
      </c>
      <c r="F76" s="9" t="s">
        <v>2012</v>
      </c>
      <c r="G76" s="9" t="s">
        <v>2012</v>
      </c>
      <c r="H76" s="9" t="s">
        <v>267</v>
      </c>
      <c r="I76" s="9" t="str">
        <f aca="false">TRIM(A76) &amp; TRIM(F76) &amp; TRIM(H76)</f>
        <v>Posted RecallTrial Install Android AppID</v>
      </c>
      <c r="J76" s="9" t="n">
        <f aca="false">IFERROR(VLOOKUP(I76,'WFM Q4 Target'!J:K,2,0),"-")</f>
        <v>532.764</v>
      </c>
      <c r="K76" s="9" t="n">
        <v>388.5221</v>
      </c>
      <c r="L76" s="9" t="n">
        <v>197.6836</v>
      </c>
      <c r="M76" s="9" t="str">
        <f aca="false">IFERROR(IF(K76&gt;J76,"Not Meet Target","Meet Target"),"-")</f>
        <v>Meet Target</v>
      </c>
      <c r="N76" s="9" t="str">
        <f aca="false">IFERROR(VLOOKUP(D76,'Team Member List'!B:C,2,0),"")</f>
        <v>TL Cabrera</v>
      </c>
      <c r="O76" s="9" t="s">
        <v>2408</v>
      </c>
    </row>
    <row r="77" customFormat="false" ht="15" hidden="false" customHeight="false" outlineLevel="0" collapsed="false">
      <c r="A77" s="9" t="s">
        <v>66</v>
      </c>
      <c r="B77" s="10"/>
      <c r="C77" s="9"/>
      <c r="D77" s="9" t="s">
        <v>2388</v>
      </c>
      <c r="E77" s="9"/>
      <c r="F77" s="9" t="s">
        <v>2012</v>
      </c>
      <c r="G77" s="9"/>
      <c r="H77" s="9" t="s">
        <v>95</v>
      </c>
      <c r="I77" s="9" t="str">
        <f aca="false">TRIM(A77) &amp; TRIM(F77) &amp; TRIM(H77)</f>
        <v>Posted RecallTrial Install Android AppVN</v>
      </c>
      <c r="J77" s="9" t="n">
        <f aca="false">IFERROR(VLOOKUP(I77,'WFM Q4 Target'!J:K,2,0),"-")</f>
        <v>711.03</v>
      </c>
      <c r="K77" s="9" t="n">
        <v>123.8354</v>
      </c>
      <c r="L77" s="9" t="n">
        <v>217.5395</v>
      </c>
      <c r="M77" s="9" t="str">
        <f aca="false">IFERROR(IF(K77&gt;J77,"Not Meet Target","Meet Target"),"-")</f>
        <v>Meet Target</v>
      </c>
      <c r="N77" s="9" t="str">
        <f aca="false">IFERROR(VLOOKUP(D77,'Team Member List'!B:C,2,0),"")</f>
        <v>TL Cabrera</v>
      </c>
      <c r="O77" s="9" t="s">
        <v>2408</v>
      </c>
    </row>
    <row r="78" customFormat="false" ht="15" hidden="false" customHeight="false" outlineLevel="0" collapsed="false">
      <c r="A78" s="9" t="s">
        <v>66</v>
      </c>
      <c r="B78" s="10"/>
      <c r="C78" s="9" t="s">
        <v>2326</v>
      </c>
      <c r="D78" s="9" t="s">
        <v>2326</v>
      </c>
      <c r="E78" s="9" t="s">
        <v>1828</v>
      </c>
      <c r="F78" s="9" t="s">
        <v>1829</v>
      </c>
      <c r="G78" s="9" t="s">
        <v>1829</v>
      </c>
      <c r="H78" s="9" t="s">
        <v>267</v>
      </c>
      <c r="I78" s="9" t="str">
        <f aca="false">TRIM(A78) &amp; TRIM(F78) &amp; TRIM(H78)</f>
        <v>Posted RecallDynamic Catalog WholeProdID</v>
      </c>
      <c r="J78" s="9" t="n">
        <f aca="false">IFERROR(VLOOKUP(I78,'WFM Q4 Target'!J:K,2,0),"-")</f>
        <v>46.53</v>
      </c>
      <c r="K78" s="9" t="n">
        <v>125.9662</v>
      </c>
      <c r="L78" s="9" t="n">
        <v>0</v>
      </c>
      <c r="M78" s="9" t="str">
        <f aca="false">IFERROR(IF(K78&gt;J78,"Not Meet Target","Meet Target"),"-")</f>
        <v>Not Meet Target</v>
      </c>
      <c r="N78" s="9" t="str">
        <f aca="false">IFERROR(VLOOKUP(D78,'Team Member List'!B:C,2,0),"")</f>
        <v>TL Ramirez</v>
      </c>
      <c r="O78" s="9" t="s">
        <v>2408</v>
      </c>
    </row>
    <row r="79" customFormat="false" ht="15" hidden="false" customHeight="false" outlineLevel="0" collapsed="false">
      <c r="A79" s="9" t="s">
        <v>66</v>
      </c>
      <c r="B79" s="10"/>
      <c r="C79" s="9" t="s">
        <v>2357</v>
      </c>
      <c r="D79" s="9" t="s">
        <v>2357</v>
      </c>
      <c r="E79" s="9" t="s">
        <v>56</v>
      </c>
      <c r="F79" s="9" t="s">
        <v>57</v>
      </c>
      <c r="G79" s="9" t="s">
        <v>57</v>
      </c>
      <c r="H79" s="9" t="s">
        <v>255</v>
      </c>
      <c r="I79" s="9" t="str">
        <f aca="false">TRIM(A79) &amp; TRIM(F79) &amp; TRIM(H79)</f>
        <v>Posted RecallBid Ad GroupNZ</v>
      </c>
      <c r="J79" s="9" t="n">
        <f aca="false">IFERROR(VLOOKUP(I79,'WFM Q4 Target'!J:K,2,0),"-")</f>
        <v>107.808</v>
      </c>
      <c r="K79" s="9" t="n">
        <v>330.0417</v>
      </c>
      <c r="L79" s="9" t="n">
        <v>7.0683</v>
      </c>
      <c r="M79" s="9" t="str">
        <f aca="false">IFERROR(IF(K79&gt;J79,"Not Meet Target","Meet Target"),"-")</f>
        <v>Not Meet Target</v>
      </c>
      <c r="N79" s="9" t="str">
        <f aca="false">IFERROR(VLOOKUP(D79,'Team Member List'!B:C,2,0),"")</f>
        <v>TL Lindgren</v>
      </c>
      <c r="O79" s="9" t="s">
        <v>2408</v>
      </c>
    </row>
    <row r="80" customFormat="false" ht="15" hidden="false" customHeight="false" outlineLevel="0" collapsed="false">
      <c r="A80" s="9" t="s">
        <v>66</v>
      </c>
      <c r="B80" s="10"/>
      <c r="C80" s="9" t="s">
        <v>2359</v>
      </c>
      <c r="D80" s="9" t="s">
        <v>2359</v>
      </c>
      <c r="E80" s="9" t="s">
        <v>56</v>
      </c>
      <c r="F80" s="9" t="s">
        <v>57</v>
      </c>
      <c r="G80" s="9" t="s">
        <v>57</v>
      </c>
      <c r="H80" s="9" t="s">
        <v>235</v>
      </c>
      <c r="I80" s="9" t="str">
        <f aca="false">TRIM(A80) &amp; TRIM(F80) &amp; TRIM(H80)</f>
        <v>Posted RecallBid Ad GroupJP</v>
      </c>
      <c r="J80" s="9" t="n">
        <f aca="false">IFERROR(VLOOKUP(I80,'WFM Q4 Target'!J:K,2,0),"-")</f>
        <v>100.644</v>
      </c>
      <c r="K80" s="9" t="n">
        <v>270.0064</v>
      </c>
      <c r="L80" s="9" t="n">
        <v>20.1063</v>
      </c>
      <c r="M80" s="9" t="str">
        <f aca="false">IFERROR(IF(K80&gt;J80,"Not Meet Target","Meet Target"),"-")</f>
        <v>Not Meet Target</v>
      </c>
      <c r="N80" s="9" t="str">
        <f aca="false">IFERROR(VLOOKUP(D80,'Team Member List'!B:C,2,0),"")</f>
        <v>TL Okafor</v>
      </c>
      <c r="O80" s="9" t="s">
        <v>2408</v>
      </c>
    </row>
  </sheetData>
  <mergeCells count="16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N3:N4"/>
    <mergeCell ref="O3:O4"/>
  </mergeCells>
  <conditionalFormatting sqref="M5:M80">
    <cfRule type="containsText" priority="2" operator="containsText" aboveAverage="0" equalAverage="0" bottom="0" percent="0" rank="0" text="Not Meet Target" dxfId="0">
      <formula>NOT(ISERROR(SEARCH("Not Meet Target",M5)))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2398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2399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8" t="s">
        <v>8</v>
      </c>
      <c r="B3" s="8" t="s">
        <v>8</v>
      </c>
      <c r="C3" s="8" t="s">
        <v>2400</v>
      </c>
      <c r="D3" s="8" t="s">
        <v>2401</v>
      </c>
      <c r="E3" s="8" t="s">
        <v>5</v>
      </c>
      <c r="F3" s="8" t="s">
        <v>6</v>
      </c>
      <c r="G3" s="8" t="s">
        <v>6</v>
      </c>
      <c r="H3" s="8" t="s">
        <v>7</v>
      </c>
      <c r="I3" s="8" t="s">
        <v>13</v>
      </c>
      <c r="J3" s="8" t="s">
        <v>2402</v>
      </c>
      <c r="K3" s="8" t="s">
        <v>2415</v>
      </c>
      <c r="L3" s="8"/>
      <c r="M3" s="8" t="s">
        <v>2404</v>
      </c>
      <c r="N3" s="8" t="s">
        <v>2321</v>
      </c>
      <c r="O3" s="8" t="s">
        <v>2405</v>
      </c>
    </row>
    <row r="4" customFormat="false" ht="23.8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5" t="s">
        <v>2406</v>
      </c>
      <c r="L4" s="3" t="s">
        <v>2407</v>
      </c>
      <c r="M4" s="8"/>
      <c r="N4" s="8"/>
      <c r="O4" s="8"/>
    </row>
    <row r="5" customFormat="false" ht="15" hidden="false" customHeight="false" outlineLevel="0" collapsed="false">
      <c r="A5" s="9" t="s">
        <v>63</v>
      </c>
      <c r="B5" s="10"/>
      <c r="C5" s="9" t="s">
        <v>2340</v>
      </c>
      <c r="D5" s="9" t="s">
        <v>2340</v>
      </c>
      <c r="E5" s="9" t="s">
        <v>56</v>
      </c>
      <c r="F5" s="9" t="s">
        <v>57</v>
      </c>
      <c r="G5" s="9" t="s">
        <v>57</v>
      </c>
      <c r="H5" s="9" t="s">
        <v>95</v>
      </c>
      <c r="I5" s="9" t="str">
        <f aca="false">TRIM(A5) &amp; TRIM(F5) &amp; TRIM(H5)</f>
        <v>First ReviewBid Ad GroupVN</v>
      </c>
      <c r="J5" s="9" t="n">
        <f aca="false">IFERROR(VLOOKUP(I5,'WFM Q4 Target'!J:K,2,0),"-")</f>
        <v>220.83</v>
      </c>
      <c r="K5" s="9" t="n">
        <v>409.1999</v>
      </c>
      <c r="L5" s="9" t="n">
        <v>449.9321</v>
      </c>
      <c r="M5" s="9" t="str">
        <f aca="false">IFERROR(IF(K5&gt;J5,"Not Meet Target","Meet Target"),"-")</f>
        <v>Not Meet Target</v>
      </c>
      <c r="N5" s="9" t="str">
        <f aca="false">IFERROR(VLOOKUP(D5,'Team Member List'!B:C,2,0),"")</f>
        <v>TL Lindgren</v>
      </c>
      <c r="O5" s="9" t="s">
        <v>2408</v>
      </c>
    </row>
    <row r="6" customFormat="false" ht="15" hidden="false" customHeight="false" outlineLevel="0" collapsed="false">
      <c r="A6" s="9" t="s">
        <v>63</v>
      </c>
      <c r="B6" s="10"/>
      <c r="C6" s="9"/>
      <c r="D6" s="9" t="s">
        <v>2340</v>
      </c>
      <c r="E6" s="9" t="s">
        <v>1346</v>
      </c>
      <c r="F6" s="9" t="s">
        <v>1347</v>
      </c>
      <c r="G6" s="9" t="s">
        <v>1347</v>
      </c>
      <c r="H6" s="9" t="s">
        <v>95</v>
      </c>
      <c r="I6" s="9" t="str">
        <f aca="false">TRIM(A6) &amp; TRIM(F6) &amp; TRIM(H6)</f>
        <v>First ReviewFX StudioVN</v>
      </c>
      <c r="J6" s="9" t="n">
        <f aca="false">IFERROR(VLOOKUP(I6,'WFM Q4 Target'!J:K,2,0),"-")</f>
        <v>239.448</v>
      </c>
      <c r="K6" s="9" t="n">
        <v>214.7492</v>
      </c>
      <c r="L6" s="9" t="n">
        <v>16.9408</v>
      </c>
      <c r="M6" s="9" t="str">
        <f aca="false">IFERROR(IF(K6&gt;J6,"Not Meet Target","Meet Target"),"-")</f>
        <v>Meet Target</v>
      </c>
      <c r="N6" s="9" t="str">
        <f aca="false">IFERROR(VLOOKUP(D6,'Team Member List'!B:C,2,0),"")</f>
        <v>TL Lindgren</v>
      </c>
      <c r="O6" s="9" t="s">
        <v>2408</v>
      </c>
    </row>
    <row r="7" customFormat="false" ht="15" hidden="false" customHeight="false" outlineLevel="0" collapsed="false">
      <c r="A7" s="9" t="s">
        <v>63</v>
      </c>
      <c r="B7" s="10"/>
      <c r="C7" s="9" t="s">
        <v>2374</v>
      </c>
      <c r="D7" s="9" t="s">
        <v>2374</v>
      </c>
      <c r="E7" s="9" t="s">
        <v>973</v>
      </c>
      <c r="F7" s="9" t="s">
        <v>974</v>
      </c>
      <c r="G7" s="9" t="s">
        <v>974</v>
      </c>
      <c r="H7" s="9" t="s">
        <v>70</v>
      </c>
      <c r="I7" s="9" t="str">
        <f aca="false">TRIM(A7) &amp; TRIM(F7) &amp; TRIM(H7)</f>
        <v>First ReviewHighlight ViewBE</v>
      </c>
      <c r="J7" s="9" t="n">
        <f aca="false">IFERROR(VLOOKUP(I7,'WFM Q4 Target'!J:K,2,0),"-")</f>
        <v>449.616</v>
      </c>
      <c r="K7" s="9" t="n">
        <v>463.5001</v>
      </c>
      <c r="L7" s="9" t="n">
        <v>0</v>
      </c>
      <c r="M7" s="9" t="str">
        <f aca="false">IFERROR(IF(K7&gt;J7,"Not Meet Target","Meet Target"),"-")</f>
        <v>Not Meet Target</v>
      </c>
      <c r="N7" s="9" t="str">
        <f aca="false">IFERROR(VLOOKUP(D7,'Team Member List'!B:C,2,0),"")</f>
        <v>TL Okafor</v>
      </c>
      <c r="O7" s="9" t="s">
        <v>2408</v>
      </c>
    </row>
    <row r="8" customFormat="false" ht="15" hidden="false" customHeight="false" outlineLevel="0" collapsed="false">
      <c r="A8" s="9" t="s">
        <v>63</v>
      </c>
      <c r="B8" s="10"/>
      <c r="C8" s="9"/>
      <c r="D8" s="9" t="s">
        <v>2374</v>
      </c>
      <c r="E8" s="9"/>
      <c r="F8" s="9" t="s">
        <v>974</v>
      </c>
      <c r="G8" s="9"/>
      <c r="H8" s="9" t="s">
        <v>190</v>
      </c>
      <c r="I8" s="9" t="str">
        <f aca="false">TRIM(A8) &amp; TRIM(F8) &amp; TRIM(H8)</f>
        <v>First ReviewHighlight ViewPH</v>
      </c>
      <c r="J8" s="9" t="n">
        <f aca="false">IFERROR(VLOOKUP(I8,'WFM Q4 Target'!J:K,2,0),"-")</f>
        <v>469.32</v>
      </c>
      <c r="K8" s="9" t="n">
        <v>103.5646</v>
      </c>
      <c r="L8" s="9" t="n">
        <v>0</v>
      </c>
      <c r="M8" s="9" t="str">
        <f aca="false">IFERROR(IF(K8&gt;J8,"Not Meet Target","Meet Target"),"-")</f>
        <v>Meet Target</v>
      </c>
      <c r="N8" s="9" t="str">
        <f aca="false">IFERROR(VLOOKUP(D8,'Team Member List'!B:C,2,0),"")</f>
        <v>TL Okafor</v>
      </c>
      <c r="O8" s="9" t="s">
        <v>2408</v>
      </c>
    </row>
    <row r="9" customFormat="false" ht="15" hidden="false" customHeight="false" outlineLevel="0" collapsed="false">
      <c r="A9" s="9" t="s">
        <v>63</v>
      </c>
      <c r="B9" s="10"/>
      <c r="C9" s="9" t="s">
        <v>2351</v>
      </c>
      <c r="D9" s="9" t="s">
        <v>2351</v>
      </c>
      <c r="E9" s="9" t="s">
        <v>973</v>
      </c>
      <c r="F9" s="9" t="s">
        <v>979</v>
      </c>
      <c r="G9" s="9" t="s">
        <v>979</v>
      </c>
      <c r="H9" s="9" t="s">
        <v>95</v>
      </c>
      <c r="I9" s="9" t="str">
        <f aca="false">TRIM(A9) &amp; TRIM(F9) &amp; TRIM(H9)</f>
        <v>First ReviewBooking Ads Pre ApprovalVN</v>
      </c>
      <c r="J9" s="9" t="n">
        <f aca="false">IFERROR(VLOOKUP(I9,'WFM Q4 Target'!J:K,2,0),"-")</f>
        <v>213.222</v>
      </c>
      <c r="K9" s="9" t="n">
        <v>311.8739</v>
      </c>
      <c r="L9" s="9" t="n">
        <v>27.9071</v>
      </c>
      <c r="M9" s="9" t="str">
        <f aca="false">IFERROR(IF(K9&gt;J9,"Not Meet Target","Meet Target"),"-")</f>
        <v>Not Meet Target</v>
      </c>
      <c r="N9" s="9" t="str">
        <f aca="false">IFERROR(VLOOKUP(D9,'Team Member List'!B:C,2,0),"")</f>
        <v>TL Lindgren</v>
      </c>
      <c r="O9" s="9" t="s">
        <v>2408</v>
      </c>
    </row>
    <row r="10" customFormat="false" ht="15" hidden="false" customHeight="false" outlineLevel="0" collapsed="false">
      <c r="A10" s="9" t="s">
        <v>63</v>
      </c>
      <c r="B10" s="10"/>
      <c r="C10" s="9" t="s">
        <v>2365</v>
      </c>
      <c r="D10" s="9" t="s">
        <v>2365</v>
      </c>
      <c r="E10" s="9" t="s">
        <v>973</v>
      </c>
      <c r="F10" s="9" t="s">
        <v>2409</v>
      </c>
      <c r="G10" s="9" t="s">
        <v>2409</v>
      </c>
      <c r="H10" s="9" t="s">
        <v>121</v>
      </c>
      <c r="I10" s="9" t="str">
        <f aca="false">TRIM(A10) &amp; TRIM(F10) &amp; TRIM(H10)</f>
        <v>First ReviewESTKR</v>
      </c>
      <c r="J10" s="9" t="str">
        <f aca="false">IFERROR(VLOOKUP(I10,'WFM Q4 Target'!J:K,2,0),"-")</f>
        <v>-</v>
      </c>
      <c r="K10" s="9" t="n">
        <v>181.4908</v>
      </c>
      <c r="L10" s="9" t="n">
        <v>0</v>
      </c>
      <c r="M10" s="9" t="str">
        <f aca="false">IFERROR(IF(K10&gt;J10,"Not Meet Target","Meet Target"),"-")</f>
        <v>Meet Target</v>
      </c>
      <c r="N10" s="9" t="str">
        <f aca="false">IFERROR(VLOOKUP(D10,'Team Member List'!B:C,2,0),"")</f>
        <v>TL Okafor</v>
      </c>
      <c r="O10" s="9" t="s">
        <v>2408</v>
      </c>
    </row>
    <row r="11" customFormat="false" ht="15" hidden="false" customHeight="false" outlineLevel="0" collapsed="false">
      <c r="A11" s="9" t="s">
        <v>63</v>
      </c>
      <c r="B11" s="10"/>
      <c r="C11" s="9"/>
      <c r="D11" s="9" t="s">
        <v>2365</v>
      </c>
      <c r="E11" s="9"/>
      <c r="F11" s="9" t="s">
        <v>974</v>
      </c>
      <c r="G11" s="9" t="s">
        <v>974</v>
      </c>
      <c r="H11" s="9" t="s">
        <v>121</v>
      </c>
      <c r="I11" s="9" t="str">
        <f aca="false">TRIM(A11) &amp; TRIM(F11) &amp; TRIM(H11)</f>
        <v>First ReviewHighlight ViewKR</v>
      </c>
      <c r="J11" s="9" t="n">
        <f aca="false">IFERROR(VLOOKUP(I11,'WFM Q4 Target'!J:K,2,0),"-")</f>
        <v>57.264</v>
      </c>
      <c r="K11" s="9" t="n">
        <v>492.2543</v>
      </c>
      <c r="L11" s="9" t="n">
        <v>0</v>
      </c>
      <c r="M11" s="9" t="str">
        <f aca="false">IFERROR(IF(K11&gt;J11,"Not Meet Target","Meet Target"),"-")</f>
        <v>Not Meet Target</v>
      </c>
      <c r="N11" s="9" t="str">
        <f aca="false">IFERROR(VLOOKUP(D11,'Team Member List'!B:C,2,0),"")</f>
        <v>TL Okafor</v>
      </c>
      <c r="O11" s="9" t="s">
        <v>2408</v>
      </c>
    </row>
    <row r="12" customFormat="false" ht="15" hidden="false" customHeight="false" outlineLevel="0" collapsed="false">
      <c r="A12" s="9" t="s">
        <v>63</v>
      </c>
      <c r="B12" s="10"/>
      <c r="C12" s="9" t="s">
        <v>2337</v>
      </c>
      <c r="D12" s="9" t="s">
        <v>2337</v>
      </c>
      <c r="E12" s="9" t="s">
        <v>973</v>
      </c>
      <c r="F12" s="9" t="s">
        <v>2409</v>
      </c>
      <c r="G12" s="9" t="s">
        <v>2409</v>
      </c>
      <c r="H12" s="9" t="s">
        <v>106</v>
      </c>
      <c r="I12" s="9" t="str">
        <f aca="false">TRIM(A12) &amp; TRIM(F12) &amp; TRIM(H12)</f>
        <v>First ReviewESTMY</v>
      </c>
      <c r="J12" s="9" t="str">
        <f aca="false">IFERROR(VLOOKUP(I12,'WFM Q4 Target'!J:K,2,0),"-")</f>
        <v>-</v>
      </c>
      <c r="K12" s="9" t="n">
        <v>218.9726</v>
      </c>
      <c r="L12" s="9" t="n">
        <v>0</v>
      </c>
      <c r="M12" s="9" t="str">
        <f aca="false">IFERROR(IF(K12&gt;J12,"Not Meet Target","Meet Target"),"-")</f>
        <v>Meet Target</v>
      </c>
      <c r="N12" s="9" t="str">
        <f aca="false">IFERROR(VLOOKUP(D12,'Team Member List'!B:C,2,0),"")</f>
        <v>TL Ramirez</v>
      </c>
      <c r="O12" s="9" t="s">
        <v>2408</v>
      </c>
    </row>
    <row r="13" customFormat="false" ht="15" hidden="false" customHeight="false" outlineLevel="0" collapsed="false">
      <c r="A13" s="9" t="s">
        <v>63</v>
      </c>
      <c r="B13" s="10"/>
      <c r="C13" s="9"/>
      <c r="D13" s="9" t="s">
        <v>2337</v>
      </c>
      <c r="E13" s="9"/>
      <c r="F13" s="9" t="s">
        <v>974</v>
      </c>
      <c r="G13" s="9" t="s">
        <v>974</v>
      </c>
      <c r="H13" s="9" t="s">
        <v>106</v>
      </c>
      <c r="I13" s="9" t="str">
        <f aca="false">TRIM(A13) &amp; TRIM(F13) &amp; TRIM(H13)</f>
        <v>First ReviewHighlight ViewMY</v>
      </c>
      <c r="J13" s="9" t="n">
        <f aca="false">IFERROR(VLOOKUP(I13,'WFM Q4 Target'!J:K,2,0),"-")</f>
        <v>242.28</v>
      </c>
      <c r="K13" s="9" t="n">
        <v>203.1681</v>
      </c>
      <c r="L13" s="9" t="n">
        <v>0</v>
      </c>
      <c r="M13" s="9" t="str">
        <f aca="false">IFERROR(IF(K13&gt;J13,"Not Meet Target","Meet Target"),"-")</f>
        <v>Meet Target</v>
      </c>
      <c r="N13" s="9" t="str">
        <f aca="false">IFERROR(VLOOKUP(D13,'Team Member List'!B:C,2,0),"")</f>
        <v>TL Ramirez</v>
      </c>
      <c r="O13" s="9" t="s">
        <v>2408</v>
      </c>
    </row>
    <row r="14" customFormat="false" ht="15" hidden="false" customHeight="false" outlineLevel="0" collapsed="false">
      <c r="A14" s="9" t="s">
        <v>63</v>
      </c>
      <c r="B14" s="10"/>
      <c r="C14" s="9" t="s">
        <v>2361</v>
      </c>
      <c r="D14" s="9" t="s">
        <v>2361</v>
      </c>
      <c r="E14" s="9" t="s">
        <v>973</v>
      </c>
      <c r="F14" s="9" t="s">
        <v>974</v>
      </c>
      <c r="G14" s="9" t="s">
        <v>974</v>
      </c>
      <c r="H14" s="9" t="s">
        <v>235</v>
      </c>
      <c r="I14" s="9" t="str">
        <f aca="false">TRIM(A14) &amp; TRIM(F14) &amp; TRIM(H14)</f>
        <v>First ReviewHighlight ViewJP</v>
      </c>
      <c r="J14" s="9" t="n">
        <f aca="false">IFERROR(VLOOKUP(I14,'WFM Q4 Target'!J:K,2,0),"-")</f>
        <v>759.402</v>
      </c>
      <c r="K14" s="9" t="n">
        <v>188.3591</v>
      </c>
      <c r="L14" s="9" t="n">
        <v>0</v>
      </c>
      <c r="M14" s="9" t="str">
        <f aca="false">IFERROR(IF(K14&gt;J14,"Not Meet Target","Meet Target"),"-")</f>
        <v>Meet Target</v>
      </c>
      <c r="N14" s="9" t="str">
        <f aca="false">IFERROR(VLOOKUP(D14,'Team Member List'!B:C,2,0),"")</f>
        <v>TL Okafor</v>
      </c>
      <c r="O14" s="9" t="s">
        <v>2408</v>
      </c>
    </row>
    <row r="15" customFormat="false" ht="15" hidden="false" customHeight="false" outlineLevel="0" collapsed="false">
      <c r="A15" s="9" t="s">
        <v>63</v>
      </c>
      <c r="B15" s="10"/>
      <c r="C15" s="9" t="s">
        <v>2345</v>
      </c>
      <c r="D15" s="9" t="s">
        <v>2345</v>
      </c>
      <c r="E15" s="9" t="s">
        <v>1432</v>
      </c>
      <c r="F15" s="9" t="s">
        <v>1436</v>
      </c>
      <c r="G15" s="9" t="s">
        <v>1436</v>
      </c>
      <c r="H15" s="9" t="s">
        <v>95</v>
      </c>
      <c r="I15" s="9" t="str">
        <f aca="false">TRIM(A15) &amp; TRIM(F15) &amp; TRIM(H15)</f>
        <v>First ReviewQuest Adv CampaignVN</v>
      </c>
      <c r="J15" s="9" t="n">
        <f aca="false">IFERROR(VLOOKUP(I15,'WFM Q4 Target'!J:K,2,0),"-")</f>
        <v>744.528</v>
      </c>
      <c r="K15" s="9" t="n">
        <v>94.2852</v>
      </c>
      <c r="L15" s="9" t="n">
        <v>0</v>
      </c>
      <c r="M15" s="9" t="str">
        <f aca="false">IFERROR(IF(K15&gt;J15,"Not Meet Target","Meet Target"),"-")</f>
        <v>Meet Target</v>
      </c>
      <c r="N15" s="9" t="str">
        <f aca="false">IFERROR(VLOOKUP(D15,'Team Member List'!B:C,2,0),"")</f>
        <v>TL Lindgren</v>
      </c>
      <c r="O15" s="9" t="s">
        <v>2408</v>
      </c>
    </row>
    <row r="16" customFormat="false" ht="15" hidden="false" customHeight="false" outlineLevel="0" collapsed="false">
      <c r="A16" s="9" t="s">
        <v>63</v>
      </c>
      <c r="B16" s="10"/>
      <c r="C16" s="9" t="s">
        <v>2338</v>
      </c>
      <c r="D16" s="9" t="s">
        <v>2338</v>
      </c>
      <c r="E16" s="9" t="s">
        <v>1432</v>
      </c>
      <c r="F16" s="9" t="s">
        <v>1436</v>
      </c>
      <c r="G16" s="9" t="s">
        <v>1436</v>
      </c>
      <c r="H16" s="9" t="s">
        <v>106</v>
      </c>
      <c r="I16" s="9" t="str">
        <f aca="false">TRIM(A16) &amp; TRIM(F16) &amp; TRIM(H16)</f>
        <v>First ReviewQuest Adv CampaignMY</v>
      </c>
      <c r="J16" s="9" t="n">
        <f aca="false">IFERROR(VLOOKUP(I16,'WFM Q4 Target'!J:K,2,0),"-")</f>
        <v>47.592</v>
      </c>
      <c r="K16" s="9" t="n">
        <v>278.9737</v>
      </c>
      <c r="L16" s="9" t="n">
        <v>0</v>
      </c>
      <c r="M16" s="9" t="str">
        <f aca="false">IFERROR(IF(K16&gt;J16,"Not Meet Target","Meet Target"),"-")</f>
        <v>Not Meet Target</v>
      </c>
      <c r="N16" s="9" t="str">
        <f aca="false">IFERROR(VLOOKUP(D16,'Team Member List'!B:C,2,0),"")</f>
        <v>TL Ramirez</v>
      </c>
      <c r="O16" s="9" t="s">
        <v>2408</v>
      </c>
    </row>
    <row r="17" customFormat="false" ht="15" hidden="false" customHeight="false" outlineLevel="0" collapsed="false">
      <c r="A17" s="9" t="s">
        <v>63</v>
      </c>
      <c r="B17" s="10"/>
      <c r="C17" s="9" t="s">
        <v>2323</v>
      </c>
      <c r="D17" s="9" t="s">
        <v>2323</v>
      </c>
      <c r="E17" s="9" t="s">
        <v>973</v>
      </c>
      <c r="F17" s="9" t="s">
        <v>979</v>
      </c>
      <c r="G17" s="9" t="s">
        <v>979</v>
      </c>
      <c r="H17" s="9" t="s">
        <v>97</v>
      </c>
      <c r="I17" s="9" t="str">
        <f aca="false">TRIM(A17) &amp; TRIM(F17) &amp; TRIM(H17)</f>
        <v>First ReviewBooking Ads Pre ApprovalBR</v>
      </c>
      <c r="J17" s="9" t="n">
        <f aca="false">IFERROR(VLOOKUP(I17,'WFM Q4 Target'!J:K,2,0),"-")</f>
        <v>1137.432</v>
      </c>
      <c r="K17" s="9" t="n">
        <v>226.9204</v>
      </c>
      <c r="L17" s="9" t="n">
        <v>14.4372</v>
      </c>
      <c r="M17" s="9" t="str">
        <f aca="false">IFERROR(IF(K17&gt;J17,"Not Meet Target","Meet Target"),"-")</f>
        <v>Meet Target</v>
      </c>
      <c r="N17" s="9" t="str">
        <f aca="false">IFERROR(VLOOKUP(D17,'Team Member List'!B:C,2,0),"")</f>
        <v>TL Ramirez</v>
      </c>
      <c r="O17" s="9" t="s">
        <v>2408</v>
      </c>
    </row>
    <row r="18" customFormat="false" ht="15" hidden="false" customHeight="false" outlineLevel="0" collapsed="false">
      <c r="A18" s="9" t="s">
        <v>63</v>
      </c>
      <c r="B18" s="10"/>
      <c r="C18" s="9"/>
      <c r="D18" s="9" t="s">
        <v>2323</v>
      </c>
      <c r="E18" s="9"/>
      <c r="F18" s="9" t="s">
        <v>974</v>
      </c>
      <c r="G18" s="9" t="s">
        <v>974</v>
      </c>
      <c r="H18" s="9" t="s">
        <v>267</v>
      </c>
      <c r="I18" s="9" t="str">
        <f aca="false">TRIM(A18) &amp; TRIM(F18) &amp; TRIM(H18)</f>
        <v>First ReviewHighlight ViewID</v>
      </c>
      <c r="J18" s="9" t="n">
        <f aca="false">IFERROR(VLOOKUP(I18,'WFM Q4 Target'!J:K,2,0),"-")</f>
        <v>590.502</v>
      </c>
      <c r="K18" s="9" t="n">
        <v>117.6504</v>
      </c>
      <c r="L18" s="9" t="n">
        <v>0</v>
      </c>
      <c r="M18" s="9" t="str">
        <f aca="false">IFERROR(IF(K18&gt;J18,"Not Meet Target","Meet Target"),"-")</f>
        <v>Meet Target</v>
      </c>
      <c r="N18" s="9" t="str">
        <f aca="false">IFERROR(VLOOKUP(D18,'Team Member List'!B:C,2,0),"")</f>
        <v>TL Ramirez</v>
      </c>
      <c r="O18" s="9" t="s">
        <v>2408</v>
      </c>
    </row>
    <row r="19" customFormat="false" ht="15" hidden="false" customHeight="false" outlineLevel="0" collapsed="false">
      <c r="A19" s="9" t="s">
        <v>63</v>
      </c>
      <c r="B19" s="10"/>
      <c r="C19" s="9" t="s">
        <v>2370</v>
      </c>
      <c r="D19" s="9" t="s">
        <v>2370</v>
      </c>
      <c r="E19" s="9" t="s">
        <v>973</v>
      </c>
      <c r="F19" s="9" t="s">
        <v>979</v>
      </c>
      <c r="G19" s="9" t="s">
        <v>979</v>
      </c>
      <c r="H19" s="9" t="s">
        <v>458</v>
      </c>
      <c r="I19" s="9" t="str">
        <f aca="false">TRIM(A19) &amp; TRIM(F19) &amp; TRIM(H19)</f>
        <v>First ReviewBooking Ads Pre ApprovalTW</v>
      </c>
      <c r="J19" s="9" t="n">
        <f aca="false">IFERROR(VLOOKUP(I19,'WFM Q4 Target'!J:K,2,0),"-")</f>
        <v>256.044</v>
      </c>
      <c r="K19" s="9" t="n">
        <v>524.6337</v>
      </c>
      <c r="L19" s="9" t="n">
        <v>28.1426</v>
      </c>
      <c r="M19" s="9" t="str">
        <f aca="false">IFERROR(IF(K19&gt;J19,"Not Meet Target","Meet Target"),"-")</f>
        <v>Not Meet Target</v>
      </c>
      <c r="N19" s="9" t="str">
        <f aca="false">IFERROR(VLOOKUP(D19,'Team Member List'!B:C,2,0),"")</f>
        <v>TL Okafor</v>
      </c>
      <c r="O19" s="9" t="s">
        <v>2408</v>
      </c>
    </row>
    <row r="20" customFormat="false" ht="15" hidden="false" customHeight="false" outlineLevel="0" collapsed="false">
      <c r="A20" s="9" t="s">
        <v>63</v>
      </c>
      <c r="B20" s="10"/>
      <c r="C20" s="9" t="s">
        <v>2334</v>
      </c>
      <c r="D20" s="9" t="s">
        <v>2334</v>
      </c>
      <c r="E20" s="9" t="s">
        <v>973</v>
      </c>
      <c r="F20" s="9" t="s">
        <v>979</v>
      </c>
      <c r="G20" s="9" t="s">
        <v>979</v>
      </c>
      <c r="H20" s="9" t="s">
        <v>267</v>
      </c>
      <c r="I20" s="9" t="str">
        <f aca="false">TRIM(A20) &amp; TRIM(F20) &amp; TRIM(H20)</f>
        <v>First ReviewBooking Ads Pre ApprovalID</v>
      </c>
      <c r="J20" s="9" t="n">
        <f aca="false">IFERROR(VLOOKUP(I20,'WFM Q4 Target'!J:K,2,0),"-")</f>
        <v>271.992</v>
      </c>
      <c r="K20" s="9" t="n">
        <v>222.1953</v>
      </c>
      <c r="L20" s="9" t="n">
        <v>21.8332</v>
      </c>
      <c r="M20" s="9" t="str">
        <f aca="false">IFERROR(IF(K20&gt;J20,"Not Meet Target","Meet Target"),"-")</f>
        <v>Meet Target</v>
      </c>
      <c r="N20" s="9" t="str">
        <f aca="false">IFERROR(VLOOKUP(D20,'Team Member List'!B:C,2,0),"")</f>
        <v>TL Ramirez</v>
      </c>
      <c r="O20" s="9" t="s">
        <v>2408</v>
      </c>
    </row>
    <row r="21" customFormat="false" ht="15" hidden="false" customHeight="false" outlineLevel="0" collapsed="false">
      <c r="A21" s="9" t="s">
        <v>63</v>
      </c>
      <c r="B21" s="10"/>
      <c r="C21" s="9" t="s">
        <v>2383</v>
      </c>
      <c r="D21" s="9" t="s">
        <v>2383</v>
      </c>
      <c r="E21" s="9" t="s">
        <v>1346</v>
      </c>
      <c r="F21" s="9" t="s">
        <v>1347</v>
      </c>
      <c r="G21" s="9" t="s">
        <v>1347</v>
      </c>
      <c r="H21" s="9" t="s">
        <v>121</v>
      </c>
      <c r="I21" s="9" t="str">
        <f aca="false">TRIM(A21) &amp; TRIM(F21) &amp; TRIM(H21)</f>
        <v>First ReviewFX StudioKR</v>
      </c>
      <c r="J21" s="9" t="str">
        <f aca="false">IFERROR(VLOOKUP(I21,'WFM Q4 Target'!J:K,2,0),"-")</f>
        <v>-</v>
      </c>
      <c r="K21" s="9" t="n">
        <v>382.0272</v>
      </c>
      <c r="L21" s="9" t="n">
        <v>18.2344</v>
      </c>
      <c r="M21" s="9" t="str">
        <f aca="false">IFERROR(IF(K21&gt;J21,"Not Meet Target","Meet Target"),"-")</f>
        <v>Meet Target</v>
      </c>
      <c r="N21" s="9" t="str">
        <f aca="false">IFERROR(VLOOKUP(D21,'Team Member List'!B:C,2,0),"")</f>
        <v>TL Cabrera</v>
      </c>
      <c r="O21" s="9" t="s">
        <v>2408</v>
      </c>
    </row>
    <row r="22" customFormat="false" ht="15" hidden="false" customHeight="false" outlineLevel="0" collapsed="false">
      <c r="A22" s="9" t="s">
        <v>63</v>
      </c>
      <c r="B22" s="10"/>
      <c r="C22" s="9" t="s">
        <v>2376</v>
      </c>
      <c r="D22" s="9" t="s">
        <v>2376</v>
      </c>
      <c r="E22" s="9" t="s">
        <v>973</v>
      </c>
      <c r="F22" s="9" t="s">
        <v>974</v>
      </c>
      <c r="G22" s="9" t="s">
        <v>974</v>
      </c>
      <c r="H22" s="9" t="s">
        <v>306</v>
      </c>
      <c r="I22" s="9" t="str">
        <f aca="false">TRIM(A22) &amp; TRIM(F22) &amp; TRIM(H22)</f>
        <v>First ReviewHighlight ViewTH</v>
      </c>
      <c r="J22" s="9" t="n">
        <f aca="false">IFERROR(VLOOKUP(I22,'WFM Q4 Target'!J:K,2,0),"-")</f>
        <v>225.126</v>
      </c>
      <c r="K22" s="9" t="n">
        <v>379.3989</v>
      </c>
      <c r="L22" s="9" t="n">
        <v>0</v>
      </c>
      <c r="M22" s="9" t="str">
        <f aca="false">IFERROR(IF(K22&gt;J22,"Not Meet Target","Meet Target"),"-")</f>
        <v>Not Meet Target</v>
      </c>
      <c r="N22" s="9" t="str">
        <f aca="false">IFERROR(VLOOKUP(D22,'Team Member List'!B:C,2,0),"")</f>
        <v>TL Okafor</v>
      </c>
      <c r="O22" s="9" t="s">
        <v>2408</v>
      </c>
    </row>
    <row r="23" customFormat="false" ht="15" hidden="false" customHeight="false" outlineLevel="0" collapsed="false">
      <c r="A23" s="9" t="s">
        <v>63</v>
      </c>
      <c r="B23" s="10"/>
      <c r="C23" s="9" t="s">
        <v>2355</v>
      </c>
      <c r="D23" s="9" t="s">
        <v>2355</v>
      </c>
      <c r="E23" s="9" t="s">
        <v>973</v>
      </c>
      <c r="F23" s="9" t="s">
        <v>974</v>
      </c>
      <c r="G23" s="9" t="s">
        <v>974</v>
      </c>
      <c r="H23" s="9" t="s">
        <v>255</v>
      </c>
      <c r="I23" s="9" t="str">
        <f aca="false">TRIM(A23) &amp; TRIM(F23) &amp; TRIM(H23)</f>
        <v>First ReviewHighlight ViewNZ</v>
      </c>
      <c r="J23" s="9" t="n">
        <f aca="false">IFERROR(VLOOKUP(I23,'WFM Q4 Target'!J:K,2,0),"-")</f>
        <v>212.076</v>
      </c>
      <c r="K23" s="9" t="n">
        <v>697.0778</v>
      </c>
      <c r="L23" s="9" t="n">
        <v>0</v>
      </c>
      <c r="M23" s="9" t="str">
        <f aca="false">IFERROR(IF(K23&gt;J23,"Not Meet Target","Meet Target"),"-")</f>
        <v>Not Meet Target</v>
      </c>
      <c r="N23" s="9" t="str">
        <f aca="false">IFERROR(VLOOKUP(D23,'Team Member List'!B:C,2,0),"")</f>
        <v>TL Lindgren</v>
      </c>
      <c r="O23" s="9" t="s">
        <v>2408</v>
      </c>
    </row>
    <row r="24" customFormat="false" ht="15" hidden="false" customHeight="false" outlineLevel="0" collapsed="false">
      <c r="A24" s="9" t="s">
        <v>63</v>
      </c>
      <c r="B24" s="10"/>
      <c r="C24" s="9" t="s">
        <v>2367</v>
      </c>
      <c r="D24" s="9" t="s">
        <v>2367</v>
      </c>
      <c r="E24" s="9" t="s">
        <v>973</v>
      </c>
      <c r="F24" s="9" t="s">
        <v>979</v>
      </c>
      <c r="G24" s="9" t="s">
        <v>979</v>
      </c>
      <c r="H24" s="9" t="s">
        <v>168</v>
      </c>
      <c r="I24" s="9" t="str">
        <f aca="false">TRIM(A24) &amp; TRIM(F24) &amp; TRIM(H24)</f>
        <v>First ReviewBooking Ads Pre ApprovalKZ</v>
      </c>
      <c r="J24" s="9" t="n">
        <f aca="false">IFERROR(VLOOKUP(I24,'WFM Q4 Target'!J:K,2,0),"-")</f>
        <v>943.542</v>
      </c>
      <c r="K24" s="9" t="n">
        <v>267.7272</v>
      </c>
      <c r="L24" s="9" t="n">
        <v>15.2587</v>
      </c>
      <c r="M24" s="9" t="str">
        <f aca="false">IFERROR(IF(K24&gt;J24,"Not Meet Target","Meet Target"),"-")</f>
        <v>Meet Target</v>
      </c>
      <c r="N24" s="9" t="str">
        <f aca="false">IFERROR(VLOOKUP(D24,'Team Member List'!B:C,2,0),"")</f>
        <v>TL Okafor</v>
      </c>
      <c r="O24" s="9" t="s">
        <v>2408</v>
      </c>
    </row>
    <row r="25" customFormat="false" ht="15" hidden="false" customHeight="false" outlineLevel="0" collapsed="false">
      <c r="A25" s="9" t="s">
        <v>63</v>
      </c>
      <c r="B25" s="10"/>
      <c r="C25" s="9"/>
      <c r="D25" s="9" t="s">
        <v>2367</v>
      </c>
      <c r="E25" s="9"/>
      <c r="F25" s="9" t="s">
        <v>979</v>
      </c>
      <c r="G25" s="9"/>
      <c r="H25" s="9" t="s">
        <v>210</v>
      </c>
      <c r="I25" s="9" t="str">
        <f aca="false">TRIM(A25) &amp; TRIM(F25) &amp; TRIM(H25)</f>
        <v>First ReviewBooking Ads Pre ApprovalPK</v>
      </c>
      <c r="J25" s="9" t="n">
        <f aca="false">IFERROR(VLOOKUP(I25,'WFM Q4 Target'!J:K,2,0),"-")</f>
        <v>380.484</v>
      </c>
      <c r="K25" s="9" t="n">
        <v>439.2375</v>
      </c>
      <c r="L25" s="9" t="n">
        <v>19.1772</v>
      </c>
      <c r="M25" s="9" t="str">
        <f aca="false">IFERROR(IF(K25&gt;J25,"Not Meet Target","Meet Target"),"-")</f>
        <v>Not Meet Target</v>
      </c>
      <c r="N25" s="9" t="str">
        <f aca="false">IFERROR(VLOOKUP(D25,'Team Member List'!B:C,2,0),"")</f>
        <v>TL Okafor</v>
      </c>
      <c r="O25" s="9" t="s">
        <v>2408</v>
      </c>
    </row>
    <row r="26" customFormat="false" ht="15" hidden="false" customHeight="false" outlineLevel="0" collapsed="false">
      <c r="A26" s="9" t="s">
        <v>63</v>
      </c>
      <c r="B26" s="10"/>
      <c r="C26" s="9"/>
      <c r="D26" s="9" t="s">
        <v>2367</v>
      </c>
      <c r="E26" s="9"/>
      <c r="F26" s="9" t="s">
        <v>974</v>
      </c>
      <c r="G26" s="9" t="s">
        <v>974</v>
      </c>
      <c r="H26" s="9" t="s">
        <v>168</v>
      </c>
      <c r="I26" s="9" t="str">
        <f aca="false">TRIM(A26) &amp; TRIM(F26) &amp; TRIM(H26)</f>
        <v>First ReviewHighlight ViewKZ</v>
      </c>
      <c r="J26" s="9" t="n">
        <f aca="false">IFERROR(VLOOKUP(I26,'WFM Q4 Target'!J:K,2,0),"-")</f>
        <v>406.476</v>
      </c>
      <c r="K26" s="9" t="n">
        <v>255.368</v>
      </c>
      <c r="L26" s="9" t="n">
        <v>0</v>
      </c>
      <c r="M26" s="9" t="str">
        <f aca="false">IFERROR(IF(K26&gt;J26,"Not Meet Target","Meet Target"),"-")</f>
        <v>Meet Target</v>
      </c>
      <c r="N26" s="9" t="str">
        <f aca="false">IFERROR(VLOOKUP(D26,'Team Member List'!B:C,2,0),"")</f>
        <v>TL Okafor</v>
      </c>
      <c r="O26" s="9" t="s">
        <v>2408</v>
      </c>
    </row>
    <row r="27" customFormat="false" ht="15" hidden="false" customHeight="false" outlineLevel="0" collapsed="false">
      <c r="A27" s="9" t="s">
        <v>63</v>
      </c>
      <c r="B27" s="10"/>
      <c r="C27" s="9" t="s">
        <v>2342</v>
      </c>
      <c r="D27" s="9" t="s">
        <v>2342</v>
      </c>
      <c r="E27" s="9" t="s">
        <v>56</v>
      </c>
      <c r="F27" s="9" t="s">
        <v>119</v>
      </c>
      <c r="G27" s="9" t="s">
        <v>119</v>
      </c>
      <c r="H27" s="9" t="s">
        <v>95</v>
      </c>
      <c r="I27" s="9" t="str">
        <f aca="false">TRIM(A27) &amp; TRIM(F27) &amp; TRIM(H27)</f>
        <v>First ReviewBid Pre ApprovalVN</v>
      </c>
      <c r="J27" s="9" t="n">
        <f aca="false">IFERROR(VLOOKUP(I27,'WFM Q4 Target'!J:K,2,0),"-")</f>
        <v>153.516</v>
      </c>
      <c r="K27" s="9" t="n">
        <v>234.3054</v>
      </c>
      <c r="L27" s="9" t="n">
        <v>0</v>
      </c>
      <c r="M27" s="9" t="str">
        <f aca="false">IFERROR(IF(K27&gt;J27,"Not Meet Target","Meet Target"),"-")</f>
        <v>Not Meet Target</v>
      </c>
      <c r="N27" s="9" t="str">
        <f aca="false">IFERROR(VLOOKUP(D27,'Team Member List'!B:C,2,0),"")</f>
        <v>TL Lindgren</v>
      </c>
      <c r="O27" s="9" t="s">
        <v>2408</v>
      </c>
    </row>
    <row r="28" customFormat="false" ht="15" hidden="false" customHeight="false" outlineLevel="0" collapsed="false">
      <c r="A28" s="9" t="s">
        <v>63</v>
      </c>
      <c r="B28" s="10"/>
      <c r="C28" s="9" t="s">
        <v>2371</v>
      </c>
      <c r="D28" s="9" t="s">
        <v>2371</v>
      </c>
      <c r="E28" s="9" t="s">
        <v>973</v>
      </c>
      <c r="F28" s="9" t="s">
        <v>974</v>
      </c>
      <c r="G28" s="9" t="s">
        <v>974</v>
      </c>
      <c r="H28" s="9" t="s">
        <v>235</v>
      </c>
      <c r="I28" s="9" t="str">
        <f aca="false">TRIM(A28) &amp; TRIM(F28) &amp; TRIM(H28)</f>
        <v>First ReviewHighlight ViewJP</v>
      </c>
      <c r="J28" s="9" t="n">
        <f aca="false">IFERROR(VLOOKUP(I28,'WFM Q4 Target'!J:K,2,0),"-")</f>
        <v>759.402</v>
      </c>
      <c r="K28" s="9" t="n">
        <v>141.5272</v>
      </c>
      <c r="L28" s="9" t="n">
        <v>0</v>
      </c>
      <c r="M28" s="9" t="str">
        <f aca="false">IFERROR(IF(K28&gt;J28,"Not Meet Target","Meet Target"),"-")</f>
        <v>Meet Target</v>
      </c>
      <c r="N28" s="9" t="str">
        <f aca="false">IFERROR(VLOOKUP(D28,'Team Member List'!B:C,2,0),"")</f>
        <v>TL Okafor</v>
      </c>
      <c r="O28" s="9" t="s">
        <v>2408</v>
      </c>
    </row>
    <row r="29" customFormat="false" ht="15" hidden="false" customHeight="false" outlineLevel="0" collapsed="false">
      <c r="A29" s="9" t="s">
        <v>63</v>
      </c>
      <c r="B29" s="10"/>
      <c r="C29" s="9"/>
      <c r="D29" s="9" t="s">
        <v>2371</v>
      </c>
      <c r="E29" s="9"/>
      <c r="F29" s="9" t="s">
        <v>974</v>
      </c>
      <c r="G29" s="9"/>
      <c r="H29" s="9" t="s">
        <v>458</v>
      </c>
      <c r="I29" s="9" t="str">
        <f aca="false">TRIM(A29) &amp; TRIM(F29) &amp; TRIM(H29)</f>
        <v>First ReviewHighlight ViewTW</v>
      </c>
      <c r="J29" s="9" t="n">
        <f aca="false">IFERROR(VLOOKUP(I29,'WFM Q4 Target'!J:K,2,0),"-")</f>
        <v>261.162</v>
      </c>
      <c r="K29" s="9" t="n">
        <v>298.4144</v>
      </c>
      <c r="L29" s="9" t="n">
        <v>0</v>
      </c>
      <c r="M29" s="9" t="str">
        <f aca="false">IFERROR(IF(K29&gt;J29,"Not Meet Target","Meet Target"),"-")</f>
        <v>Not Meet Target</v>
      </c>
      <c r="N29" s="9" t="str">
        <f aca="false">IFERROR(VLOOKUP(D29,'Team Member List'!B:C,2,0),"")</f>
        <v>TL Okafor</v>
      </c>
      <c r="O29" s="9" t="s">
        <v>2408</v>
      </c>
    </row>
    <row r="30" customFormat="false" ht="15" hidden="false" customHeight="false" outlineLevel="0" collapsed="false">
      <c r="A30" s="9" t="s">
        <v>63</v>
      </c>
      <c r="B30" s="10"/>
      <c r="C30" s="9" t="s">
        <v>2329</v>
      </c>
      <c r="D30" s="9" t="s">
        <v>2329</v>
      </c>
      <c r="E30" s="9" t="s">
        <v>973</v>
      </c>
      <c r="F30" s="9" t="s">
        <v>979</v>
      </c>
      <c r="G30" s="9" t="s">
        <v>979</v>
      </c>
      <c r="H30" s="9" t="s">
        <v>267</v>
      </c>
      <c r="I30" s="9" t="str">
        <f aca="false">TRIM(A30) &amp; TRIM(F30) &amp; TRIM(H30)</f>
        <v>First ReviewBooking Ads Pre ApprovalID</v>
      </c>
      <c r="J30" s="9" t="n">
        <f aca="false">IFERROR(VLOOKUP(I30,'WFM Q4 Target'!J:K,2,0),"-")</f>
        <v>271.992</v>
      </c>
      <c r="K30" s="9" t="n">
        <v>253.9471</v>
      </c>
      <c r="L30" s="9" t="n">
        <v>50.0373</v>
      </c>
      <c r="M30" s="9" t="str">
        <f aca="false">IFERROR(IF(K30&gt;J30,"Not Meet Target","Meet Target"),"-")</f>
        <v>Meet Target</v>
      </c>
      <c r="N30" s="9" t="str">
        <f aca="false">IFERROR(VLOOKUP(D30,'Team Member List'!B:C,2,0),"")</f>
        <v>TL Ramirez</v>
      </c>
      <c r="O30" s="9" t="s">
        <v>2408</v>
      </c>
    </row>
    <row r="31" customFormat="false" ht="15" hidden="false" customHeight="false" outlineLevel="0" collapsed="false">
      <c r="A31" s="9" t="s">
        <v>63</v>
      </c>
      <c r="B31" s="10"/>
      <c r="C31" s="9" t="s">
        <v>2344</v>
      </c>
      <c r="D31" s="9" t="s">
        <v>2344</v>
      </c>
      <c r="E31" s="9" t="s">
        <v>973</v>
      </c>
      <c r="F31" s="9" t="s">
        <v>974</v>
      </c>
      <c r="G31" s="9" t="s">
        <v>974</v>
      </c>
      <c r="H31" s="9" t="s">
        <v>157</v>
      </c>
      <c r="I31" s="9" t="str">
        <f aca="false">TRIM(A31) &amp; TRIM(F31) &amp; TRIM(H31)</f>
        <v>First ReviewHighlight ViewSA</v>
      </c>
      <c r="J31" s="9" t="n">
        <f aca="false">IFERROR(VLOOKUP(I31,'WFM Q4 Target'!J:K,2,0),"-")</f>
        <v>778.374</v>
      </c>
      <c r="K31" s="9" t="n">
        <v>452.5375</v>
      </c>
      <c r="L31" s="9" t="n">
        <v>0</v>
      </c>
      <c r="M31" s="9" t="str">
        <f aca="false">IFERROR(IF(K31&gt;J31,"Not Meet Target","Meet Target"),"-")</f>
        <v>Meet Target</v>
      </c>
      <c r="N31" s="9" t="str">
        <f aca="false">IFERROR(VLOOKUP(D31,'Team Member List'!B:C,2,0),"")</f>
        <v>TL Lindgren</v>
      </c>
      <c r="O31" s="9" t="s">
        <v>2408</v>
      </c>
    </row>
    <row r="32" customFormat="false" ht="15" hidden="false" customHeight="false" outlineLevel="0" collapsed="false">
      <c r="A32" s="9" t="s">
        <v>63</v>
      </c>
      <c r="B32" s="10"/>
      <c r="C32" s="9"/>
      <c r="D32" s="9" t="s">
        <v>2344</v>
      </c>
      <c r="E32" s="9"/>
      <c r="F32" s="9" t="s">
        <v>974</v>
      </c>
      <c r="G32" s="9"/>
      <c r="H32" s="9" t="s">
        <v>95</v>
      </c>
      <c r="I32" s="9" t="str">
        <f aca="false">TRIM(A32) &amp; TRIM(F32) &amp; TRIM(H32)</f>
        <v>First ReviewHighlight ViewVN</v>
      </c>
      <c r="J32" s="9" t="n">
        <f aca="false">IFERROR(VLOOKUP(I32,'WFM Q4 Target'!J:K,2,0),"-")</f>
        <v>286.158</v>
      </c>
      <c r="K32" s="9" t="n">
        <v>234.6955</v>
      </c>
      <c r="L32" s="9" t="n">
        <v>0</v>
      </c>
      <c r="M32" s="9" t="str">
        <f aca="false">IFERROR(IF(K32&gt;J32,"Not Meet Target","Meet Target"),"-")</f>
        <v>Meet Target</v>
      </c>
      <c r="N32" s="9" t="str">
        <f aca="false">IFERROR(VLOOKUP(D32,'Team Member List'!B:C,2,0),"")</f>
        <v>TL Lindgren</v>
      </c>
      <c r="O32" s="9" t="s">
        <v>2408</v>
      </c>
    </row>
    <row r="33" customFormat="false" ht="15" hidden="false" customHeight="false" outlineLevel="0" collapsed="false">
      <c r="A33" s="9" t="s">
        <v>63</v>
      </c>
      <c r="B33" s="10"/>
      <c r="C33" s="9" t="s">
        <v>2350</v>
      </c>
      <c r="D33" s="9" t="s">
        <v>2350</v>
      </c>
      <c r="E33" s="9" t="s">
        <v>973</v>
      </c>
      <c r="F33" s="9" t="s">
        <v>979</v>
      </c>
      <c r="G33" s="9" t="s">
        <v>979</v>
      </c>
      <c r="H33" s="9" t="s">
        <v>210</v>
      </c>
      <c r="I33" s="9" t="str">
        <f aca="false">TRIM(A33) &amp; TRIM(F33) &amp; TRIM(H33)</f>
        <v>First ReviewBooking Ads Pre ApprovalPK</v>
      </c>
      <c r="J33" s="9" t="n">
        <f aca="false">IFERROR(VLOOKUP(I33,'WFM Q4 Target'!J:K,2,0),"-")</f>
        <v>380.484</v>
      </c>
      <c r="K33" s="9" t="n">
        <v>844.0488</v>
      </c>
      <c r="L33" s="9" t="n">
        <v>15.3407</v>
      </c>
      <c r="M33" s="9" t="str">
        <f aca="false">IFERROR(IF(K33&gt;J33,"Not Meet Target","Meet Target"),"-")</f>
        <v>Not Meet Target</v>
      </c>
      <c r="N33" s="9" t="str">
        <f aca="false">IFERROR(VLOOKUP(D33,'Team Member List'!B:C,2,0),"")</f>
        <v>TL Lindgren</v>
      </c>
      <c r="O33" s="9" t="s">
        <v>2408</v>
      </c>
    </row>
    <row r="34" customFormat="false" ht="15" hidden="false" customHeight="false" outlineLevel="0" collapsed="false">
      <c r="A34" s="9" t="s">
        <v>63</v>
      </c>
      <c r="B34" s="10"/>
      <c r="C34" s="9"/>
      <c r="D34" s="9" t="s">
        <v>2350</v>
      </c>
      <c r="E34" s="9" t="s">
        <v>1432</v>
      </c>
      <c r="F34" s="9" t="s">
        <v>1440</v>
      </c>
      <c r="G34" s="9" t="s">
        <v>1440</v>
      </c>
      <c r="H34" s="9" t="s">
        <v>95</v>
      </c>
      <c r="I34" s="9" t="str">
        <f aca="false">TRIM(A34) &amp; TRIM(F34) &amp; TRIM(H34)</f>
        <v>First ReviewHTC Adv CampaignVN</v>
      </c>
      <c r="J34" s="9" t="n">
        <f aca="false">IFERROR(VLOOKUP(I34,'WFM Q4 Target'!J:K,2,0),"-")</f>
        <v>1077.744</v>
      </c>
      <c r="K34" s="9" t="n">
        <v>176.78</v>
      </c>
      <c r="L34" s="9" t="n">
        <v>0</v>
      </c>
      <c r="M34" s="9" t="str">
        <f aca="false">IFERROR(IF(K34&gt;J34,"Not Meet Target","Meet Target"),"-")</f>
        <v>Meet Target</v>
      </c>
      <c r="N34" s="9" t="str">
        <f aca="false">IFERROR(VLOOKUP(D34,'Team Member List'!B:C,2,0),"")</f>
        <v>TL Lindgren</v>
      </c>
      <c r="O34" s="9" t="s">
        <v>2408</v>
      </c>
    </row>
    <row r="35" customFormat="false" ht="15" hidden="false" customHeight="false" outlineLevel="0" collapsed="false">
      <c r="A35" s="9" t="s">
        <v>63</v>
      </c>
      <c r="B35" s="10"/>
      <c r="C35" s="9" t="s">
        <v>2357</v>
      </c>
      <c r="D35" s="9" t="s">
        <v>2357</v>
      </c>
      <c r="E35" s="9" t="s">
        <v>973</v>
      </c>
      <c r="F35" s="9" t="s">
        <v>974</v>
      </c>
      <c r="G35" s="9" t="s">
        <v>974</v>
      </c>
      <c r="H35" s="9" t="s">
        <v>100</v>
      </c>
      <c r="I35" s="9" t="str">
        <f aca="false">TRIM(A35) &amp; TRIM(F35) &amp; TRIM(H35)</f>
        <v>First ReviewHighlight ViewAU</v>
      </c>
      <c r="J35" s="9" t="n">
        <f aca="false">IFERROR(VLOOKUP(I35,'WFM Q4 Target'!J:K,2,0),"-")</f>
        <v>172.554</v>
      </c>
      <c r="K35" s="9" t="n">
        <v>689.8819</v>
      </c>
      <c r="L35" s="9" t="n">
        <v>0</v>
      </c>
      <c r="M35" s="9" t="str">
        <f aca="false">IFERROR(IF(K35&gt;J35,"Not Meet Target","Meet Target"),"-")</f>
        <v>Not Meet Target</v>
      </c>
      <c r="N35" s="9" t="str">
        <f aca="false">IFERROR(VLOOKUP(D35,'Team Member List'!B:C,2,0),"")</f>
        <v>TL Lindgren</v>
      </c>
      <c r="O35" s="9" t="s">
        <v>2408</v>
      </c>
    </row>
    <row r="36" customFormat="false" ht="15" hidden="false" customHeight="false" outlineLevel="0" collapsed="false">
      <c r="A36" s="9" t="s">
        <v>63</v>
      </c>
      <c r="B36" s="10"/>
      <c r="C36" s="9"/>
      <c r="D36" s="9" t="s">
        <v>2357</v>
      </c>
      <c r="E36" s="9"/>
      <c r="F36" s="9" t="s">
        <v>974</v>
      </c>
      <c r="G36" s="9"/>
      <c r="H36" s="9" t="s">
        <v>255</v>
      </c>
      <c r="I36" s="9" t="str">
        <f aca="false">TRIM(A36) &amp; TRIM(F36) &amp; TRIM(H36)</f>
        <v>First ReviewHighlight ViewNZ</v>
      </c>
      <c r="J36" s="9" t="n">
        <f aca="false">IFERROR(VLOOKUP(I36,'WFM Q4 Target'!J:K,2,0),"-")</f>
        <v>212.076</v>
      </c>
      <c r="K36" s="9" t="n">
        <v>346.67</v>
      </c>
      <c r="L36" s="9" t="n">
        <v>0</v>
      </c>
      <c r="M36" s="9" t="str">
        <f aca="false">IFERROR(IF(K36&gt;J36,"Not Meet Target","Meet Target"),"-")</f>
        <v>Not Meet Target</v>
      </c>
      <c r="N36" s="9" t="str">
        <f aca="false">IFERROR(VLOOKUP(D36,'Team Member List'!B:C,2,0),"")</f>
        <v>TL Lindgren</v>
      </c>
      <c r="O36" s="9" t="s">
        <v>2408</v>
      </c>
    </row>
    <row r="37" customFormat="false" ht="15" hidden="false" customHeight="false" outlineLevel="0" collapsed="false">
      <c r="A37" s="9" t="s">
        <v>63</v>
      </c>
      <c r="B37" s="10"/>
      <c r="C37" s="9"/>
      <c r="D37" s="9" t="s">
        <v>2357</v>
      </c>
      <c r="E37" s="9" t="s">
        <v>1432</v>
      </c>
      <c r="F37" s="9" t="s">
        <v>1498</v>
      </c>
      <c r="G37" s="9" t="s">
        <v>1498</v>
      </c>
      <c r="H37" s="9" t="s">
        <v>111</v>
      </c>
      <c r="I37" s="9" t="str">
        <f aca="false">TRIM(A37) &amp; TRIM(F37) &amp; TRIM(H37)</f>
        <v>First ReviewBE Adv CampaignUS</v>
      </c>
      <c r="J37" s="9" t="str">
        <f aca="false">IFERROR(VLOOKUP(I37,'WFM Q4 Target'!J:K,2,0),"-")</f>
        <v>-</v>
      </c>
      <c r="K37" s="9" t="n">
        <v>138.0322</v>
      </c>
      <c r="L37" s="9" t="n">
        <v>0</v>
      </c>
      <c r="M37" s="9" t="str">
        <f aca="false">IFERROR(IF(K37&gt;J37,"Not Meet Target","Meet Target"),"-")</f>
        <v>Meet Target</v>
      </c>
      <c r="N37" s="9" t="str">
        <f aca="false">IFERROR(VLOOKUP(D37,'Team Member List'!B:C,2,0),"")</f>
        <v>TL Lindgren</v>
      </c>
      <c r="O37" s="9" t="s">
        <v>2408</v>
      </c>
    </row>
    <row r="38" customFormat="false" ht="15" hidden="false" customHeight="false" outlineLevel="0" collapsed="false">
      <c r="A38" s="9" t="s">
        <v>63</v>
      </c>
      <c r="B38" s="10"/>
      <c r="C38" s="9" t="s">
        <v>2327</v>
      </c>
      <c r="D38" s="9" t="s">
        <v>2327</v>
      </c>
      <c r="E38" s="9" t="s">
        <v>973</v>
      </c>
      <c r="F38" s="9" t="s">
        <v>974</v>
      </c>
      <c r="G38" s="9" t="s">
        <v>974</v>
      </c>
      <c r="H38" s="9" t="s">
        <v>267</v>
      </c>
      <c r="I38" s="9" t="str">
        <f aca="false">TRIM(A38) &amp; TRIM(F38) &amp; TRIM(H38)</f>
        <v>First ReviewHighlight ViewID</v>
      </c>
      <c r="J38" s="9" t="n">
        <f aca="false">IFERROR(VLOOKUP(I38,'WFM Q4 Target'!J:K,2,0),"-")</f>
        <v>590.502</v>
      </c>
      <c r="K38" s="9" t="n">
        <v>435.7582</v>
      </c>
      <c r="L38" s="9" t="n">
        <v>0</v>
      </c>
      <c r="M38" s="9" t="str">
        <f aca="false">IFERROR(IF(K38&gt;J38,"Not Meet Target","Meet Target"),"-")</f>
        <v>Meet Target</v>
      </c>
      <c r="N38" s="9" t="str">
        <f aca="false">IFERROR(VLOOKUP(D38,'Team Member List'!B:C,2,0),"")</f>
        <v>TL Ramirez</v>
      </c>
      <c r="O38" s="9" t="s">
        <v>2408</v>
      </c>
    </row>
    <row r="39" customFormat="false" ht="15" hidden="false" customHeight="false" outlineLevel="0" collapsed="false">
      <c r="A39" s="9" t="s">
        <v>66</v>
      </c>
      <c r="B39" s="10"/>
      <c r="C39" s="9" t="s">
        <v>2359</v>
      </c>
      <c r="D39" s="9" t="s">
        <v>2359</v>
      </c>
      <c r="E39" s="9" t="s">
        <v>1828</v>
      </c>
      <c r="F39" s="9" t="s">
        <v>1829</v>
      </c>
      <c r="G39" s="9" t="s">
        <v>1829</v>
      </c>
      <c r="H39" s="9" t="s">
        <v>235</v>
      </c>
      <c r="I39" s="9" t="str">
        <f aca="false">TRIM(A39) &amp; TRIM(F39) &amp; TRIM(H39)</f>
        <v>Posted RecallDynamic Catalog WholeProdJP</v>
      </c>
      <c r="J39" s="9" t="str">
        <f aca="false">IFERROR(VLOOKUP(I39,'WFM Q4 Target'!J:K,2,0),"-")</f>
        <v>-</v>
      </c>
      <c r="K39" s="9" t="n">
        <v>183.0879</v>
      </c>
      <c r="L39" s="9" t="n">
        <v>0</v>
      </c>
      <c r="M39" s="9" t="str">
        <f aca="false">IFERROR(IF(K39&gt;J39,"Not Meet Target","Meet Target"),"-")</f>
        <v>Meet Target</v>
      </c>
      <c r="N39" s="9" t="str">
        <f aca="false">IFERROR(VLOOKUP(D39,'Team Member List'!B:C,2,0),"")</f>
        <v>TL Okafor</v>
      </c>
      <c r="O39" s="9" t="s">
        <v>2408</v>
      </c>
    </row>
    <row r="40" customFormat="false" ht="15" hidden="false" customHeight="false" outlineLevel="0" collapsed="false">
      <c r="A40" s="9" t="s">
        <v>66</v>
      </c>
      <c r="B40" s="10"/>
      <c r="C40" s="9" t="s">
        <v>2357</v>
      </c>
      <c r="D40" s="9" t="s">
        <v>2357</v>
      </c>
      <c r="E40" s="9" t="s">
        <v>56</v>
      </c>
      <c r="F40" s="9" t="s">
        <v>57</v>
      </c>
      <c r="G40" s="9" t="s">
        <v>57</v>
      </c>
      <c r="H40" s="9" t="s">
        <v>255</v>
      </c>
      <c r="I40" s="9" t="str">
        <f aca="false">TRIM(A40) &amp; TRIM(F40) &amp; TRIM(H40)</f>
        <v>Posted RecallBid Ad GroupNZ</v>
      </c>
      <c r="J40" s="9" t="n">
        <f aca="false">IFERROR(VLOOKUP(I40,'WFM Q4 Target'!J:K,2,0),"-")</f>
        <v>107.808</v>
      </c>
      <c r="K40" s="9" t="n">
        <v>377.2427</v>
      </c>
      <c r="L40" s="9" t="n">
        <v>21.692</v>
      </c>
      <c r="M40" s="9" t="str">
        <f aca="false">IFERROR(IF(K40&gt;J40,"Not Meet Target","Meet Target"),"-")</f>
        <v>Not Meet Target</v>
      </c>
      <c r="N40" s="9" t="str">
        <f aca="false">IFERROR(VLOOKUP(D40,'Team Member List'!B:C,2,0),"")</f>
        <v>TL Lindgren</v>
      </c>
      <c r="O40" s="9" t="s">
        <v>2408</v>
      </c>
    </row>
    <row r="41" customFormat="false" ht="15" hidden="false" customHeight="false" outlineLevel="0" collapsed="false">
      <c r="A41" s="9" t="s">
        <v>66</v>
      </c>
      <c r="B41" s="10"/>
      <c r="C41" s="9" t="s">
        <v>2385</v>
      </c>
      <c r="D41" s="9" t="s">
        <v>2385</v>
      </c>
      <c r="E41" s="9" t="s">
        <v>2009</v>
      </c>
      <c r="F41" s="9" t="s">
        <v>2012</v>
      </c>
      <c r="G41" s="9" t="s">
        <v>2012</v>
      </c>
      <c r="H41" s="9" t="s">
        <v>267</v>
      </c>
      <c r="I41" s="9" t="str">
        <f aca="false">TRIM(A41) &amp; TRIM(F41) &amp; TRIM(H41)</f>
        <v>Posted RecallTrial Install Android AppID</v>
      </c>
      <c r="J41" s="9" t="n">
        <f aca="false">IFERROR(VLOOKUP(I41,'WFM Q4 Target'!J:K,2,0),"-")</f>
        <v>532.764</v>
      </c>
      <c r="K41" s="9" t="n">
        <v>570.3282</v>
      </c>
      <c r="L41" s="9" t="n">
        <v>957.0496</v>
      </c>
      <c r="M41" s="9" t="str">
        <f aca="false">IFERROR(IF(K41&gt;J41,"Not Meet Target","Meet Target"),"-")</f>
        <v>Not Meet Target</v>
      </c>
      <c r="N41" s="9" t="str">
        <f aca="false">IFERROR(VLOOKUP(D41,'Team Member List'!B:C,2,0),"")</f>
        <v>TL Cabrera</v>
      </c>
      <c r="O41" s="9" t="s">
        <v>2408</v>
      </c>
    </row>
    <row r="42" customFormat="false" ht="15" hidden="false" customHeight="false" outlineLevel="0" collapsed="false">
      <c r="A42" s="9" t="s">
        <v>66</v>
      </c>
      <c r="B42" s="10"/>
      <c r="C42" s="9"/>
      <c r="D42" s="9" t="s">
        <v>2385</v>
      </c>
      <c r="E42" s="9"/>
      <c r="F42" s="9" t="s">
        <v>2012</v>
      </c>
      <c r="G42" s="9"/>
      <c r="H42" s="9" t="s">
        <v>95</v>
      </c>
      <c r="I42" s="9" t="str">
        <f aca="false">TRIM(A42) &amp; TRIM(F42) &amp; TRIM(H42)</f>
        <v>Posted RecallTrial Install Android AppVN</v>
      </c>
      <c r="J42" s="9" t="n">
        <f aca="false">IFERROR(VLOOKUP(I42,'WFM Q4 Target'!J:K,2,0),"-")</f>
        <v>711.03</v>
      </c>
      <c r="K42" s="9" t="n">
        <v>280.3642</v>
      </c>
      <c r="L42" s="9" t="n">
        <v>204.3636</v>
      </c>
      <c r="M42" s="9" t="str">
        <f aca="false">IFERROR(IF(K42&gt;J42,"Not Meet Target","Meet Target"),"-")</f>
        <v>Meet Target</v>
      </c>
      <c r="N42" s="9" t="str">
        <f aca="false">IFERROR(VLOOKUP(D42,'Team Member List'!B:C,2,0),"")</f>
        <v>TL Cabrera</v>
      </c>
      <c r="O42" s="9" t="s">
        <v>2408</v>
      </c>
    </row>
    <row r="43" customFormat="false" ht="15" hidden="false" customHeight="false" outlineLevel="0" collapsed="false">
      <c r="A43" s="9" t="s">
        <v>66</v>
      </c>
      <c r="B43" s="10"/>
      <c r="C43" s="9" t="s">
        <v>2388</v>
      </c>
      <c r="D43" s="9" t="s">
        <v>2388</v>
      </c>
      <c r="E43" s="9" t="s">
        <v>2009</v>
      </c>
      <c r="F43" s="9" t="s">
        <v>2012</v>
      </c>
      <c r="G43" s="9" t="s">
        <v>2012</v>
      </c>
      <c r="H43" s="9" t="s">
        <v>267</v>
      </c>
      <c r="I43" s="9" t="str">
        <f aca="false">TRIM(A43) &amp; TRIM(F43) &amp; TRIM(H43)</f>
        <v>Posted RecallTrial Install Android AppID</v>
      </c>
      <c r="J43" s="9" t="n">
        <f aca="false">IFERROR(VLOOKUP(I43,'WFM Q4 Target'!J:K,2,0),"-")</f>
        <v>532.764</v>
      </c>
      <c r="K43" s="9" t="n">
        <v>225.131</v>
      </c>
      <c r="L43" s="9" t="n">
        <v>326.4269</v>
      </c>
      <c r="M43" s="9" t="str">
        <f aca="false">IFERROR(IF(K43&gt;J43,"Not Meet Target","Meet Target"),"-")</f>
        <v>Meet Target</v>
      </c>
      <c r="N43" s="9" t="str">
        <f aca="false">IFERROR(VLOOKUP(D43,'Team Member List'!B:C,2,0),"")</f>
        <v>TL Cabrera</v>
      </c>
      <c r="O43" s="9" t="s">
        <v>2408</v>
      </c>
    </row>
    <row r="44" customFormat="false" ht="15" hidden="false" customHeight="false" outlineLevel="0" collapsed="false">
      <c r="A44" s="9" t="s">
        <v>66</v>
      </c>
      <c r="B44" s="10"/>
      <c r="C44" s="9"/>
      <c r="D44" s="9" t="s">
        <v>2388</v>
      </c>
      <c r="E44" s="9"/>
      <c r="F44" s="9" t="s">
        <v>2012</v>
      </c>
      <c r="G44" s="9"/>
      <c r="H44" s="9" t="s">
        <v>95</v>
      </c>
      <c r="I44" s="9" t="str">
        <f aca="false">TRIM(A44) &amp; TRIM(F44) &amp; TRIM(H44)</f>
        <v>Posted RecallTrial Install Android AppVN</v>
      </c>
      <c r="J44" s="9" t="n">
        <f aca="false">IFERROR(VLOOKUP(I44,'WFM Q4 Target'!J:K,2,0),"-")</f>
        <v>711.03</v>
      </c>
      <c r="K44" s="9" t="n">
        <v>264.6898</v>
      </c>
      <c r="L44" s="9" t="n">
        <v>129.3907</v>
      </c>
      <c r="M44" s="9" t="str">
        <f aca="false">IFERROR(IF(K44&gt;J44,"Not Meet Target","Meet Target"),"-")</f>
        <v>Meet Target</v>
      </c>
      <c r="N44" s="9" t="str">
        <f aca="false">IFERROR(VLOOKUP(D44,'Team Member List'!B:C,2,0),"")</f>
        <v>TL Cabrera</v>
      </c>
      <c r="O44" s="9" t="s">
        <v>2408</v>
      </c>
    </row>
    <row r="45" customFormat="false" ht="15" hidden="false" customHeight="false" outlineLevel="0" collapsed="false">
      <c r="A45" s="9" t="s">
        <v>66</v>
      </c>
      <c r="B45" s="10"/>
      <c r="C45" s="9"/>
      <c r="D45" s="9" t="s">
        <v>2388</v>
      </c>
      <c r="E45" s="9"/>
      <c r="F45" s="9" t="s">
        <v>2010</v>
      </c>
      <c r="G45" s="9" t="s">
        <v>2010</v>
      </c>
      <c r="H45" s="9" t="s">
        <v>95</v>
      </c>
      <c r="I45" s="9" t="str">
        <f aca="false">TRIM(A45) &amp; TRIM(F45) &amp; TRIM(H45)</f>
        <v>Posted RecallTrial Install IOS AppVN</v>
      </c>
      <c r="J45" s="9" t="str">
        <f aca="false">IFERROR(VLOOKUP(I45,'WFM Q4 Target'!J:K,2,0),"-")</f>
        <v>-</v>
      </c>
      <c r="K45" s="9" t="n">
        <v>252.5985</v>
      </c>
      <c r="L45" s="9" t="n">
        <v>145.794</v>
      </c>
      <c r="M45" s="9" t="str">
        <f aca="false">IFERROR(IF(K45&gt;J45,"Not Meet Target","Meet Target"),"-")</f>
        <v>Meet Target</v>
      </c>
      <c r="N45" s="9" t="str">
        <f aca="false">IFERROR(VLOOKUP(D45,'Team Member List'!B:C,2,0),"")</f>
        <v>TL Cabrera</v>
      </c>
      <c r="O45" s="9" t="s">
        <v>2408</v>
      </c>
    </row>
    <row r="46" customFormat="false" ht="15" hidden="false" customHeight="false" outlineLevel="0" collapsed="false">
      <c r="A46" s="9" t="s">
        <v>66</v>
      </c>
      <c r="B46" s="10"/>
      <c r="C46" s="9" t="s">
        <v>2361</v>
      </c>
      <c r="D46" s="9" t="s">
        <v>2361</v>
      </c>
      <c r="E46" s="9" t="s">
        <v>1136</v>
      </c>
      <c r="F46" s="9" t="s">
        <v>1137</v>
      </c>
      <c r="G46" s="9" t="s">
        <v>1137</v>
      </c>
      <c r="H46" s="9" t="s">
        <v>235</v>
      </c>
      <c r="I46" s="9" t="str">
        <f aca="false">TRIM(A46) &amp; TRIM(F46) &amp; TRIM(H46)</f>
        <v>Posted RecallBA Ecomm Community VideoJP</v>
      </c>
      <c r="J46" s="9" t="str">
        <f aca="false">IFERROR(VLOOKUP(I46,'WFM Q4 Target'!J:K,2,0),"-")</f>
        <v>-</v>
      </c>
      <c r="K46" s="9" t="n">
        <v>152.7624</v>
      </c>
      <c r="L46" s="9" t="n">
        <v>44.339</v>
      </c>
      <c r="M46" s="9" t="str">
        <f aca="false">IFERROR(IF(K46&gt;J46,"Not Meet Target","Meet Target"),"-")</f>
        <v>Meet Target</v>
      </c>
      <c r="N46" s="9" t="str">
        <f aca="false">IFERROR(VLOOKUP(D46,'Team Member List'!B:C,2,0),"")</f>
        <v>TL Okafor</v>
      </c>
      <c r="O46" s="9" t="s">
        <v>2408</v>
      </c>
    </row>
    <row r="47" customFormat="false" ht="15" hidden="false" customHeight="false" outlineLevel="0" collapsed="false">
      <c r="A47" s="9" t="s">
        <v>66</v>
      </c>
      <c r="B47" s="10"/>
      <c r="C47" s="9" t="s">
        <v>2334</v>
      </c>
      <c r="D47" s="9" t="s">
        <v>2334</v>
      </c>
      <c r="E47" s="9" t="s">
        <v>56</v>
      </c>
      <c r="F47" s="9" t="s">
        <v>57</v>
      </c>
      <c r="G47" s="9" t="s">
        <v>57</v>
      </c>
      <c r="H47" s="9" t="s">
        <v>267</v>
      </c>
      <c r="I47" s="9" t="str">
        <f aca="false">TRIM(A47) &amp; TRIM(F47) &amp; TRIM(H47)</f>
        <v>Posted RecallBid Ad GroupID</v>
      </c>
      <c r="J47" s="9" t="n">
        <f aca="false">IFERROR(VLOOKUP(I47,'WFM Q4 Target'!J:K,2,0),"-")</f>
        <v>152.274</v>
      </c>
      <c r="K47" s="9" t="n">
        <v>148.1914</v>
      </c>
      <c r="L47" s="9" t="n">
        <v>10.9991</v>
      </c>
      <c r="M47" s="9" t="str">
        <f aca="false">IFERROR(IF(K47&gt;J47,"Not Meet Target","Meet Target"),"-")</f>
        <v>Meet Target</v>
      </c>
      <c r="N47" s="9" t="str">
        <f aca="false">IFERROR(VLOOKUP(D47,'Team Member List'!B:C,2,0),"")</f>
        <v>TL Ramirez</v>
      </c>
      <c r="O47" s="9" t="s">
        <v>2408</v>
      </c>
    </row>
  </sheetData>
  <mergeCells count="16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N3:N4"/>
    <mergeCell ref="O3:O4"/>
  </mergeCells>
  <conditionalFormatting sqref="M5:M47">
    <cfRule type="containsText" priority="2" operator="containsText" aboveAverage="0" equalAverage="0" bottom="0" percent="0" rank="0" text="Not Meet Target" dxfId="0">
      <formula>NOT(ISERROR(SEARCH("Not Meet Target",M5)))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2398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2399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8" t="s">
        <v>8</v>
      </c>
      <c r="B3" s="8" t="s">
        <v>8</v>
      </c>
      <c r="C3" s="8" t="s">
        <v>2400</v>
      </c>
      <c r="D3" s="8" t="s">
        <v>2401</v>
      </c>
      <c r="E3" s="8" t="s">
        <v>5</v>
      </c>
      <c r="F3" s="8" t="s">
        <v>6</v>
      </c>
      <c r="G3" s="8" t="s">
        <v>6</v>
      </c>
      <c r="H3" s="8" t="s">
        <v>7</v>
      </c>
      <c r="I3" s="8" t="s">
        <v>13</v>
      </c>
      <c r="J3" s="8" t="s">
        <v>2402</v>
      </c>
      <c r="K3" s="8" t="s">
        <v>2416</v>
      </c>
      <c r="L3" s="8"/>
      <c r="M3" s="8" t="s">
        <v>2404</v>
      </c>
      <c r="N3" s="8" t="s">
        <v>2321</v>
      </c>
      <c r="O3" s="8" t="s">
        <v>2405</v>
      </c>
    </row>
    <row r="4" customFormat="false" ht="23.8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5" t="s">
        <v>2406</v>
      </c>
      <c r="L4" s="3" t="s">
        <v>2407</v>
      </c>
      <c r="M4" s="8"/>
      <c r="N4" s="8"/>
      <c r="O4" s="8"/>
    </row>
    <row r="5" customFormat="false" ht="15" hidden="false" customHeight="false" outlineLevel="0" collapsed="false">
      <c r="A5" s="9" t="s">
        <v>63</v>
      </c>
      <c r="B5" s="10"/>
      <c r="C5" s="9" t="s">
        <v>2334</v>
      </c>
      <c r="D5" s="9" t="s">
        <v>2334</v>
      </c>
      <c r="E5" s="9" t="s">
        <v>973</v>
      </c>
      <c r="F5" s="9" t="s">
        <v>979</v>
      </c>
      <c r="G5" s="9" t="s">
        <v>979</v>
      </c>
      <c r="H5" s="9" t="s">
        <v>267</v>
      </c>
      <c r="I5" s="9" t="str">
        <f aca="false">TRIM(A5) &amp; TRIM(F5) &amp; TRIM(H5)</f>
        <v>First ReviewBooking Ads Pre ApprovalID</v>
      </c>
      <c r="J5" s="9" t="n">
        <f aca="false">IFERROR(VLOOKUP(I5,'WFM Q4 Target'!J:K,2,0),"-")</f>
        <v>271.992</v>
      </c>
      <c r="K5" s="9" t="n">
        <v>228.7679</v>
      </c>
      <c r="L5" s="9" t="n">
        <v>0</v>
      </c>
      <c r="M5" s="9" t="str">
        <f aca="false">IFERROR(IF(K5&gt;J5,"Not Meet Target","Meet Target"),"-")</f>
        <v>Meet Target</v>
      </c>
      <c r="N5" s="9" t="str">
        <f aca="false">IFERROR(VLOOKUP(D5,'Team Member List'!B:C,2,0),"")</f>
        <v>TL Ramirez</v>
      </c>
      <c r="O5" s="9" t="s">
        <v>2408</v>
      </c>
    </row>
    <row r="6" customFormat="false" ht="15" hidden="false" customHeight="false" outlineLevel="0" collapsed="false">
      <c r="A6" s="9" t="s">
        <v>63</v>
      </c>
      <c r="B6" s="10"/>
      <c r="C6" s="9"/>
      <c r="D6" s="9" t="s">
        <v>2334</v>
      </c>
      <c r="E6" s="9" t="s">
        <v>1526</v>
      </c>
      <c r="F6" s="9" t="s">
        <v>1535</v>
      </c>
      <c r="G6" s="9" t="s">
        <v>1535</v>
      </c>
      <c r="H6" s="9" t="s">
        <v>267</v>
      </c>
      <c r="I6" s="9" t="str">
        <f aca="false">TRIM(A6) &amp; TRIM(F6) &amp; TRIM(H6)</f>
        <v>First ReviewBoost VideoID</v>
      </c>
      <c r="J6" s="9" t="n">
        <f aca="false">IFERROR(VLOOKUP(I6,'WFM Q4 Target'!J:K,2,0),"-")</f>
        <v>66.102</v>
      </c>
      <c r="K6" s="9" t="n">
        <v>208.1143</v>
      </c>
      <c r="L6" s="9" t="n">
        <v>260.2034</v>
      </c>
      <c r="M6" s="9" t="str">
        <f aca="false">IFERROR(IF(K6&gt;J6,"Not Meet Target","Meet Target"),"-")</f>
        <v>Not Meet Target</v>
      </c>
      <c r="N6" s="9" t="str">
        <f aca="false">IFERROR(VLOOKUP(D6,'Team Member List'!B:C,2,0),"")</f>
        <v>TL Ramirez</v>
      </c>
      <c r="O6" s="9" t="s">
        <v>2408</v>
      </c>
    </row>
    <row r="7" customFormat="false" ht="15" hidden="false" customHeight="false" outlineLevel="0" collapsed="false">
      <c r="A7" s="9" t="s">
        <v>63</v>
      </c>
      <c r="B7" s="10"/>
      <c r="C7" s="9" t="s">
        <v>2332</v>
      </c>
      <c r="D7" s="9" t="s">
        <v>2332</v>
      </c>
      <c r="E7" s="9" t="s">
        <v>973</v>
      </c>
      <c r="F7" s="9" t="s">
        <v>979</v>
      </c>
      <c r="G7" s="9" t="s">
        <v>979</v>
      </c>
      <c r="H7" s="9" t="s">
        <v>267</v>
      </c>
      <c r="I7" s="9" t="str">
        <f aca="false">TRIM(A7) &amp; TRIM(F7) &amp; TRIM(H7)</f>
        <v>First ReviewBooking Ads Pre ApprovalID</v>
      </c>
      <c r="J7" s="9" t="n">
        <f aca="false">IFERROR(VLOOKUP(I7,'WFM Q4 Target'!J:K,2,0),"-")</f>
        <v>271.992</v>
      </c>
      <c r="K7" s="9" t="n">
        <v>153.1782</v>
      </c>
      <c r="L7" s="9" t="n">
        <v>0</v>
      </c>
      <c r="M7" s="9" t="str">
        <f aca="false">IFERROR(IF(K7&gt;J7,"Not Meet Target","Meet Target"),"-")</f>
        <v>Meet Target</v>
      </c>
      <c r="N7" s="9" t="str">
        <f aca="false">IFERROR(VLOOKUP(D7,'Team Member List'!B:C,2,0),"")</f>
        <v>TL Ramirez</v>
      </c>
      <c r="O7" s="9" t="s">
        <v>2408</v>
      </c>
    </row>
    <row r="8" customFormat="false" ht="15" hidden="false" customHeight="false" outlineLevel="0" collapsed="false">
      <c r="A8" s="9" t="s">
        <v>63</v>
      </c>
      <c r="B8" s="10"/>
      <c r="C8" s="9" t="s">
        <v>2367</v>
      </c>
      <c r="D8" s="9" t="s">
        <v>2367</v>
      </c>
      <c r="E8" s="9" t="s">
        <v>973</v>
      </c>
      <c r="F8" s="9" t="s">
        <v>974</v>
      </c>
      <c r="G8" s="9" t="s">
        <v>974</v>
      </c>
      <c r="H8" s="9" t="s">
        <v>157</v>
      </c>
      <c r="I8" s="9" t="str">
        <f aca="false">TRIM(A8) &amp; TRIM(F8) &amp; TRIM(H8)</f>
        <v>First ReviewHighlight ViewSA</v>
      </c>
      <c r="J8" s="9" t="n">
        <f aca="false">IFERROR(VLOOKUP(I8,'WFM Q4 Target'!J:K,2,0),"-")</f>
        <v>778.374</v>
      </c>
      <c r="K8" s="9" t="n">
        <v>2113.4108</v>
      </c>
      <c r="L8" s="9" t="n">
        <v>0</v>
      </c>
      <c r="M8" s="9" t="str">
        <f aca="false">IFERROR(IF(K8&gt;J8,"Not Meet Target","Meet Target"),"-")</f>
        <v>Not Meet Target</v>
      </c>
      <c r="N8" s="9" t="str">
        <f aca="false">IFERROR(VLOOKUP(D8,'Team Member List'!B:C,2,0),"")</f>
        <v>TL Okafor</v>
      </c>
      <c r="O8" s="9" t="s">
        <v>2408</v>
      </c>
    </row>
    <row r="9" customFormat="false" ht="15" hidden="false" customHeight="false" outlineLevel="0" collapsed="false">
      <c r="A9" s="9" t="s">
        <v>63</v>
      </c>
      <c r="B9" s="10"/>
      <c r="C9" s="9" t="s">
        <v>2340</v>
      </c>
      <c r="D9" s="9" t="s">
        <v>2340</v>
      </c>
      <c r="E9" s="9" t="s">
        <v>1346</v>
      </c>
      <c r="F9" s="9" t="s">
        <v>1347</v>
      </c>
      <c r="G9" s="9" t="s">
        <v>1347</v>
      </c>
      <c r="H9" s="9" t="s">
        <v>95</v>
      </c>
      <c r="I9" s="9" t="str">
        <f aca="false">TRIM(A9) &amp; TRIM(F9) &amp; TRIM(H9)</f>
        <v>First ReviewFX StudioVN</v>
      </c>
      <c r="J9" s="9" t="n">
        <f aca="false">IFERROR(VLOOKUP(I9,'WFM Q4 Target'!J:K,2,0),"-")</f>
        <v>239.448</v>
      </c>
      <c r="K9" s="9" t="n">
        <v>202.1197</v>
      </c>
      <c r="L9" s="9" t="n">
        <v>12.3431</v>
      </c>
      <c r="M9" s="9" t="str">
        <f aca="false">IFERROR(IF(K9&gt;J9,"Not Meet Target","Meet Target"),"-")</f>
        <v>Meet Target</v>
      </c>
      <c r="N9" s="9" t="str">
        <f aca="false">IFERROR(VLOOKUP(D9,'Team Member List'!B:C,2,0),"")</f>
        <v>TL Lindgren</v>
      </c>
      <c r="O9" s="9" t="s">
        <v>2408</v>
      </c>
    </row>
    <row r="10" customFormat="false" ht="15" hidden="false" customHeight="false" outlineLevel="0" collapsed="false">
      <c r="A10" s="9" t="s">
        <v>63</v>
      </c>
      <c r="B10" s="10"/>
      <c r="C10" s="9"/>
      <c r="D10" s="9" t="s">
        <v>2340</v>
      </c>
      <c r="E10" s="9" t="s">
        <v>1432</v>
      </c>
      <c r="F10" s="9" t="s">
        <v>1440</v>
      </c>
      <c r="G10" s="9" t="s">
        <v>1440</v>
      </c>
      <c r="H10" s="9" t="s">
        <v>126</v>
      </c>
      <c r="I10" s="9" t="str">
        <f aca="false">TRIM(A10) &amp; TRIM(F10) &amp; TRIM(H10)</f>
        <v>First ReviewHTC Adv CampaignMX</v>
      </c>
      <c r="J10" s="9" t="n">
        <f aca="false">IFERROR(VLOOKUP(I10,'WFM Q4 Target'!J:K,2,0),"-")</f>
        <v>77.28</v>
      </c>
      <c r="K10" s="9" t="n">
        <v>636.4199</v>
      </c>
      <c r="L10" s="9" t="n">
        <v>0</v>
      </c>
      <c r="M10" s="9" t="str">
        <f aca="false">IFERROR(IF(K10&gt;J10,"Not Meet Target","Meet Target"),"-")</f>
        <v>Not Meet Target</v>
      </c>
      <c r="N10" s="9" t="str">
        <f aca="false">IFERROR(VLOOKUP(D10,'Team Member List'!B:C,2,0),"")</f>
        <v>TL Lindgren</v>
      </c>
      <c r="O10" s="9" t="s">
        <v>2408</v>
      </c>
    </row>
    <row r="11" customFormat="false" ht="15" hidden="false" customHeight="false" outlineLevel="0" collapsed="false">
      <c r="A11" s="9" t="s">
        <v>63</v>
      </c>
      <c r="B11" s="10"/>
      <c r="C11" s="9"/>
      <c r="D11" s="9" t="s">
        <v>2340</v>
      </c>
      <c r="E11" s="9"/>
      <c r="F11" s="9" t="s">
        <v>1458</v>
      </c>
      <c r="G11" s="9" t="s">
        <v>1458</v>
      </c>
      <c r="H11" s="9" t="s">
        <v>126</v>
      </c>
      <c r="I11" s="9" t="str">
        <f aca="false">TRIM(A11) &amp; TRIM(F11) &amp; TRIM(H11)</f>
        <v>First ReviewHTC Adv VideoMX</v>
      </c>
      <c r="J11" s="9" t="n">
        <f aca="false">IFERROR(VLOOKUP(I11,'WFM Q4 Target'!J:K,2,0),"-")</f>
        <v>29.916</v>
      </c>
      <c r="K11" s="9" t="n">
        <v>252.5419</v>
      </c>
      <c r="L11" s="9" t="n">
        <v>34.39</v>
      </c>
      <c r="M11" s="9" t="str">
        <f aca="false">IFERROR(IF(K11&gt;J11,"Not Meet Target","Meet Target"),"-")</f>
        <v>Not Meet Target</v>
      </c>
      <c r="N11" s="9" t="str">
        <f aca="false">IFERROR(VLOOKUP(D11,'Team Member List'!B:C,2,0),"")</f>
        <v>TL Lindgren</v>
      </c>
      <c r="O11" s="9" t="s">
        <v>2408</v>
      </c>
    </row>
    <row r="12" customFormat="false" ht="15" hidden="false" customHeight="false" outlineLevel="0" collapsed="false">
      <c r="A12" s="9" t="s">
        <v>63</v>
      </c>
      <c r="B12" s="10"/>
      <c r="C12" s="9" t="s">
        <v>2323</v>
      </c>
      <c r="D12" s="9" t="s">
        <v>2323</v>
      </c>
      <c r="E12" s="9" t="s">
        <v>973</v>
      </c>
      <c r="F12" s="9" t="s">
        <v>2409</v>
      </c>
      <c r="G12" s="9" t="s">
        <v>2409</v>
      </c>
      <c r="H12" s="9" t="s">
        <v>267</v>
      </c>
      <c r="I12" s="9" t="str">
        <f aca="false">TRIM(A12) &amp; TRIM(F12) &amp; TRIM(H12)</f>
        <v>First ReviewESTID</v>
      </c>
      <c r="J12" s="9" t="str">
        <f aca="false">IFERROR(VLOOKUP(I12,'WFM Q4 Target'!J:K,2,0),"-")</f>
        <v>-</v>
      </c>
      <c r="K12" s="9" t="n">
        <v>254.2134</v>
      </c>
      <c r="L12" s="9" t="n">
        <v>0</v>
      </c>
      <c r="M12" s="9" t="str">
        <f aca="false">IFERROR(IF(K12&gt;J12,"Not Meet Target","Meet Target"),"-")</f>
        <v>Meet Target</v>
      </c>
      <c r="N12" s="9" t="str">
        <f aca="false">IFERROR(VLOOKUP(D12,'Team Member List'!B:C,2,0),"")</f>
        <v>TL Ramirez</v>
      </c>
      <c r="O12" s="9" t="s">
        <v>2408</v>
      </c>
    </row>
    <row r="13" customFormat="false" ht="15" hidden="false" customHeight="false" outlineLevel="0" collapsed="false">
      <c r="A13" s="9" t="s">
        <v>63</v>
      </c>
      <c r="B13" s="10"/>
      <c r="C13" s="9"/>
      <c r="D13" s="9" t="s">
        <v>2323</v>
      </c>
      <c r="E13" s="9"/>
      <c r="F13" s="9" t="s">
        <v>974</v>
      </c>
      <c r="G13" s="9" t="s">
        <v>974</v>
      </c>
      <c r="H13" s="9" t="s">
        <v>284</v>
      </c>
      <c r="I13" s="9" t="str">
        <f aca="false">TRIM(A13) &amp; TRIM(F13) &amp; TRIM(H13)</f>
        <v>First ReviewHighlight ViewTR</v>
      </c>
      <c r="J13" s="9" t="n">
        <f aca="false">IFERROR(VLOOKUP(I13,'WFM Q4 Target'!J:K,2,0),"-")</f>
        <v>408.006</v>
      </c>
      <c r="K13" s="9" t="n">
        <v>270.0737</v>
      </c>
      <c r="L13" s="9" t="n">
        <v>0</v>
      </c>
      <c r="M13" s="9" t="str">
        <f aca="false">IFERROR(IF(K13&gt;J13,"Not Meet Target","Meet Target"),"-")</f>
        <v>Meet Target</v>
      </c>
      <c r="N13" s="9" t="str">
        <f aca="false">IFERROR(VLOOKUP(D13,'Team Member List'!B:C,2,0),"")</f>
        <v>TL Ramirez</v>
      </c>
      <c r="O13" s="9" t="s">
        <v>2408</v>
      </c>
    </row>
    <row r="14" customFormat="false" ht="15" hidden="false" customHeight="false" outlineLevel="0" collapsed="false">
      <c r="A14" s="9" t="s">
        <v>63</v>
      </c>
      <c r="B14" s="10"/>
      <c r="C14" s="9" t="s">
        <v>2327</v>
      </c>
      <c r="D14" s="9" t="s">
        <v>2327</v>
      </c>
      <c r="E14" s="9" t="s">
        <v>973</v>
      </c>
      <c r="F14" s="9" t="s">
        <v>979</v>
      </c>
      <c r="G14" s="9" t="s">
        <v>979</v>
      </c>
      <c r="H14" s="9" t="s">
        <v>267</v>
      </c>
      <c r="I14" s="9" t="str">
        <f aca="false">TRIM(A14) &amp; TRIM(F14) &amp; TRIM(H14)</f>
        <v>First ReviewBooking Ads Pre ApprovalID</v>
      </c>
      <c r="J14" s="9" t="n">
        <f aca="false">IFERROR(VLOOKUP(I14,'WFM Q4 Target'!J:K,2,0),"-")</f>
        <v>271.992</v>
      </c>
      <c r="K14" s="9" t="n">
        <v>239.7043</v>
      </c>
      <c r="L14" s="9" t="n">
        <v>0</v>
      </c>
      <c r="M14" s="9" t="str">
        <f aca="false">IFERROR(IF(K14&gt;J14,"Not Meet Target","Meet Target"),"-")</f>
        <v>Meet Target</v>
      </c>
      <c r="N14" s="9" t="str">
        <f aca="false">IFERROR(VLOOKUP(D14,'Team Member List'!B:C,2,0),"")</f>
        <v>TL Ramirez</v>
      </c>
      <c r="O14" s="9" t="s">
        <v>2408</v>
      </c>
    </row>
    <row r="15" customFormat="false" ht="15" hidden="false" customHeight="false" outlineLevel="0" collapsed="false">
      <c r="A15" s="9" t="s">
        <v>63</v>
      </c>
      <c r="B15" s="10"/>
      <c r="C15" s="9" t="s">
        <v>2347</v>
      </c>
      <c r="D15" s="9" t="s">
        <v>2347</v>
      </c>
      <c r="E15" s="9" t="s">
        <v>973</v>
      </c>
      <c r="F15" s="9" t="s">
        <v>2409</v>
      </c>
      <c r="G15" s="9" t="s">
        <v>2409</v>
      </c>
      <c r="H15" s="9" t="s">
        <v>95</v>
      </c>
      <c r="I15" s="9" t="str">
        <f aca="false">TRIM(A15) &amp; TRIM(F15) &amp; TRIM(H15)</f>
        <v>First ReviewESTVN</v>
      </c>
      <c r="J15" s="9" t="str">
        <f aca="false">IFERROR(VLOOKUP(I15,'WFM Q4 Target'!J:K,2,0),"-")</f>
        <v>-</v>
      </c>
      <c r="K15" s="9" t="n">
        <v>225.6819</v>
      </c>
      <c r="L15" s="9" t="n">
        <v>0</v>
      </c>
      <c r="M15" s="9" t="str">
        <f aca="false">IFERROR(IF(K15&gt;J15,"Not Meet Target","Meet Target"),"-")</f>
        <v>Meet Target</v>
      </c>
      <c r="N15" s="9" t="str">
        <f aca="false">IFERROR(VLOOKUP(D15,'Team Member List'!B:C,2,0),"")</f>
        <v>TL Lindgren</v>
      </c>
      <c r="O15" s="9" t="s">
        <v>2408</v>
      </c>
    </row>
    <row r="16" customFormat="false" ht="15" hidden="false" customHeight="false" outlineLevel="0" collapsed="false">
      <c r="A16" s="9" t="s">
        <v>63</v>
      </c>
      <c r="B16" s="10"/>
      <c r="C16" s="9" t="s">
        <v>2343</v>
      </c>
      <c r="D16" s="9" t="s">
        <v>2343</v>
      </c>
      <c r="E16" s="9" t="s">
        <v>1432</v>
      </c>
      <c r="F16" s="9" t="s">
        <v>1438</v>
      </c>
      <c r="G16" s="9" t="s">
        <v>1438</v>
      </c>
      <c r="H16" s="9" t="s">
        <v>95</v>
      </c>
      <c r="I16" s="9" t="str">
        <f aca="false">TRIM(A16) &amp; TRIM(F16) &amp; TRIM(H16)</f>
        <v>First ReviewQuest Adv VideoVN</v>
      </c>
      <c r="J16" s="9" t="n">
        <f aca="false">IFERROR(VLOOKUP(I16,'WFM Q4 Target'!J:K,2,0),"-")</f>
        <v>737.892</v>
      </c>
      <c r="K16" s="9" t="n">
        <v>284.9143</v>
      </c>
      <c r="L16" s="9" t="n">
        <v>47.5761</v>
      </c>
      <c r="M16" s="9" t="str">
        <f aca="false">IFERROR(IF(K16&gt;J16,"Not Meet Target","Meet Target"),"-")</f>
        <v>Meet Target</v>
      </c>
      <c r="N16" s="9" t="str">
        <f aca="false">IFERROR(VLOOKUP(D16,'Team Member List'!B:C,2,0),"")</f>
        <v>TL Lindgren</v>
      </c>
      <c r="O16" s="9" t="s">
        <v>2408</v>
      </c>
    </row>
    <row r="17" customFormat="false" ht="15" hidden="false" customHeight="false" outlineLevel="0" collapsed="false">
      <c r="A17" s="9" t="s">
        <v>63</v>
      </c>
      <c r="B17" s="10"/>
      <c r="C17" s="9" t="s">
        <v>2371</v>
      </c>
      <c r="D17" s="9" t="s">
        <v>2371</v>
      </c>
      <c r="E17" s="9" t="s">
        <v>973</v>
      </c>
      <c r="F17" s="9" t="s">
        <v>979</v>
      </c>
      <c r="G17" s="9" t="s">
        <v>979</v>
      </c>
      <c r="H17" s="9" t="s">
        <v>458</v>
      </c>
      <c r="I17" s="9" t="str">
        <f aca="false">TRIM(A17) &amp; TRIM(F17) &amp; TRIM(H17)</f>
        <v>First ReviewBooking Ads Pre ApprovalTW</v>
      </c>
      <c r="J17" s="9" t="n">
        <f aca="false">IFERROR(VLOOKUP(I17,'WFM Q4 Target'!J:K,2,0),"-")</f>
        <v>256.044</v>
      </c>
      <c r="K17" s="9" t="n">
        <v>209.4783</v>
      </c>
      <c r="L17" s="9" t="n">
        <v>20.0669</v>
      </c>
      <c r="M17" s="9" t="str">
        <f aca="false">IFERROR(IF(K17&gt;J17,"Not Meet Target","Meet Target"),"-")</f>
        <v>Meet Target</v>
      </c>
      <c r="N17" s="9" t="str">
        <f aca="false">IFERROR(VLOOKUP(D17,'Team Member List'!B:C,2,0),"")</f>
        <v>TL Okafor</v>
      </c>
      <c r="O17" s="9" t="s">
        <v>2408</v>
      </c>
    </row>
    <row r="18" customFormat="false" ht="15" hidden="false" customHeight="false" outlineLevel="0" collapsed="false">
      <c r="A18" s="9" t="s">
        <v>63</v>
      </c>
      <c r="B18" s="10"/>
      <c r="C18" s="9" t="s">
        <v>2344</v>
      </c>
      <c r="D18" s="9" t="s">
        <v>2344</v>
      </c>
      <c r="E18" s="9" t="s">
        <v>973</v>
      </c>
      <c r="F18" s="9" t="s">
        <v>2409</v>
      </c>
      <c r="G18" s="9" t="s">
        <v>2409</v>
      </c>
      <c r="H18" s="9" t="s">
        <v>95</v>
      </c>
      <c r="I18" s="9" t="str">
        <f aca="false">TRIM(A18) &amp; TRIM(F18) &amp; TRIM(H18)</f>
        <v>First ReviewESTVN</v>
      </c>
      <c r="J18" s="9" t="str">
        <f aca="false">IFERROR(VLOOKUP(I18,'WFM Q4 Target'!J:K,2,0),"-")</f>
        <v>-</v>
      </c>
      <c r="K18" s="9" t="n">
        <v>230.3475</v>
      </c>
      <c r="L18" s="9" t="n">
        <v>0</v>
      </c>
      <c r="M18" s="9" t="str">
        <f aca="false">IFERROR(IF(K18&gt;J18,"Not Meet Target","Meet Target"),"-")</f>
        <v>Meet Target</v>
      </c>
      <c r="N18" s="9" t="str">
        <f aca="false">IFERROR(VLOOKUP(D18,'Team Member List'!B:C,2,0),"")</f>
        <v>TL Lindgren</v>
      </c>
      <c r="O18" s="9" t="s">
        <v>2408</v>
      </c>
    </row>
    <row r="19" customFormat="false" ht="15" hidden="false" customHeight="false" outlineLevel="0" collapsed="false">
      <c r="A19" s="9" t="s">
        <v>63</v>
      </c>
      <c r="B19" s="10"/>
      <c r="C19" s="9"/>
      <c r="D19" s="9" t="s">
        <v>2344</v>
      </c>
      <c r="E19" s="9"/>
      <c r="F19" s="9" t="s">
        <v>974</v>
      </c>
      <c r="G19" s="9" t="s">
        <v>974</v>
      </c>
      <c r="H19" s="9" t="s">
        <v>87</v>
      </c>
      <c r="I19" s="9" t="str">
        <f aca="false">TRIM(A19) &amp; TRIM(F19) &amp; TRIM(H19)</f>
        <v>First ReviewHighlight ViewAE</v>
      </c>
      <c r="J19" s="9" t="n">
        <f aca="false">IFERROR(VLOOKUP(I19,'WFM Q4 Target'!J:K,2,0),"-")</f>
        <v>6.33</v>
      </c>
      <c r="K19" s="9" t="n">
        <v>738.5154</v>
      </c>
      <c r="L19" s="9" t="n">
        <v>0</v>
      </c>
      <c r="M19" s="9" t="str">
        <f aca="false">IFERROR(IF(K19&gt;J19,"Not Meet Target","Meet Target"),"-")</f>
        <v>Not Meet Target</v>
      </c>
      <c r="N19" s="9" t="str">
        <f aca="false">IFERROR(VLOOKUP(D19,'Team Member List'!B:C,2,0),"")</f>
        <v>TL Lindgren</v>
      </c>
      <c r="O19" s="9" t="s">
        <v>2408</v>
      </c>
    </row>
    <row r="20" customFormat="false" ht="15" hidden="false" customHeight="false" outlineLevel="0" collapsed="false">
      <c r="A20" s="9" t="s">
        <v>63</v>
      </c>
      <c r="B20" s="10"/>
      <c r="C20" s="9"/>
      <c r="D20" s="9" t="s">
        <v>2344</v>
      </c>
      <c r="E20" s="9"/>
      <c r="F20" s="9"/>
      <c r="G20" s="9" t="s">
        <v>974</v>
      </c>
      <c r="H20" s="9" t="s">
        <v>199</v>
      </c>
      <c r="I20" s="9" t="str">
        <f aca="false">TRIM(A20) &amp; TRIM(F20) &amp; TRIM(H20)</f>
        <v>First ReviewBH</v>
      </c>
      <c r="J20" s="9" t="str">
        <f aca="false">IFERROR(VLOOKUP(I20,'WFM Q4 Target'!J:K,2,0),"-")</f>
        <v>-</v>
      </c>
      <c r="K20" s="9" t="n">
        <v>267.2345</v>
      </c>
      <c r="L20" s="9" t="n">
        <v>0</v>
      </c>
      <c r="M20" s="9" t="str">
        <f aca="false">IFERROR(IF(K20&gt;J20,"Not Meet Target","Meet Target"),"-")</f>
        <v>Meet Target</v>
      </c>
      <c r="N20" s="9" t="str">
        <f aca="false">IFERROR(VLOOKUP(D20,'Team Member List'!B:C,2,0),"")</f>
        <v>TL Lindgren</v>
      </c>
      <c r="O20" s="9" t="s">
        <v>2408</v>
      </c>
    </row>
    <row r="21" customFormat="false" ht="15" hidden="false" customHeight="false" outlineLevel="0" collapsed="false">
      <c r="A21" s="9" t="s">
        <v>63</v>
      </c>
      <c r="B21" s="10"/>
      <c r="C21" s="9"/>
      <c r="D21" s="9" t="s">
        <v>2344</v>
      </c>
      <c r="E21" s="9"/>
      <c r="F21" s="9"/>
      <c r="G21" s="9" t="s">
        <v>974</v>
      </c>
      <c r="H21" s="9" t="s">
        <v>73</v>
      </c>
      <c r="I21" s="9" t="str">
        <f aca="false">TRIM(A21) &amp; TRIM(F21) &amp; TRIM(H21)</f>
        <v>First ReviewIQ</v>
      </c>
      <c r="J21" s="9" t="str">
        <f aca="false">IFERROR(VLOOKUP(I21,'WFM Q4 Target'!J:K,2,0),"-")</f>
        <v>-</v>
      </c>
      <c r="K21" s="9" t="n">
        <v>686.5543</v>
      </c>
      <c r="L21" s="9" t="n">
        <v>0</v>
      </c>
      <c r="M21" s="9" t="str">
        <f aca="false">IFERROR(IF(K21&gt;J21,"Not Meet Target","Meet Target"),"-")</f>
        <v>Meet Target</v>
      </c>
      <c r="N21" s="9" t="str">
        <f aca="false">IFERROR(VLOOKUP(D21,'Team Member List'!B:C,2,0),"")</f>
        <v>TL Lindgren</v>
      </c>
      <c r="O21" s="9" t="s">
        <v>2408</v>
      </c>
    </row>
    <row r="22" customFormat="false" ht="15" hidden="false" customHeight="false" outlineLevel="0" collapsed="false">
      <c r="A22" s="9" t="s">
        <v>63</v>
      </c>
      <c r="B22" s="10"/>
      <c r="C22" s="9"/>
      <c r="D22" s="9" t="s">
        <v>2344</v>
      </c>
      <c r="E22" s="9"/>
      <c r="F22" s="9"/>
      <c r="G22" s="9" t="s">
        <v>974</v>
      </c>
      <c r="H22" s="9" t="s">
        <v>271</v>
      </c>
      <c r="I22" s="9" t="str">
        <f aca="false">TRIM(A22) &amp; TRIM(F22) &amp; TRIM(H22)</f>
        <v>First ReviewKW</v>
      </c>
      <c r="J22" s="9" t="str">
        <f aca="false">IFERROR(VLOOKUP(I22,'WFM Q4 Target'!J:K,2,0),"-")</f>
        <v>-</v>
      </c>
      <c r="K22" s="9" t="n">
        <v>227.9791</v>
      </c>
      <c r="L22" s="9" t="n">
        <v>0</v>
      </c>
      <c r="M22" s="9" t="str">
        <f aca="false">IFERROR(IF(K22&gt;J22,"Not Meet Target","Meet Target"),"-")</f>
        <v>Meet Target</v>
      </c>
      <c r="N22" s="9" t="str">
        <f aca="false">IFERROR(VLOOKUP(D22,'Team Member List'!B:C,2,0),"")</f>
        <v>TL Lindgren</v>
      </c>
      <c r="O22" s="9" t="s">
        <v>2408</v>
      </c>
    </row>
    <row r="23" customFormat="false" ht="15" hidden="false" customHeight="false" outlineLevel="0" collapsed="false">
      <c r="A23" s="9" t="s">
        <v>63</v>
      </c>
      <c r="B23" s="10"/>
      <c r="C23" s="9"/>
      <c r="D23" s="9" t="s">
        <v>2344</v>
      </c>
      <c r="E23" s="9"/>
      <c r="F23" s="9"/>
      <c r="G23" s="9" t="s">
        <v>974</v>
      </c>
      <c r="H23" s="9" t="s">
        <v>221</v>
      </c>
      <c r="I23" s="9" t="str">
        <f aca="false">TRIM(A23) &amp; TRIM(F23) &amp; TRIM(H23)</f>
        <v>First ReviewOM</v>
      </c>
      <c r="J23" s="9" t="str">
        <f aca="false">IFERROR(VLOOKUP(I23,'WFM Q4 Target'!J:K,2,0),"-")</f>
        <v>-</v>
      </c>
      <c r="K23" s="9" t="n">
        <v>700.2244</v>
      </c>
      <c r="L23" s="9" t="n">
        <v>0</v>
      </c>
      <c r="M23" s="9" t="str">
        <f aca="false">IFERROR(IF(K23&gt;J23,"Not Meet Target","Meet Target"),"-")</f>
        <v>Meet Target</v>
      </c>
      <c r="N23" s="9" t="str">
        <f aca="false">IFERROR(VLOOKUP(D23,'Team Member List'!B:C,2,0),"")</f>
        <v>TL Lindgren</v>
      </c>
      <c r="O23" s="9" t="s">
        <v>2408</v>
      </c>
    </row>
    <row r="24" customFormat="false" ht="15" hidden="false" customHeight="false" outlineLevel="0" collapsed="false">
      <c r="A24" s="9" t="s">
        <v>63</v>
      </c>
      <c r="B24" s="10"/>
      <c r="C24" s="9"/>
      <c r="D24" s="9" t="s">
        <v>2344</v>
      </c>
      <c r="E24" s="9"/>
      <c r="F24" s="9"/>
      <c r="G24" s="9" t="s">
        <v>974</v>
      </c>
      <c r="H24" s="9" t="s">
        <v>157</v>
      </c>
      <c r="I24" s="9" t="str">
        <f aca="false">TRIM(A24) &amp; TRIM(F24) &amp; TRIM(H24)</f>
        <v>First ReviewSA</v>
      </c>
      <c r="J24" s="9" t="str">
        <f aca="false">IFERROR(VLOOKUP(I24,'WFM Q4 Target'!J:K,2,0),"-")</f>
        <v>-</v>
      </c>
      <c r="K24" s="9" t="n">
        <v>394.8795</v>
      </c>
      <c r="L24" s="9" t="n">
        <v>0</v>
      </c>
      <c r="M24" s="9" t="str">
        <f aca="false">IFERROR(IF(K24&gt;J24,"Not Meet Target","Meet Target"),"-")</f>
        <v>Meet Target</v>
      </c>
      <c r="N24" s="9" t="str">
        <f aca="false">IFERROR(VLOOKUP(D24,'Team Member List'!B:C,2,0),"")</f>
        <v>TL Lindgren</v>
      </c>
      <c r="O24" s="9" t="s">
        <v>2408</v>
      </c>
    </row>
    <row r="25" customFormat="false" ht="15" hidden="false" customHeight="false" outlineLevel="0" collapsed="false">
      <c r="A25" s="9" t="s">
        <v>63</v>
      </c>
      <c r="B25" s="10"/>
      <c r="C25" s="9" t="s">
        <v>2373</v>
      </c>
      <c r="D25" s="9" t="s">
        <v>2373</v>
      </c>
      <c r="E25" s="9" t="s">
        <v>973</v>
      </c>
      <c r="F25" s="9" t="s">
        <v>974</v>
      </c>
      <c r="G25" s="9" t="s">
        <v>974</v>
      </c>
      <c r="H25" s="9" t="s">
        <v>87</v>
      </c>
      <c r="I25" s="9" t="str">
        <f aca="false">TRIM(A25) &amp; TRIM(F25) &amp; TRIM(H25)</f>
        <v>First ReviewHighlight ViewAE</v>
      </c>
      <c r="J25" s="9" t="n">
        <f aca="false">IFERROR(VLOOKUP(I25,'WFM Q4 Target'!J:K,2,0),"-")</f>
        <v>6.33</v>
      </c>
      <c r="K25" s="9" t="n">
        <v>428.9682</v>
      </c>
      <c r="L25" s="9" t="n">
        <v>0</v>
      </c>
      <c r="M25" s="9" t="str">
        <f aca="false">IFERROR(IF(K25&gt;J25,"Not Meet Target","Meet Target"),"-")</f>
        <v>Not Meet Target</v>
      </c>
      <c r="N25" s="9" t="str">
        <f aca="false">IFERROR(VLOOKUP(D25,'Team Member List'!B:C,2,0),"")</f>
        <v>TL Okafor</v>
      </c>
      <c r="O25" s="9" t="s">
        <v>2408</v>
      </c>
    </row>
    <row r="26" customFormat="false" ht="15" hidden="false" customHeight="false" outlineLevel="0" collapsed="false">
      <c r="A26" s="9" t="s">
        <v>63</v>
      </c>
      <c r="B26" s="10"/>
      <c r="C26" s="9" t="s">
        <v>2338</v>
      </c>
      <c r="D26" s="9" t="s">
        <v>2338</v>
      </c>
      <c r="E26" s="9" t="s">
        <v>973</v>
      </c>
      <c r="F26" s="9" t="s">
        <v>974</v>
      </c>
      <c r="G26" s="9" t="s">
        <v>974</v>
      </c>
      <c r="H26" s="9" t="s">
        <v>106</v>
      </c>
      <c r="I26" s="9" t="str">
        <f aca="false">TRIM(A26) &amp; TRIM(F26) &amp; TRIM(H26)</f>
        <v>First ReviewHighlight ViewMY</v>
      </c>
      <c r="J26" s="9" t="n">
        <f aca="false">IFERROR(VLOOKUP(I26,'WFM Q4 Target'!J:K,2,0),"-")</f>
        <v>242.28</v>
      </c>
      <c r="K26" s="9" t="n">
        <v>186.9061</v>
      </c>
      <c r="L26" s="9" t="n">
        <v>0</v>
      </c>
      <c r="M26" s="9" t="str">
        <f aca="false">IFERROR(IF(K26&gt;J26,"Not Meet Target","Meet Target"),"-")</f>
        <v>Meet Target</v>
      </c>
      <c r="N26" s="9" t="str">
        <f aca="false">IFERROR(VLOOKUP(D26,'Team Member List'!B:C,2,0),"")</f>
        <v>TL Ramirez</v>
      </c>
      <c r="O26" s="9" t="s">
        <v>2408</v>
      </c>
    </row>
    <row r="27" customFormat="false" ht="15" hidden="false" customHeight="false" outlineLevel="0" collapsed="false">
      <c r="A27" s="9" t="s">
        <v>63</v>
      </c>
      <c r="B27" s="10"/>
      <c r="C27" s="9"/>
      <c r="D27" s="9" t="s">
        <v>2338</v>
      </c>
      <c r="E27" s="9" t="s">
        <v>1432</v>
      </c>
      <c r="F27" s="9" t="s">
        <v>1438</v>
      </c>
      <c r="G27" s="9" t="s">
        <v>1438</v>
      </c>
      <c r="H27" s="9" t="s">
        <v>106</v>
      </c>
      <c r="I27" s="9" t="str">
        <f aca="false">TRIM(A27) &amp; TRIM(F27) &amp; TRIM(H27)</f>
        <v>First ReviewQuest Adv VideoMY</v>
      </c>
      <c r="J27" s="9" t="n">
        <f aca="false">IFERROR(VLOOKUP(I27,'WFM Q4 Target'!J:K,2,0),"-")</f>
        <v>36.99</v>
      </c>
      <c r="K27" s="9" t="n">
        <v>111.6711</v>
      </c>
      <c r="L27" s="9" t="n">
        <v>36.6066</v>
      </c>
      <c r="M27" s="9" t="str">
        <f aca="false">IFERROR(IF(K27&gt;J27,"Not Meet Target","Meet Target"),"-")</f>
        <v>Not Meet Target</v>
      </c>
      <c r="N27" s="9" t="str">
        <f aca="false">IFERROR(VLOOKUP(D27,'Team Member List'!B:C,2,0),"")</f>
        <v>TL Ramirez</v>
      </c>
      <c r="O27" s="9" t="s">
        <v>2408</v>
      </c>
    </row>
    <row r="28" customFormat="false" ht="15" hidden="false" customHeight="false" outlineLevel="0" collapsed="false">
      <c r="A28" s="9" t="s">
        <v>63</v>
      </c>
      <c r="B28" s="10"/>
      <c r="C28" s="9" t="s">
        <v>2336</v>
      </c>
      <c r="D28" s="9" t="s">
        <v>2336</v>
      </c>
      <c r="E28" s="9" t="s">
        <v>1346</v>
      </c>
      <c r="F28" s="9" t="s">
        <v>1347</v>
      </c>
      <c r="G28" s="9" t="s">
        <v>1347</v>
      </c>
      <c r="H28" s="9" t="s">
        <v>121</v>
      </c>
      <c r="I28" s="9" t="str">
        <f aca="false">TRIM(A28) &amp; TRIM(F28) &amp; TRIM(H28)</f>
        <v>First ReviewFX StudioKR</v>
      </c>
      <c r="J28" s="9" t="str">
        <f aca="false">IFERROR(VLOOKUP(I28,'WFM Q4 Target'!J:K,2,0),"-")</f>
        <v>-</v>
      </c>
      <c r="K28" s="9" t="n">
        <v>141.4473</v>
      </c>
      <c r="L28" s="9" t="n">
        <v>12.6229</v>
      </c>
      <c r="M28" s="9" t="str">
        <f aca="false">IFERROR(IF(K28&gt;J28,"Not Meet Target","Meet Target"),"-")</f>
        <v>Meet Target</v>
      </c>
      <c r="N28" s="9" t="str">
        <f aca="false">IFERROR(VLOOKUP(D28,'Team Member List'!B:C,2,0),"")</f>
        <v>TL Ramirez</v>
      </c>
      <c r="O28" s="9" t="s">
        <v>2408</v>
      </c>
    </row>
    <row r="29" customFormat="false" ht="15" hidden="false" customHeight="false" outlineLevel="0" collapsed="false">
      <c r="A29" s="9" t="s">
        <v>63</v>
      </c>
      <c r="B29" s="10"/>
      <c r="C29" s="9"/>
      <c r="D29" s="9" t="s">
        <v>2336</v>
      </c>
      <c r="E29" s="9" t="s">
        <v>1432</v>
      </c>
      <c r="F29" s="9" t="s">
        <v>1440</v>
      </c>
      <c r="G29" s="9" t="s">
        <v>1440</v>
      </c>
      <c r="H29" s="9" t="s">
        <v>106</v>
      </c>
      <c r="I29" s="9" t="str">
        <f aca="false">TRIM(A29) &amp; TRIM(F29) &amp; TRIM(H29)</f>
        <v>First ReviewHTC Adv CampaignMY</v>
      </c>
      <c r="J29" s="9" t="n">
        <f aca="false">IFERROR(VLOOKUP(I29,'WFM Q4 Target'!J:K,2,0),"-")</f>
        <v>96.534</v>
      </c>
      <c r="K29" s="9" t="n">
        <v>138.6469</v>
      </c>
      <c r="L29" s="9" t="n">
        <v>0</v>
      </c>
      <c r="M29" s="9" t="str">
        <f aca="false">IFERROR(IF(K29&gt;J29,"Not Meet Target","Meet Target"),"-")</f>
        <v>Not Meet Target</v>
      </c>
      <c r="N29" s="9" t="str">
        <f aca="false">IFERROR(VLOOKUP(D29,'Team Member List'!B:C,2,0),"")</f>
        <v>TL Ramirez</v>
      </c>
      <c r="O29" s="9" t="s">
        <v>2408</v>
      </c>
    </row>
    <row r="30" customFormat="false" ht="15" hidden="false" customHeight="false" outlineLevel="0" collapsed="false">
      <c r="A30" s="9" t="s">
        <v>63</v>
      </c>
      <c r="B30" s="10"/>
      <c r="C30" s="9"/>
      <c r="D30" s="9" t="s">
        <v>2336</v>
      </c>
      <c r="E30" s="9"/>
      <c r="F30" s="9" t="s">
        <v>1458</v>
      </c>
      <c r="G30" s="9" t="s">
        <v>1458</v>
      </c>
      <c r="H30" s="9" t="s">
        <v>126</v>
      </c>
      <c r="I30" s="9" t="str">
        <f aca="false">TRIM(A30) &amp; TRIM(F30) &amp; TRIM(H30)</f>
        <v>First ReviewHTC Adv VideoMX</v>
      </c>
      <c r="J30" s="9" t="n">
        <f aca="false">IFERROR(VLOOKUP(I30,'WFM Q4 Target'!J:K,2,0),"-")</f>
        <v>29.916</v>
      </c>
      <c r="K30" s="9" t="n">
        <v>306.7903</v>
      </c>
      <c r="L30" s="9" t="n">
        <v>67.0084</v>
      </c>
      <c r="M30" s="9" t="str">
        <f aca="false">IFERROR(IF(K30&gt;J30,"Not Meet Target","Meet Target"),"-")</f>
        <v>Not Meet Target</v>
      </c>
      <c r="N30" s="9" t="str">
        <f aca="false">IFERROR(VLOOKUP(D30,'Team Member List'!B:C,2,0),"")</f>
        <v>TL Ramirez</v>
      </c>
      <c r="O30" s="9" t="s">
        <v>2408</v>
      </c>
    </row>
    <row r="31" customFormat="false" ht="15" hidden="false" customHeight="false" outlineLevel="0" collapsed="false">
      <c r="A31" s="9" t="s">
        <v>63</v>
      </c>
      <c r="B31" s="10"/>
      <c r="C31" s="9" t="s">
        <v>2337</v>
      </c>
      <c r="D31" s="9" t="s">
        <v>2337</v>
      </c>
      <c r="E31" s="9" t="s">
        <v>973</v>
      </c>
      <c r="F31" s="9" t="s">
        <v>979</v>
      </c>
      <c r="G31" s="9" t="s">
        <v>979</v>
      </c>
      <c r="H31" s="9" t="s">
        <v>106</v>
      </c>
      <c r="I31" s="9" t="str">
        <f aca="false">TRIM(A31) &amp; TRIM(F31) &amp; TRIM(H31)</f>
        <v>First ReviewBooking Ads Pre ApprovalMY</v>
      </c>
      <c r="J31" s="9" t="n">
        <f aca="false">IFERROR(VLOOKUP(I31,'WFM Q4 Target'!J:K,2,0),"-")</f>
        <v>91.824</v>
      </c>
      <c r="K31" s="9" t="n">
        <v>120.802</v>
      </c>
      <c r="L31" s="9" t="n">
        <v>22.3448</v>
      </c>
      <c r="M31" s="9" t="str">
        <f aca="false">IFERROR(IF(K31&gt;J31,"Not Meet Target","Meet Target"),"-")</f>
        <v>Not Meet Target</v>
      </c>
      <c r="N31" s="9" t="str">
        <f aca="false">IFERROR(VLOOKUP(D31,'Team Member List'!B:C,2,0),"")</f>
        <v>TL Ramirez</v>
      </c>
      <c r="O31" s="9" t="s">
        <v>2408</v>
      </c>
    </row>
    <row r="32" customFormat="false" ht="15" hidden="false" customHeight="false" outlineLevel="0" collapsed="false">
      <c r="A32" s="9" t="s">
        <v>66</v>
      </c>
      <c r="B32" s="10"/>
      <c r="C32" s="9" t="s">
        <v>2350</v>
      </c>
      <c r="D32" s="9" t="s">
        <v>2350</v>
      </c>
      <c r="E32" s="9" t="s">
        <v>56</v>
      </c>
      <c r="F32" s="9" t="s">
        <v>57</v>
      </c>
      <c r="G32" s="9" t="s">
        <v>57</v>
      </c>
      <c r="H32" s="9" t="s">
        <v>95</v>
      </c>
      <c r="I32" s="9" t="str">
        <f aca="false">TRIM(A32) &amp; TRIM(F32) &amp; TRIM(H32)</f>
        <v>Posted RecallBid Ad GroupVN</v>
      </c>
      <c r="J32" s="9" t="n">
        <f aca="false">IFERROR(VLOOKUP(I32,'WFM Q4 Target'!J:K,2,0),"-")</f>
        <v>228.504</v>
      </c>
      <c r="K32" s="9" t="n">
        <v>152.0214</v>
      </c>
      <c r="L32" s="9" t="n">
        <v>163.5039</v>
      </c>
      <c r="M32" s="9" t="str">
        <f aca="false">IFERROR(IF(K32&gt;J32,"Not Meet Target","Meet Target"),"-")</f>
        <v>Meet Target</v>
      </c>
      <c r="N32" s="9" t="str">
        <f aca="false">IFERROR(VLOOKUP(D32,'Team Member List'!B:C,2,0),"")</f>
        <v>TL Lindgren</v>
      </c>
      <c r="O32" s="9" t="s">
        <v>2408</v>
      </c>
    </row>
    <row r="33" customFormat="false" ht="15" hidden="false" customHeight="false" outlineLevel="0" collapsed="false">
      <c r="A33" s="9" t="s">
        <v>66</v>
      </c>
      <c r="B33" s="10"/>
      <c r="C33" s="9" t="s">
        <v>2388</v>
      </c>
      <c r="D33" s="9" t="s">
        <v>2388</v>
      </c>
      <c r="E33" s="9" t="s">
        <v>2009</v>
      </c>
      <c r="F33" s="9" t="s">
        <v>2012</v>
      </c>
      <c r="G33" s="9" t="s">
        <v>2012</v>
      </c>
      <c r="H33" s="9" t="s">
        <v>267</v>
      </c>
      <c r="I33" s="9" t="str">
        <f aca="false">TRIM(A33) &amp; TRIM(F33) &amp; TRIM(H33)</f>
        <v>Posted RecallTrial Install Android AppID</v>
      </c>
      <c r="J33" s="9" t="n">
        <f aca="false">IFERROR(VLOOKUP(I33,'WFM Q4 Target'!J:K,2,0),"-")</f>
        <v>532.764</v>
      </c>
      <c r="K33" s="9" t="n">
        <v>231.5818</v>
      </c>
      <c r="L33" s="9" t="n">
        <v>307.6258</v>
      </c>
      <c r="M33" s="9" t="str">
        <f aca="false">IFERROR(IF(K33&gt;J33,"Not Meet Target","Meet Target"),"-")</f>
        <v>Meet Target</v>
      </c>
      <c r="N33" s="9" t="str">
        <f aca="false">IFERROR(VLOOKUP(D33,'Team Member List'!B:C,2,0),"")</f>
        <v>TL Cabrera</v>
      </c>
      <c r="O33" s="9" t="s">
        <v>2408</v>
      </c>
    </row>
    <row r="34" customFormat="false" ht="15" hidden="false" customHeight="false" outlineLevel="0" collapsed="false">
      <c r="A34" s="9" t="s">
        <v>66</v>
      </c>
      <c r="B34" s="10"/>
      <c r="C34" s="9"/>
      <c r="D34" s="9" t="s">
        <v>2388</v>
      </c>
      <c r="E34" s="9"/>
      <c r="F34" s="9"/>
      <c r="G34" s="9" t="s">
        <v>2012</v>
      </c>
      <c r="H34" s="9" t="s">
        <v>95</v>
      </c>
      <c r="I34" s="9" t="str">
        <f aca="false">TRIM(A34) &amp; TRIM(F34) &amp; TRIM(H34)</f>
        <v>Posted RecallVN</v>
      </c>
      <c r="J34" s="9" t="str">
        <f aca="false">IFERROR(VLOOKUP(I34,'WFM Q4 Target'!J:K,2,0),"-")</f>
        <v>-</v>
      </c>
      <c r="K34" s="9" t="n">
        <v>115.5068</v>
      </c>
      <c r="L34" s="9" t="n">
        <v>105.682</v>
      </c>
      <c r="M34" s="9" t="str">
        <f aca="false">IFERROR(IF(K34&gt;J34,"Not Meet Target","Meet Target"),"-")</f>
        <v>Meet Target</v>
      </c>
      <c r="N34" s="9" t="str">
        <f aca="false">IFERROR(VLOOKUP(D34,'Team Member List'!B:C,2,0),"")</f>
        <v>TL Cabrera</v>
      </c>
      <c r="O34" s="9" t="s">
        <v>2408</v>
      </c>
    </row>
    <row r="35" customFormat="false" ht="15" hidden="false" customHeight="false" outlineLevel="0" collapsed="false">
      <c r="A35" s="9" t="s">
        <v>66</v>
      </c>
      <c r="B35" s="10"/>
      <c r="C35" s="9" t="s">
        <v>2371</v>
      </c>
      <c r="D35" s="9" t="s">
        <v>2371</v>
      </c>
      <c r="E35" s="9" t="s">
        <v>1828</v>
      </c>
      <c r="F35" s="9" t="s">
        <v>1829</v>
      </c>
      <c r="G35" s="9" t="s">
        <v>1829</v>
      </c>
      <c r="H35" s="9" t="s">
        <v>458</v>
      </c>
      <c r="I35" s="9" t="str">
        <f aca="false">TRIM(A35) &amp; TRIM(F35) &amp; TRIM(H35)</f>
        <v>Posted RecallDynamic Catalog WholeProdTW</v>
      </c>
      <c r="J35" s="9" t="str">
        <f aca="false">IFERROR(VLOOKUP(I35,'WFM Q4 Target'!J:K,2,0),"-")</f>
        <v>-</v>
      </c>
      <c r="K35" s="9" t="n">
        <v>464.1675</v>
      </c>
      <c r="L35" s="9" t="n">
        <v>0</v>
      </c>
      <c r="M35" s="9" t="str">
        <f aca="false">IFERROR(IF(K35&gt;J35,"Not Meet Target","Meet Target"),"-")</f>
        <v>Meet Target</v>
      </c>
      <c r="N35" s="9" t="str">
        <f aca="false">IFERROR(VLOOKUP(D35,'Team Member List'!B:C,2,0),"")</f>
        <v>TL Okafor</v>
      </c>
      <c r="O35" s="9" t="s">
        <v>2408</v>
      </c>
    </row>
  </sheetData>
  <mergeCells count="16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N3:N4"/>
    <mergeCell ref="O3:O4"/>
  </mergeCells>
  <conditionalFormatting sqref="M5:M35">
    <cfRule type="containsText" priority="2" operator="containsText" aboveAverage="0" equalAverage="0" bottom="0" percent="0" rank="0" text="Not Meet Target" dxfId="0">
      <formula>NOT(ISERROR(SEARCH("Not Meet Target",M5)))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2026-08-19T07:48:28Z</dcterms:created>
  <dc:creator>Syafriandi</dc:creator>
  <dc:description>Sanitized sample AHT tracker for portfolio use</dc:description>
  <dc:language>en-US</dc:language>
  <cp:lastModifiedBy>Syafriandi</cp:lastModifiedBy>
  <dcterms:modified xsi:type="dcterms:W3CDTF">2026-08-19T07:48:29Z</dcterms:modified>
  <cp:revision>0</cp:revision>
  <dc:subject/>
  <dc:title>Specialist AHT Summary Report - Sample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